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drawings/drawing4.xml" ContentType="application/vnd.openxmlformats-officedocument.drawing+xml"/>
  <Override PartName="/xl/drawings/drawing5.xml" ContentType="application/vnd.openxmlformats-officedocument.drawing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1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externalLinks/externalLink10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30" yWindow="360" windowWidth="20730" windowHeight="9060" tabRatio="836" firstSheet="1" activeTab="2"/>
  </bookViews>
  <sheets>
    <sheet name="Mois" sheetId="1" r:id="rId1"/>
    <sheet name="Semaines" sheetId="18" r:id="rId2"/>
    <sheet name="Jours" sheetId="11" r:id="rId3"/>
    <sheet name="Heures" sheetId="12" r:id="rId4"/>
    <sheet name="Feuil1" sheetId="14" r:id="rId5"/>
  </sheets>
  <functionGroups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\A">#REF!</definedName>
    <definedName name="\C">#REF!</definedName>
    <definedName name="\E">#REF!</definedName>
    <definedName name="\H">#REF!</definedName>
    <definedName name="\I">#REF!</definedName>
    <definedName name="\S">#REF!</definedName>
    <definedName name="\Z">#REF!</definedName>
    <definedName name="__123Graph_A" hidden="1">[1]Démol.!$D$42:$D$51</definedName>
    <definedName name="__123Graph_B" hidden="1">[1]Démol.!$F$42:$F$51</definedName>
    <definedName name="__123Graph_C" hidden="1">[1]Ravalement!$F$10:$F$42</definedName>
    <definedName name="__123Graph_D" hidden="1">[1]Démol.!$G$42:$G$51</definedName>
    <definedName name="_Fill" hidden="1">[2]Bord.!#REF!</definedName>
    <definedName name="_xlnm._FilterDatabase" localSheetId="1" hidden="1">Semaines!$H$23:$K$285</definedName>
    <definedName name="_gc1">#REF!</definedName>
    <definedName name="_Key1" hidden="1">#REF!</definedName>
    <definedName name="_Key2" hidden="1">#REF!</definedName>
    <definedName name="_LA1">#REF!</definedName>
    <definedName name="_LA2">#REF!</definedName>
    <definedName name="_LA3">#REF!</definedName>
    <definedName name="_LO1">#REF!</definedName>
    <definedName name="_LO2">#REF!</definedName>
    <definedName name="_LO3">#REF!</definedName>
    <definedName name="_Order1" hidden="1">255</definedName>
    <definedName name="_Order2" hidden="1">255</definedName>
    <definedName name="_P1">#REF!</definedName>
    <definedName name="_P2">#REF!</definedName>
    <definedName name="_P3">#REF!</definedName>
    <definedName name="_PP1">#REF!</definedName>
    <definedName name="_PP10">#REF!</definedName>
    <definedName name="_PP11">#REF!</definedName>
    <definedName name="_PP12">#REF!</definedName>
    <definedName name="_PP13">#REF!</definedName>
    <definedName name="_PP14">#REF!</definedName>
    <definedName name="_PP15">#REF!</definedName>
    <definedName name="_PP16">#REF!</definedName>
    <definedName name="_PP17">#REF!</definedName>
    <definedName name="_PP18">#REF!</definedName>
    <definedName name="_PP2">#REF!</definedName>
    <definedName name="_PP3">#REF!</definedName>
    <definedName name="_PP4">#REF!</definedName>
    <definedName name="_PP5">#REF!</definedName>
    <definedName name="_PP6">#REF!</definedName>
    <definedName name="_PP7">#REF!</definedName>
    <definedName name="_PP8">#REF!</definedName>
    <definedName name="_PP9">#REF!</definedName>
    <definedName name="_Ppm2">#REF!</definedName>
    <definedName name="_Ref1">#REF!</definedName>
    <definedName name="_Ref2">#REF!</definedName>
    <definedName name="_S1">#REF!</definedName>
    <definedName name="_S2">#REF!</definedName>
    <definedName name="_S3">#REF!</definedName>
    <definedName name="_SA25">#REF!</definedName>
    <definedName name="_Sort" hidden="1">#REF!</definedName>
    <definedName name="A">#REF!</definedName>
    <definedName name="A_l_attention_de">'[3]Lot n°02 V'!#REF!</definedName>
    <definedName name="AAA">#REF!</definedName>
    <definedName name="achat">#REF!</definedName>
    <definedName name="Adresse1_affaire">'[3]Lot n°02 V'!#REF!</definedName>
    <definedName name="Adresse2_affaire">'[3]Lot n°02 V'!#REF!</definedName>
    <definedName name="ANcaRT">#REF!</definedName>
    <definedName name="ANcbRT">#REF!</definedName>
    <definedName name="ANccRT">#REF!</definedName>
    <definedName name="AREP">#REF!</definedName>
    <definedName name="art.">#REF!</definedName>
    <definedName name="b">#REF!</definedName>
    <definedName name="_xlnm.Database">#REF!</definedName>
    <definedName name="Benne">#REF!</definedName>
    <definedName name="C_">#REF!</definedName>
    <definedName name="CAL">#REF!</definedName>
    <definedName name="CALCUL">#REF!</definedName>
    <definedName name="CATPRO">[4]CATPRO!$A:$IV</definedName>
    <definedName name="Celact">[5]Surface!#REF!</definedName>
    <definedName name="Charge">[5]Surface!#REF!,[5]Surface!#REF!</definedName>
    <definedName name="Chauffage">[5]Surface!#REF!,[5]Surface!#REF!</definedName>
    <definedName name="Chutes">#REF!</definedName>
    <definedName name="code">#REF!</definedName>
    <definedName name="Code_affaire">'[3]Lot n°02 V'!#REF!</definedName>
    <definedName name="Code_client">'[3]Lot n°02 V'!#REF!</definedName>
    <definedName name="Code_Dossier">'[3]Lot n°02 V'!#REF!</definedName>
    <definedName name="Code_post_ville_pays_Affaire">'[3]Lot n°02 V'!#REF!</definedName>
    <definedName name="Code_post_ville_pays_Dossier">'[3]Lot n°02 V'!#REF!</definedName>
    <definedName name="coef1">#REF!</definedName>
    <definedName name="coeff">#REF!</definedName>
    <definedName name="COL_1">[5]Surface!#REF!</definedName>
    <definedName name="COL_2">[5]Surface!#REF!</definedName>
    <definedName name="COL_3">[5]Surface!#REF!</definedName>
    <definedName name="COL_5">[5]Surface!$E$1:$E$65536,[5]Surface!#REF!</definedName>
    <definedName name="_xlnm.Criteria">[6]elec!#REF!</definedName>
    <definedName name="D">#REF!</definedName>
    <definedName name="DALL" hidden="1">#REF!</definedName>
    <definedName name="Date_alpha">'[3]Lot n°02 V'!#REF!</definedName>
    <definedName name="Date_base_de_prix">'[3]Lot n°02 V'!#REF!</definedName>
    <definedName name="Date_d_envoi">'[3]Lot n°02 V'!#REF!</definedName>
    <definedName name="Date_de_l_offre">'[3]Lot n°02 V'!#REF!</definedName>
    <definedName name="Date_de_valeur_des_prix">'[3]Lot n°02 V'!#REF!</definedName>
    <definedName name="Date_du_jour">'[3]Lot n°02 V'!#REF!</definedName>
    <definedName name="DELTA">[7]METRé!$F$21</definedName>
    <definedName name="DES">#REF!</definedName>
    <definedName name="Desi_Dossier">'[3]Lot n°02 V'!#REF!</definedName>
    <definedName name="désignation">#REF!</definedName>
    <definedName name="Designation_1_pour_agence">'[3]Lot n°02 V'!#REF!</definedName>
    <definedName name="Designation_2_pour_agence">'[3]Lot n°02 V'!#REF!</definedName>
    <definedName name="Designation_affaire">'[3]Lot n°02 V'!#REF!</definedName>
    <definedName name="Designation_client">'[3]Lot n°02 V'!#REF!</definedName>
    <definedName name="Designation_devis">'[3]Lot n°02 V'!#REF!</definedName>
    <definedName name="doubb">#REF!</definedName>
    <definedName name="doubm">#REF!</definedName>
    <definedName name="dsedp">#REF!</definedName>
    <definedName name="E">#REF!</definedName>
    <definedName name="EACRINO">#REF!</definedName>
    <definedName name="emeth_Dbj">Heures!$D$13</definedName>
    <definedName name="emeth_Exter">" "</definedName>
    <definedName name="emeth_Hpj">Heures!$D$12</definedName>
    <definedName name="emeth_Inter">"---"</definedName>
    <definedName name="emeth_Paj">Heures!$H$12</definedName>
    <definedName name="ensemble">#REF!</definedName>
    <definedName name="ERREUR_TITRE">"ATTENTION : Un Sous-total est FAUX !!!"</definedName>
    <definedName name="euro">#REF!</definedName>
    <definedName name="Exter">" "</definedName>
    <definedName name="_xlnm.Extract">[6]elec!#REF!</definedName>
    <definedName name="F">#REF!</definedName>
    <definedName name="FAB">#REF!</definedName>
    <definedName name="Fax">'[3]Lot n°02 V'!#REF!</definedName>
    <definedName name="Fax_affaire">'[3]Lot n°02 V'!#REF!</definedName>
    <definedName name="Fax_dossier">'[3]Lot n°02 V'!#REF!</definedName>
    <definedName name="floc">#REF!</definedName>
    <definedName name="floca">#REF!</definedName>
    <definedName name="fo">'[8]09'!#REF!</definedName>
    <definedName name="g">#REF!</definedName>
    <definedName name="GALV">#REF!</definedName>
    <definedName name="galva">#REF!</definedName>
    <definedName name="gcquai">#REF!</definedName>
    <definedName name="gv">#REF!</definedName>
    <definedName name="hpch">#REF!</definedName>
    <definedName name="HT">#REF!</definedName>
    <definedName name="imp_recap">#REF!</definedName>
    <definedName name="imp_recap_tot">#REF!</definedName>
    <definedName name="Impres_titres_MI">#REF!</definedName>
    <definedName name="_xlnm.Print_Titles" localSheetId="2">Jours!$3:$14</definedName>
    <definedName name="_xlnm.Print_Titles">#REF!</definedName>
    <definedName name="Indic.">[5]Surface!#REF!</definedName>
    <definedName name="INg">#REF!</definedName>
    <definedName name="Inter">"---"</definedName>
    <definedName name="intum">#REF!</definedName>
    <definedName name="INTUMES">#REF!</definedName>
    <definedName name="K">#REF!</definedName>
    <definedName name="K_">#REF!</definedName>
    <definedName name="k_AMENAG">#REF!</definedName>
    <definedName name="k_AMIANT">#REF!</definedName>
    <definedName name="k_asc">#REF!</definedName>
    <definedName name="k_b">#REF!</definedName>
    <definedName name="k_chauff">#REF!</definedName>
    <definedName name="k_couv">#REF!</definedName>
    <definedName name="k_cuis">#REF!</definedName>
    <definedName name="k_demenag">#REF!</definedName>
    <definedName name="k_DEMOL">#REF!</definedName>
    <definedName name="k_elect">#REF!</definedName>
    <definedName name="k_menext">#REF!</definedName>
    <definedName name="k_nett">#REF!</definedName>
    <definedName name="k_peint">#REF!</definedName>
    <definedName name="k_plaf">#REF!</definedName>
    <definedName name="k_plat">#REF!</definedName>
    <definedName name="k_plomb">#REF!</definedName>
    <definedName name="k_serr">#REF!</definedName>
    <definedName name="k_sol">#REF!</definedName>
    <definedName name="k_spec">#REF!</definedName>
    <definedName name="k_vrd">#REF!</definedName>
    <definedName name="kfour">#REF!</definedName>
    <definedName name="kkk">#REF!</definedName>
    <definedName name="kmo">#REF!</definedName>
    <definedName name="Ligne_1_commentaire_entete">'[3]Lot n°02 V'!#REF!</definedName>
    <definedName name="Ligne_1_desi_client">'[3]Lot n°02 V'!#REF!</definedName>
    <definedName name="Ligne_1_reference">'[3]Lot n°02 V'!#REF!</definedName>
    <definedName name="Ligne_2_commentaire_entete">'[3]Lot n°02 V'!#REF!</definedName>
    <definedName name="Ligne_2_desi_client">'[3]Lot n°02 V'!#REF!</definedName>
    <definedName name="Ligne_2_reference">'[3]Lot n°02 V'!#REF!</definedName>
    <definedName name="Ligne_3_desi_client">'[3]Lot n°02 V'!#REF!</definedName>
    <definedName name="Ligne_3_reference">'[3]Lot n°02 V'!#REF!</definedName>
    <definedName name="Limit">"__"</definedName>
    <definedName name="Liste_Taches">[9]Jours!#REF!</definedName>
    <definedName name="ll" hidden="1">#REF!</definedName>
    <definedName name="M2t">#REF!</definedName>
    <definedName name="mo">'[8]09'!#REF!</definedName>
    <definedName name="Monnaie">'[3]Lot n°02 V'!#REF!</definedName>
    <definedName name="Montage">#REF!</definedName>
    <definedName name="Montant_en_EURO_ligne_1">'[3]Lot n°02 V'!#REF!</definedName>
    <definedName name="Montant_en_EURO_ligne_2">'[3]Lot n°02 V'!#REF!</definedName>
    <definedName name="Montant_en_lettre_ligne_1">'[3]Lot n°02 V'!#REF!</definedName>
    <definedName name="Montant_en_lettre_ligne_2">'[3]Lot n°02 V'!#REF!</definedName>
    <definedName name="Montant_EURO_chiffres">'[3]Lot n°02 V'!#REF!</definedName>
    <definedName name="Mt.Av_Avenant_NonRév">[6]elec!#REF!</definedName>
    <definedName name="Mt.Av_Avenant_Rév">[6]elec!#REF!</definedName>
    <definedName name="Mt.Av_Marché">[6]elec!#REF!</definedName>
    <definedName name="Mt.Av_Ts_Non_Rév">[6]elec!#REF!</definedName>
    <definedName name="Mt.Av_Ts_NonRév">[6]elec!#REF!</definedName>
    <definedName name="Mt.Av_Ts_Rév">[6]elec!#REF!</definedName>
    <definedName name="NCHANTIER">#REF!</definedName>
    <definedName name="Nom_du_responsable">'[3]Lot n°02 V'!#REF!</definedName>
    <definedName name="Nouveau">[5]Surface!#REF!</definedName>
    <definedName name="Objet_1">'[3]Lot n°02 V'!#REF!</definedName>
    <definedName name="Objet_2">'[3]Lot n°02 V'!#REF!</definedName>
    <definedName name="Objet_3">'[3]Lot n°02 V'!#REF!</definedName>
    <definedName name="ORIFER">[5]Surface!#REF!</definedName>
    <definedName name="p" hidden="1">#REF!</definedName>
    <definedName name="pchan">#REF!</definedName>
    <definedName name="PCHANTIER">#REF!</definedName>
    <definedName name="PH">#REF!</definedName>
    <definedName name="pipo">'[10]DQE CVC'!$B$3:$G$1259</definedName>
    <definedName name="pipo2">'[10]DQE CVC'!#REF!</definedName>
    <definedName name="pipo3">'[10]DQE CVC'!#REF!</definedName>
    <definedName name="pipo4">'[10]DQE CVC'!#REF!</definedName>
    <definedName name="pipo5">'[10]DQE CVC'!#REF!</definedName>
    <definedName name="pipo6">'[10]DQE CVC'!#REF!</definedName>
    <definedName name="pipo7">'[10]DQE CVC'!#REF!</definedName>
    <definedName name="poids">#REF!</definedName>
    <definedName name="POT" hidden="1">#REF!</definedName>
    <definedName name="POTr" hidden="1">#REF!</definedName>
    <definedName name="PP">#REF!</definedName>
    <definedName name="Pposeml">#REF!</definedName>
    <definedName name="prep">#REF!</definedName>
    <definedName name="prix">#REF!</definedName>
    <definedName name="PRIXREV">#REF!</definedName>
    <definedName name="pu">#REF!</definedName>
    <definedName name="q">#REF!</definedName>
    <definedName name="rabais">#REF!</definedName>
    <definedName name="re">'[8]09'!#REF!</definedName>
    <definedName name="REP">#REF!</definedName>
    <definedName name="rr">#REF!</definedName>
    <definedName name="S">#REF!</definedName>
    <definedName name="SABL">#REF!</definedName>
    <definedName name="SHO">#REF!</definedName>
    <definedName name="ST">#REF!</definedName>
    <definedName name="surfba">#REF!</definedName>
    <definedName name="surfcloi">#REF!</definedName>
    <definedName name="T">#REF!</definedName>
    <definedName name="te">'[8]09'!#REF!</definedName>
    <definedName name="Tel">'[3]Lot n°02 V'!#REF!</definedName>
    <definedName name="Tel_affaire">'[3]Lot n°02 V'!#REF!</definedName>
    <definedName name="Tel_Dossier">'[3]Lot n°02 V'!#REF!</definedName>
    <definedName name="thm">#REF!</definedName>
    <definedName name="Titre">'[11]01'!#REF!</definedName>
    <definedName name="TON">#REF!</definedName>
    <definedName name="tot_5">#REF!</definedName>
    <definedName name="TRA">#REF!</definedName>
    <definedName name="TRANS">#REF!</definedName>
    <definedName name="TVA">[6]elec!#REF!</definedName>
    <definedName name="txmo">#REF!</definedName>
    <definedName name="TXT">#REF!</definedName>
    <definedName name="vc">#REF!</definedName>
    <definedName name="Ville_d_envoi">'[3]Lot n°02 V'!#REF!</definedName>
    <definedName name="X">#REF!</definedName>
    <definedName name="XXX">#REF!</definedName>
    <definedName name="Y">#REF!</definedName>
    <definedName name="Z">#REF!</definedName>
    <definedName name="Zone_d_impr_1">#REF!</definedName>
    <definedName name="_xlnm.Print_Area" localSheetId="4">Feuil1!$A$1:$J$977</definedName>
    <definedName name="_xlnm.Print_Area" localSheetId="1">Semaines!$A$1:$AW$237</definedName>
    <definedName name="Zone_impres_MI">#REF!</definedName>
  </definedNames>
  <calcPr calcId="125725"/>
</workbook>
</file>

<file path=xl/calcChain.xml><?xml version="1.0" encoding="utf-8"?>
<calcChain xmlns="http://schemas.openxmlformats.org/spreadsheetml/2006/main">
  <c r="L11" i="11"/>
  <c r="M11" s="1"/>
  <c r="M13" s="1"/>
  <c r="N4" i="14"/>
  <c r="N5"/>
  <c r="N6"/>
  <c r="N7"/>
  <c r="D8"/>
  <c r="N8"/>
  <c r="D9"/>
  <c r="N9"/>
  <c r="N10"/>
  <c r="N11"/>
  <c r="N12"/>
  <c r="N13"/>
  <c r="D14"/>
  <c r="N14"/>
  <c r="D15"/>
  <c r="N15"/>
  <c r="D16"/>
  <c r="N16"/>
  <c r="D17"/>
  <c r="N17"/>
  <c r="D18"/>
  <c r="N18"/>
  <c r="D19"/>
  <c r="N19"/>
  <c r="N20"/>
  <c r="N21"/>
  <c r="N22"/>
  <c r="N23"/>
  <c r="N24"/>
  <c r="N25"/>
  <c r="N26"/>
  <c r="N27"/>
  <c r="N28"/>
  <c r="N29"/>
  <c r="N30"/>
  <c r="N31"/>
  <c r="N32"/>
  <c r="D33"/>
  <c r="N33"/>
  <c r="D34"/>
  <c r="N34"/>
  <c r="D35"/>
  <c r="N35"/>
  <c r="N36"/>
  <c r="N37"/>
  <c r="D38"/>
  <c r="N38"/>
  <c r="D39"/>
  <c r="N39"/>
  <c r="N40"/>
  <c r="N41"/>
  <c r="N42"/>
  <c r="D43"/>
  <c r="N43"/>
  <c r="D44"/>
  <c r="N44"/>
  <c r="D45"/>
  <c r="N45"/>
  <c r="D46"/>
  <c r="N46"/>
  <c r="N47"/>
  <c r="N48"/>
  <c r="N49"/>
  <c r="D50"/>
  <c r="N50"/>
  <c r="D51"/>
  <c r="N51"/>
  <c r="D52"/>
  <c r="N52"/>
  <c r="N53"/>
  <c r="N54"/>
  <c r="N55"/>
  <c r="N56"/>
  <c r="N57"/>
  <c r="N58"/>
  <c r="N59"/>
  <c r="N60"/>
  <c r="N61"/>
  <c r="N62"/>
  <c r="N63"/>
  <c r="N64"/>
  <c r="D65"/>
  <c r="N65"/>
  <c r="D66"/>
  <c r="N66"/>
  <c r="D67"/>
  <c r="N67"/>
  <c r="D68"/>
  <c r="N68"/>
  <c r="D69"/>
  <c r="N69"/>
  <c r="D70"/>
  <c r="N70"/>
  <c r="D71"/>
  <c r="N71"/>
  <c r="D72"/>
  <c r="N72"/>
  <c r="N73"/>
  <c r="D74"/>
  <c r="N74"/>
  <c r="N75"/>
  <c r="N76"/>
  <c r="D77"/>
  <c r="N77"/>
  <c r="D78"/>
  <c r="N78"/>
  <c r="D79"/>
  <c r="N79"/>
  <c r="N80"/>
  <c r="D81"/>
  <c r="N81"/>
  <c r="D82"/>
  <c r="N82"/>
  <c r="D83"/>
  <c r="N83"/>
  <c r="D84"/>
  <c r="N84"/>
  <c r="D85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D122"/>
  <c r="N122"/>
  <c r="D123"/>
  <c r="N123"/>
  <c r="D124"/>
  <c r="N124"/>
  <c r="N125"/>
  <c r="N126"/>
  <c r="N127"/>
  <c r="D128"/>
  <c r="N128"/>
  <c r="D129"/>
  <c r="N129"/>
  <c r="D130"/>
  <c r="N130"/>
  <c r="D131"/>
  <c r="N131"/>
  <c r="D132"/>
  <c r="N132"/>
  <c r="D133"/>
  <c r="N133"/>
  <c r="D134"/>
  <c r="N134"/>
  <c r="N135"/>
  <c r="N136"/>
  <c r="D137"/>
  <c r="N137"/>
  <c r="D138"/>
  <c r="N138"/>
  <c r="D139"/>
  <c r="N139"/>
  <c r="D140"/>
  <c r="N140"/>
  <c r="N141"/>
  <c r="N142"/>
  <c r="N143"/>
  <c r="D144"/>
  <c r="N144"/>
  <c r="D145"/>
  <c r="N145"/>
  <c r="N146"/>
  <c r="D147"/>
  <c r="N147"/>
  <c r="D148"/>
  <c r="N148"/>
  <c r="D149"/>
  <c r="N149"/>
  <c r="N150"/>
  <c r="N151"/>
  <c r="N152"/>
  <c r="D153"/>
  <c r="N153"/>
  <c r="D154"/>
  <c r="N154"/>
  <c r="N155"/>
  <c r="N156"/>
  <c r="N157"/>
  <c r="D158"/>
  <c r="N158"/>
  <c r="D159"/>
  <c r="N159"/>
  <c r="N160"/>
  <c r="N161"/>
  <c r="D162"/>
  <c r="N162"/>
  <c r="D163"/>
  <c r="N163"/>
  <c r="D164"/>
  <c r="N164"/>
  <c r="D165"/>
  <c r="N165"/>
  <c r="D166"/>
  <c r="N166"/>
  <c r="D167"/>
  <c r="N167"/>
  <c r="D168"/>
  <c r="N168"/>
  <c r="N169"/>
  <c r="N170"/>
  <c r="N171"/>
  <c r="N172"/>
  <c r="N173"/>
  <c r="N174"/>
  <c r="N175"/>
  <c r="N176"/>
  <c r="N177"/>
  <c r="N178"/>
  <c r="N179"/>
  <c r="D180"/>
  <c r="N180"/>
  <c r="D181"/>
  <c r="N181"/>
  <c r="D182"/>
  <c r="N182"/>
  <c r="D183"/>
  <c r="N183"/>
  <c r="D184"/>
  <c r="N184"/>
  <c r="N185"/>
  <c r="N186"/>
  <c r="N187"/>
  <c r="N188"/>
  <c r="N189"/>
  <c r="N190"/>
  <c r="N191"/>
  <c r="N192"/>
  <c r="N193"/>
  <c r="D194"/>
  <c r="N194"/>
  <c r="D195"/>
  <c r="N195"/>
  <c r="D196"/>
  <c r="N196"/>
  <c r="N197"/>
  <c r="N198"/>
  <c r="N199"/>
  <c r="N200"/>
  <c r="D201"/>
  <c r="N201"/>
  <c r="D202"/>
  <c r="N202"/>
  <c r="D203"/>
  <c r="N203"/>
  <c r="D204"/>
  <c r="N204"/>
  <c r="D205"/>
  <c r="N205"/>
  <c r="D206"/>
  <c r="N206"/>
  <c r="D207"/>
  <c r="N207"/>
  <c r="D208"/>
  <c r="N208"/>
  <c r="N209"/>
  <c r="N210"/>
  <c r="D211"/>
  <c r="N211"/>
  <c r="D212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D233"/>
  <c r="N233"/>
  <c r="D234"/>
  <c r="N234"/>
  <c r="D235"/>
  <c r="N235"/>
  <c r="D236"/>
  <c r="N236"/>
  <c r="D237"/>
  <c r="N237"/>
  <c r="D238"/>
  <c r="N238"/>
  <c r="N239"/>
  <c r="N240"/>
  <c r="N241"/>
  <c r="D242"/>
  <c r="N242"/>
  <c r="D243"/>
  <c r="N243"/>
  <c r="N244"/>
  <c r="N245"/>
  <c r="N246"/>
  <c r="N247"/>
  <c r="N248"/>
  <c r="N249"/>
  <c r="N250"/>
  <c r="N251"/>
  <c r="D252"/>
  <c r="N252"/>
  <c r="D253"/>
  <c r="N253"/>
  <c r="D254"/>
  <c r="N254"/>
  <c r="D255"/>
  <c r="N255"/>
  <c r="N256"/>
  <c r="N257"/>
  <c r="N258"/>
  <c r="N259"/>
  <c r="D260"/>
  <c r="N260"/>
  <c r="D261"/>
  <c r="N261"/>
  <c r="N262"/>
  <c r="N263"/>
  <c r="N264"/>
  <c r="D265"/>
  <c r="N265"/>
  <c r="D266"/>
  <c r="N266"/>
  <c r="D267"/>
  <c r="N267"/>
  <c r="D268"/>
  <c r="N268"/>
  <c r="D269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D287"/>
  <c r="N287"/>
  <c r="D288"/>
  <c r="N288"/>
  <c r="D289"/>
  <c r="N289"/>
  <c r="D290"/>
  <c r="N290"/>
  <c r="D291"/>
  <c r="N291"/>
  <c r="D292"/>
  <c r="N292"/>
  <c r="D293"/>
  <c r="N293"/>
  <c r="D294"/>
  <c r="N294"/>
  <c r="D295"/>
  <c r="N295"/>
  <c r="D296"/>
  <c r="N296"/>
  <c r="D297"/>
  <c r="N297"/>
  <c r="D298"/>
  <c r="N298"/>
  <c r="D299"/>
  <c r="N299"/>
  <c r="D300"/>
  <c r="N300"/>
  <c r="D301"/>
  <c r="N301"/>
  <c r="D302"/>
  <c r="N302"/>
  <c r="D303"/>
  <c r="N303"/>
  <c r="D304"/>
  <c r="N304"/>
  <c r="D305"/>
  <c r="N305"/>
  <c r="D306"/>
  <c r="N306"/>
  <c r="D307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D343"/>
  <c r="E343" s="1"/>
  <c r="N343"/>
  <c r="D344"/>
  <c r="E344" s="1"/>
  <c r="N344"/>
  <c r="D345"/>
  <c r="E345"/>
  <c r="N345"/>
  <c r="D346"/>
  <c r="E346"/>
  <c r="N346"/>
  <c r="D347"/>
  <c r="E347" s="1"/>
  <c r="N347"/>
  <c r="D348"/>
  <c r="E348" s="1"/>
  <c r="N348"/>
  <c r="D349"/>
  <c r="E349" s="1"/>
  <c r="N349"/>
  <c r="D350"/>
  <c r="E350"/>
  <c r="N350"/>
  <c r="D351"/>
  <c r="E351" s="1"/>
  <c r="N351"/>
  <c r="D352"/>
  <c r="E352" s="1"/>
  <c r="N352"/>
  <c r="N353"/>
  <c r="D354"/>
  <c r="E354" s="1"/>
  <c r="N354"/>
  <c r="D355"/>
  <c r="E355" s="1"/>
  <c r="N355"/>
  <c r="D356"/>
  <c r="E356"/>
  <c r="N356"/>
  <c r="D357"/>
  <c r="E357" s="1"/>
  <c r="N357"/>
  <c r="D358"/>
  <c r="E358" s="1"/>
  <c r="N358"/>
  <c r="D359"/>
  <c r="E359"/>
  <c r="N359"/>
  <c r="D360"/>
  <c r="E360"/>
  <c r="N360"/>
  <c r="D361"/>
  <c r="E361" s="1"/>
  <c r="N361"/>
  <c r="D362"/>
  <c r="E362" s="1"/>
  <c r="N362"/>
  <c r="D363"/>
  <c r="E363" s="1"/>
  <c r="N363"/>
  <c r="N364"/>
  <c r="N365"/>
  <c r="D366"/>
  <c r="E366" s="1"/>
  <c r="N366"/>
  <c r="D367"/>
  <c r="E367" s="1"/>
  <c r="N367"/>
  <c r="D368"/>
  <c r="E368"/>
  <c r="N368"/>
  <c r="D369"/>
  <c r="E369" s="1"/>
  <c r="N369"/>
  <c r="D370"/>
  <c r="E370" s="1"/>
  <c r="N370"/>
  <c r="D371"/>
  <c r="E371" s="1"/>
  <c r="N371"/>
  <c r="D372"/>
  <c r="E372"/>
  <c r="N372"/>
  <c r="D373"/>
  <c r="E373" s="1"/>
  <c r="N373"/>
  <c r="D374"/>
  <c r="E374" s="1"/>
  <c r="N374"/>
  <c r="D375"/>
  <c r="E375"/>
  <c r="N375"/>
  <c r="N376"/>
  <c r="D377"/>
  <c r="E377"/>
  <c r="N377"/>
  <c r="D378"/>
  <c r="E378"/>
  <c r="N378"/>
  <c r="D379"/>
  <c r="E379" s="1"/>
  <c r="N379"/>
  <c r="D380"/>
  <c r="E380" s="1"/>
  <c r="N380"/>
  <c r="D381"/>
  <c r="E381" s="1"/>
  <c r="N381"/>
  <c r="D382"/>
  <c r="E382"/>
  <c r="N382"/>
  <c r="D383"/>
  <c r="E383" s="1"/>
  <c r="N383"/>
  <c r="D384"/>
  <c r="E384" s="1"/>
  <c r="N384"/>
  <c r="D385"/>
  <c r="E385" s="1"/>
  <c r="N385"/>
  <c r="D386"/>
  <c r="E386"/>
  <c r="N386"/>
  <c r="D387"/>
  <c r="E387" s="1"/>
  <c r="N387"/>
  <c r="N388"/>
  <c r="N389"/>
  <c r="N390"/>
  <c r="N391"/>
  <c r="N392"/>
  <c r="N393"/>
  <c r="N394"/>
  <c r="N395"/>
  <c r="N396"/>
  <c r="D397"/>
  <c r="N397"/>
  <c r="D398"/>
  <c r="N398"/>
  <c r="D399"/>
  <c r="N399"/>
  <c r="D400"/>
  <c r="N400"/>
  <c r="D401"/>
  <c r="N401"/>
  <c r="D402"/>
  <c r="N402"/>
  <c r="D403"/>
  <c r="N403"/>
  <c r="D404"/>
  <c r="N404"/>
  <c r="D405"/>
  <c r="N405"/>
  <c r="D406"/>
  <c r="N406"/>
  <c r="D407"/>
  <c r="N407"/>
  <c r="D408"/>
  <c r="N408"/>
  <c r="D409"/>
  <c r="N409"/>
  <c r="D410"/>
  <c r="N410"/>
  <c r="D411"/>
  <c r="N411"/>
  <c r="D412"/>
  <c r="N412"/>
  <c r="N413"/>
  <c r="D414"/>
  <c r="N414"/>
  <c r="D415"/>
  <c r="N415"/>
  <c r="D416"/>
  <c r="N416"/>
  <c r="D417"/>
  <c r="N417"/>
  <c r="N418"/>
  <c r="D419"/>
  <c r="N419"/>
  <c r="D420"/>
  <c r="N420"/>
  <c r="D421"/>
  <c r="N421"/>
  <c r="D422"/>
  <c r="N422"/>
  <c r="D423"/>
  <c r="N423"/>
  <c r="D424"/>
  <c r="N424"/>
  <c r="D425"/>
  <c r="N425"/>
  <c r="N426"/>
  <c r="N427"/>
  <c r="D428"/>
  <c r="N428"/>
  <c r="D429"/>
  <c r="N429"/>
  <c r="D430"/>
  <c r="N430"/>
  <c r="D431"/>
  <c r="N431"/>
  <c r="D432"/>
  <c r="N432"/>
  <c r="D433"/>
  <c r="N433"/>
  <c r="D434"/>
  <c r="N434"/>
  <c r="N435"/>
  <c r="N436"/>
  <c r="N437"/>
  <c r="N438"/>
  <c r="N439"/>
  <c r="D440"/>
  <c r="N440"/>
  <c r="D441"/>
  <c r="N441"/>
  <c r="D442"/>
  <c r="N442"/>
  <c r="D443"/>
  <c r="N443"/>
  <c r="N444"/>
  <c r="N445"/>
  <c r="N446"/>
  <c r="N447"/>
  <c r="N448"/>
  <c r="N449"/>
  <c r="N450"/>
  <c r="N451"/>
  <c r="N452"/>
  <c r="N453"/>
  <c r="N454"/>
  <c r="N455"/>
  <c r="D456"/>
  <c r="E456"/>
  <c r="N456"/>
  <c r="D457"/>
  <c r="E457" s="1"/>
  <c r="N457"/>
  <c r="D458"/>
  <c r="E458" s="1"/>
  <c r="N458"/>
  <c r="D459"/>
  <c r="E459" s="1"/>
  <c r="N459"/>
  <c r="N460"/>
  <c r="D461"/>
  <c r="E461" s="1"/>
  <c r="N461"/>
  <c r="D462"/>
  <c r="E462"/>
  <c r="N462"/>
  <c r="D463"/>
  <c r="E463" s="1"/>
  <c r="N463"/>
  <c r="N464"/>
  <c r="D465"/>
  <c r="E465" s="1"/>
  <c r="N465"/>
  <c r="D466"/>
  <c r="E466" s="1"/>
  <c r="N466"/>
  <c r="D467"/>
  <c r="E467"/>
  <c r="N467"/>
  <c r="N468"/>
  <c r="D469"/>
  <c r="E469"/>
  <c r="N469"/>
  <c r="D470"/>
  <c r="E470"/>
  <c r="N470"/>
  <c r="D471"/>
  <c r="E471" s="1"/>
  <c r="N471"/>
  <c r="N472"/>
  <c r="D473"/>
  <c r="E473" s="1"/>
  <c r="N473"/>
  <c r="D474"/>
  <c r="E474" s="1"/>
  <c r="N474"/>
  <c r="D475"/>
  <c r="E475"/>
  <c r="N475"/>
  <c r="N476"/>
  <c r="D477"/>
  <c r="N477"/>
  <c r="D478"/>
  <c r="N478"/>
  <c r="D479"/>
  <c r="N479"/>
  <c r="D480"/>
  <c r="N480"/>
  <c r="D481"/>
  <c r="N481"/>
  <c r="N482"/>
  <c r="D483"/>
  <c r="N483"/>
  <c r="D484"/>
  <c r="N484"/>
  <c r="D485"/>
  <c r="N485"/>
  <c r="D486"/>
  <c r="N486"/>
  <c r="D487"/>
  <c r="N487"/>
  <c r="N488"/>
  <c r="D489"/>
  <c r="N489"/>
  <c r="D490"/>
  <c r="N490"/>
  <c r="D491"/>
  <c r="N491"/>
  <c r="D492"/>
  <c r="N492"/>
  <c r="N493"/>
  <c r="D494"/>
  <c r="N494"/>
  <c r="D495"/>
  <c r="N495"/>
  <c r="D496"/>
  <c r="N496"/>
  <c r="D497"/>
  <c r="N497"/>
  <c r="D498"/>
  <c r="N498"/>
  <c r="D499"/>
  <c r="N499"/>
  <c r="N500"/>
  <c r="N501"/>
  <c r="D502"/>
  <c r="N502"/>
  <c r="N503"/>
  <c r="N504"/>
  <c r="N505"/>
  <c r="N506"/>
  <c r="D507"/>
  <c r="N507"/>
  <c r="N508"/>
  <c r="N509"/>
  <c r="N510"/>
  <c r="N511"/>
  <c r="N512"/>
  <c r="N513"/>
  <c r="D514"/>
  <c r="N514"/>
  <c r="D515"/>
  <c r="N515"/>
  <c r="N516"/>
  <c r="N517"/>
  <c r="N518"/>
  <c r="N519"/>
  <c r="N520"/>
  <c r="N521"/>
  <c r="D522"/>
  <c r="N522"/>
  <c r="D523"/>
  <c r="N523"/>
  <c r="N524"/>
  <c r="N525"/>
  <c r="N526"/>
  <c r="N527"/>
  <c r="N528"/>
  <c r="N529"/>
  <c r="D530"/>
  <c r="N530"/>
  <c r="N531"/>
  <c r="N532"/>
  <c r="N533"/>
  <c r="N534"/>
  <c r="D535"/>
  <c r="N535"/>
  <c r="D536"/>
  <c r="N536"/>
  <c r="D537"/>
  <c r="N537"/>
  <c r="D538"/>
  <c r="N538"/>
  <c r="D539"/>
  <c r="N539"/>
  <c r="D540"/>
  <c r="N540"/>
  <c r="D541"/>
  <c r="N541"/>
  <c r="N542"/>
  <c r="N543"/>
  <c r="N544"/>
  <c r="N545"/>
  <c r="N546"/>
  <c r="N547"/>
  <c r="D548"/>
  <c r="N548"/>
  <c r="D549"/>
  <c r="N549"/>
  <c r="D550"/>
  <c r="N550"/>
  <c r="D551"/>
  <c r="N551"/>
  <c r="D552"/>
  <c r="N552"/>
  <c r="D553"/>
  <c r="N553"/>
  <c r="D554"/>
  <c r="N554"/>
  <c r="N555"/>
  <c r="N556"/>
  <c r="D557"/>
  <c r="N557"/>
  <c r="D558"/>
  <c r="N558"/>
  <c r="D559"/>
  <c r="N559"/>
  <c r="D560"/>
  <c r="N560"/>
  <c r="D561"/>
  <c r="N561"/>
  <c r="D562"/>
  <c r="N562"/>
  <c r="D563"/>
  <c r="N563"/>
  <c r="D564"/>
  <c r="N564"/>
  <c r="D565"/>
  <c r="N565"/>
  <c r="D566"/>
  <c r="N566"/>
  <c r="D567"/>
  <c r="N567"/>
  <c r="D568"/>
  <c r="N568"/>
  <c r="N569"/>
  <c r="D570"/>
  <c r="N570"/>
  <c r="D571"/>
  <c r="N571"/>
  <c r="N572"/>
  <c r="N573"/>
  <c r="N574"/>
  <c r="N575"/>
  <c r="N576"/>
  <c r="N577"/>
  <c r="N578"/>
  <c r="D579"/>
  <c r="N579"/>
  <c r="D580"/>
  <c r="N580"/>
  <c r="D581"/>
  <c r="N581"/>
  <c r="N582"/>
  <c r="N583"/>
  <c r="N584"/>
  <c r="N585"/>
  <c r="N586"/>
  <c r="N587"/>
  <c r="N588"/>
  <c r="D589"/>
  <c r="N589"/>
  <c r="D590"/>
  <c r="N590"/>
  <c r="D591"/>
  <c r="N591"/>
  <c r="D592"/>
  <c r="N592"/>
  <c r="D593"/>
  <c r="N593"/>
  <c r="D594"/>
  <c r="N594"/>
  <c r="D595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D614"/>
  <c r="N614"/>
  <c r="D615"/>
  <c r="N615"/>
  <c r="D616"/>
  <c r="N616"/>
  <c r="D617"/>
  <c r="N617"/>
  <c r="D618"/>
  <c r="N618"/>
  <c r="D619"/>
  <c r="N619"/>
  <c r="D620"/>
  <c r="N620"/>
  <c r="N621"/>
  <c r="N622"/>
  <c r="D623"/>
  <c r="N623"/>
  <c r="D624"/>
  <c r="N624"/>
  <c r="N625"/>
  <c r="D626"/>
  <c r="N626"/>
  <c r="D627"/>
  <c r="N627"/>
  <c r="D628"/>
  <c r="N628"/>
  <c r="N629"/>
  <c r="N630"/>
  <c r="N631"/>
  <c r="N632"/>
  <c r="N633"/>
  <c r="N634"/>
  <c r="N635"/>
  <c r="N636"/>
  <c r="N637"/>
  <c r="N638"/>
  <c r="N639"/>
  <c r="N640"/>
  <c r="D641"/>
  <c r="N641"/>
  <c r="D642"/>
  <c r="N642"/>
  <c r="D643"/>
  <c r="N643"/>
  <c r="N644"/>
  <c r="N645"/>
  <c r="N646"/>
  <c r="D647"/>
  <c r="N647"/>
  <c r="D648"/>
  <c r="N648"/>
  <c r="N649"/>
  <c r="N650"/>
  <c r="N651"/>
  <c r="N652"/>
  <c r="N653"/>
  <c r="N654"/>
  <c r="N655"/>
  <c r="N656"/>
  <c r="D657"/>
  <c r="N657"/>
  <c r="D658"/>
  <c r="N658"/>
  <c r="D659"/>
  <c r="N659"/>
  <c r="N660"/>
  <c r="N661"/>
  <c r="N662"/>
  <c r="D663"/>
  <c r="N663"/>
  <c r="D664"/>
  <c r="N664"/>
  <c r="D665"/>
  <c r="N665"/>
  <c r="N666"/>
  <c r="N667"/>
  <c r="N668"/>
  <c r="N669"/>
  <c r="N670"/>
  <c r="N671"/>
  <c r="N672"/>
  <c r="N673"/>
  <c r="N674"/>
  <c r="N675"/>
  <c r="N676"/>
  <c r="N677"/>
  <c r="N678"/>
  <c r="N679"/>
  <c r="D680"/>
  <c r="N680"/>
  <c r="D681"/>
  <c r="N681"/>
  <c r="D682"/>
  <c r="N682"/>
  <c r="D683"/>
  <c r="N683"/>
  <c r="D684"/>
  <c r="N684"/>
  <c r="D685"/>
  <c r="N685"/>
  <c r="N686"/>
  <c r="N687"/>
  <c r="N688"/>
  <c r="N689"/>
  <c r="N690"/>
  <c r="N691"/>
  <c r="N692"/>
  <c r="D693"/>
  <c r="N693"/>
  <c r="D694"/>
  <c r="N694"/>
  <c r="D695"/>
  <c r="N695"/>
  <c r="D696"/>
  <c r="N696"/>
  <c r="D697"/>
  <c r="N697"/>
  <c r="D698"/>
  <c r="N698"/>
  <c r="D699"/>
  <c r="N699"/>
  <c r="D700"/>
  <c r="N700"/>
  <c r="D701"/>
  <c r="N701"/>
  <c r="D702"/>
  <c r="N702"/>
  <c r="D703"/>
  <c r="N703"/>
  <c r="D704"/>
  <c r="N704"/>
  <c r="D705"/>
  <c r="N705"/>
  <c r="D706"/>
  <c r="N706"/>
  <c r="D707"/>
  <c r="N707"/>
  <c r="D708"/>
  <c r="N708"/>
  <c r="D709"/>
  <c r="N709"/>
  <c r="D710"/>
  <c r="N710"/>
  <c r="N711"/>
  <c r="N712"/>
  <c r="N713"/>
  <c r="N714"/>
  <c r="D715"/>
  <c r="N715"/>
  <c r="D716"/>
  <c r="N716"/>
  <c r="D717"/>
  <c r="N717"/>
  <c r="D718"/>
  <c r="N718"/>
  <c r="D719"/>
  <c r="N719"/>
  <c r="D720"/>
  <c r="N720"/>
  <c r="D721"/>
  <c r="N721"/>
  <c r="D722"/>
  <c r="N722"/>
  <c r="D723"/>
  <c r="N723"/>
  <c r="D724"/>
  <c r="N724"/>
  <c r="D725"/>
  <c r="N725"/>
  <c r="D726"/>
  <c r="N726"/>
  <c r="D727"/>
  <c r="N727"/>
  <c r="D728"/>
  <c r="N728"/>
  <c r="D729"/>
  <c r="N729"/>
  <c r="D730"/>
  <c r="N730"/>
  <c r="D731"/>
  <c r="N731"/>
  <c r="D732"/>
  <c r="N732"/>
  <c r="N733"/>
  <c r="N734"/>
  <c r="N735"/>
  <c r="N736"/>
  <c r="N737"/>
  <c r="N738"/>
  <c r="N739"/>
  <c r="N740"/>
  <c r="D741"/>
  <c r="N741"/>
  <c r="D742"/>
  <c r="N742"/>
  <c r="D743"/>
  <c r="N743"/>
  <c r="D744"/>
  <c r="N744"/>
  <c r="D745"/>
  <c r="N745"/>
  <c r="D746"/>
  <c r="N746"/>
  <c r="D747"/>
  <c r="N747"/>
  <c r="D748"/>
  <c r="N748"/>
  <c r="D749"/>
  <c r="N749"/>
  <c r="D750"/>
  <c r="N750"/>
  <c r="D751"/>
  <c r="N751"/>
  <c r="D752"/>
  <c r="N752"/>
  <c r="D753"/>
  <c r="N753"/>
  <c r="D754"/>
  <c r="N754"/>
  <c r="D755"/>
  <c r="N755"/>
  <c r="D756"/>
  <c r="N756"/>
  <c r="D757"/>
  <c r="N757"/>
  <c r="D758"/>
  <c r="N758"/>
  <c r="D759"/>
  <c r="N759"/>
  <c r="D760"/>
  <c r="N760"/>
  <c r="D761"/>
  <c r="N761"/>
  <c r="N762"/>
  <c r="N763"/>
  <c r="N764"/>
  <c r="N765"/>
  <c r="N766"/>
  <c r="D767"/>
  <c r="N767"/>
  <c r="D768"/>
  <c r="N768"/>
  <c r="D769"/>
  <c r="N769"/>
  <c r="D770"/>
  <c r="N770"/>
  <c r="D771"/>
  <c r="N771"/>
  <c r="D772"/>
  <c r="N772"/>
  <c r="D773"/>
  <c r="N773"/>
  <c r="D774"/>
  <c r="N774"/>
  <c r="D775"/>
  <c r="N775"/>
  <c r="D776"/>
  <c r="N776"/>
  <c r="D777"/>
  <c r="N777"/>
  <c r="D778"/>
  <c r="N778"/>
  <c r="N779"/>
  <c r="N780"/>
  <c r="N781"/>
  <c r="N782"/>
  <c r="N783"/>
  <c r="N784"/>
  <c r="N785"/>
  <c r="N786"/>
  <c r="D787"/>
  <c r="N787"/>
  <c r="D788"/>
  <c r="N788"/>
  <c r="D789"/>
  <c r="N789"/>
  <c r="D790"/>
  <c r="N790"/>
  <c r="D791"/>
  <c r="N791"/>
  <c r="D792"/>
  <c r="N792"/>
  <c r="D793"/>
  <c r="N793"/>
  <c r="D794"/>
  <c r="N794"/>
  <c r="D795"/>
  <c r="N795"/>
  <c r="D796"/>
  <c r="N796"/>
  <c r="D797"/>
  <c r="N797"/>
  <c r="D798"/>
  <c r="N798"/>
  <c r="D799"/>
  <c r="N799"/>
  <c r="D800"/>
  <c r="N800"/>
  <c r="D801"/>
  <c r="N801"/>
  <c r="D802"/>
  <c r="N802"/>
  <c r="D803"/>
  <c r="N803"/>
  <c r="D804"/>
  <c r="N804"/>
  <c r="D805"/>
  <c r="N805"/>
  <c r="D806"/>
  <c r="N806"/>
  <c r="D807"/>
  <c r="N807"/>
  <c r="D808"/>
  <c r="N808"/>
  <c r="D809"/>
  <c r="N809"/>
  <c r="D810"/>
  <c r="N810"/>
  <c r="D811"/>
  <c r="N811"/>
  <c r="D812"/>
  <c r="N812"/>
  <c r="D813"/>
  <c r="N813"/>
  <c r="N814"/>
  <c r="N815"/>
  <c r="N816"/>
  <c r="N817"/>
  <c r="D818"/>
  <c r="H818"/>
  <c r="N818"/>
  <c r="D819"/>
  <c r="H819" s="1"/>
  <c r="H820" s="1"/>
  <c r="H821" s="1"/>
  <c r="N819"/>
  <c r="D820"/>
  <c r="N820"/>
  <c r="D821"/>
  <c r="N821"/>
  <c r="D822"/>
  <c r="N822"/>
  <c r="D823"/>
  <c r="N823"/>
  <c r="D824"/>
  <c r="N824"/>
  <c r="D825"/>
  <c r="N825"/>
  <c r="D826"/>
  <c r="N826"/>
  <c r="D827"/>
  <c r="N827"/>
  <c r="D828"/>
  <c r="N828"/>
  <c r="D829"/>
  <c r="N829"/>
  <c r="D830"/>
  <c r="N830"/>
  <c r="D831"/>
  <c r="N831"/>
  <c r="D832"/>
  <c r="N832"/>
  <c r="D833"/>
  <c r="N833"/>
  <c r="D834"/>
  <c r="N834"/>
  <c r="D835"/>
  <c r="N835"/>
  <c r="N836"/>
  <c r="N837"/>
  <c r="N838"/>
  <c r="N839"/>
  <c r="N840"/>
  <c r="N841"/>
  <c r="N842"/>
  <c r="N843"/>
  <c r="D844"/>
  <c r="N844"/>
  <c r="D845"/>
  <c r="N845"/>
  <c r="D846"/>
  <c r="N846"/>
  <c r="D847"/>
  <c r="N847"/>
  <c r="D848"/>
  <c r="N848"/>
  <c r="N849"/>
  <c r="N850"/>
  <c r="N851"/>
  <c r="N852"/>
  <c r="D853"/>
  <c r="N853"/>
  <c r="D854"/>
  <c r="N854"/>
  <c r="D855"/>
  <c r="N855"/>
  <c r="D856"/>
  <c r="N856"/>
  <c r="D857"/>
  <c r="N857"/>
  <c r="D858"/>
  <c r="N858"/>
  <c r="D859"/>
  <c r="N859"/>
  <c r="D860"/>
  <c r="N860"/>
  <c r="D861"/>
  <c r="N861"/>
  <c r="D862"/>
  <c r="N862"/>
  <c r="D863"/>
  <c r="N863"/>
  <c r="D864"/>
  <c r="N864"/>
  <c r="D865"/>
  <c r="N865"/>
  <c r="N866"/>
  <c r="N867"/>
  <c r="N868"/>
  <c r="N869"/>
  <c r="D870"/>
  <c r="N870"/>
  <c r="N871"/>
  <c r="N872"/>
  <c r="N873"/>
  <c r="N874"/>
  <c r="D875"/>
  <c r="N875"/>
  <c r="D876"/>
  <c r="N876"/>
  <c r="D877"/>
  <c r="N877"/>
  <c r="D878"/>
  <c r="N878"/>
  <c r="D879"/>
  <c r="N879"/>
  <c r="D880"/>
  <c r="N880"/>
  <c r="N881"/>
  <c r="N882"/>
  <c r="N883"/>
  <c r="N884"/>
  <c r="N885"/>
  <c r="N886"/>
  <c r="N887"/>
  <c r="N888"/>
  <c r="D889"/>
  <c r="N889"/>
  <c r="D890"/>
  <c r="N890"/>
  <c r="D891"/>
  <c r="N891"/>
  <c r="D892"/>
  <c r="N892"/>
  <c r="D893"/>
  <c r="N893"/>
  <c r="D894"/>
  <c r="N894"/>
  <c r="D895"/>
  <c r="N895"/>
  <c r="D896"/>
  <c r="N896"/>
  <c r="D897"/>
  <c r="N897"/>
  <c r="D898"/>
  <c r="N898"/>
  <c r="D899"/>
  <c r="N899"/>
  <c r="D900"/>
  <c r="N900"/>
  <c r="D901"/>
  <c r="N901"/>
  <c r="D902"/>
  <c r="N902"/>
  <c r="D903"/>
  <c r="N903"/>
  <c r="N904"/>
  <c r="N905"/>
  <c r="N906"/>
  <c r="N907"/>
  <c r="D908"/>
  <c r="N908"/>
  <c r="D909"/>
  <c r="N909"/>
  <c r="D910"/>
  <c r="N910"/>
  <c r="D911"/>
  <c r="N911"/>
  <c r="D912"/>
  <c r="N912"/>
  <c r="D913"/>
  <c r="N913"/>
  <c r="D914"/>
  <c r="N914"/>
  <c r="D915"/>
  <c r="N915"/>
  <c r="D916"/>
  <c r="N916"/>
  <c r="D917"/>
  <c r="N917"/>
  <c r="D918"/>
  <c r="N918"/>
  <c r="D919"/>
  <c r="N919"/>
  <c r="D920"/>
  <c r="N920"/>
  <c r="D921"/>
  <c r="N921"/>
  <c r="N922"/>
  <c r="N923"/>
  <c r="N924"/>
  <c r="D925"/>
  <c r="N925"/>
  <c r="D926"/>
  <c r="N926"/>
  <c r="D927"/>
  <c r="N927"/>
  <c r="D928"/>
  <c r="N928"/>
  <c r="N929"/>
  <c r="N930"/>
  <c r="N931"/>
  <c r="N932"/>
  <c r="D933"/>
  <c r="N933"/>
  <c r="D934"/>
  <c r="N934"/>
  <c r="D935"/>
  <c r="N935"/>
  <c r="D936"/>
  <c r="N936"/>
  <c r="D937"/>
  <c r="N937"/>
  <c r="N938"/>
  <c r="N939"/>
  <c r="D940"/>
  <c r="N940"/>
  <c r="D941"/>
  <c r="N941"/>
  <c r="D942"/>
  <c r="N942"/>
  <c r="D943"/>
  <c r="N943"/>
  <c r="D944"/>
  <c r="N944"/>
  <c r="D945"/>
  <c r="N945"/>
  <c r="D946"/>
  <c r="N946"/>
  <c r="D947"/>
  <c r="N947"/>
  <c r="D948"/>
  <c r="N948"/>
  <c r="D949"/>
  <c r="N949"/>
  <c r="D950"/>
  <c r="N950"/>
  <c r="D951"/>
  <c r="N951"/>
  <c r="D952"/>
  <c r="N952"/>
  <c r="D953"/>
  <c r="N953"/>
  <c r="D954"/>
  <c r="N954"/>
  <c r="N955"/>
  <c r="N956"/>
  <c r="N957"/>
  <c r="D958"/>
  <c r="N958"/>
  <c r="D959"/>
  <c r="N959"/>
  <c r="D960"/>
  <c r="N960"/>
  <c r="D961"/>
  <c r="N961"/>
  <c r="D962"/>
  <c r="N962"/>
  <c r="D963"/>
  <c r="N963"/>
  <c r="D964"/>
  <c r="N964"/>
  <c r="D965"/>
  <c r="N965"/>
  <c r="D966"/>
  <c r="N966"/>
  <c r="D967"/>
  <c r="N967"/>
  <c r="D968"/>
  <c r="N968"/>
  <c r="D969"/>
  <c r="N969"/>
  <c r="D970"/>
  <c r="N970"/>
  <c r="D971"/>
  <c r="N971"/>
  <c r="D972"/>
  <c r="N972"/>
  <c r="D973"/>
  <c r="N973"/>
  <c r="D974"/>
  <c r="N974"/>
  <c r="D975"/>
  <c r="N975"/>
  <c r="N976"/>
  <c r="N977"/>
  <c r="L10" i="12"/>
  <c r="M10" s="1"/>
  <c r="L11"/>
  <c r="L12" s="1"/>
  <c r="L12" i="11"/>
  <c r="L11" i="18"/>
  <c r="K28"/>
  <c r="I30"/>
  <c r="E29" s="1"/>
  <c r="H31"/>
  <c r="I31" s="1"/>
  <c r="I32"/>
  <c r="I33"/>
  <c r="I34"/>
  <c r="H35"/>
  <c r="I35" s="1"/>
  <c r="I36"/>
  <c r="I37"/>
  <c r="I38"/>
  <c r="H39"/>
  <c r="I39"/>
  <c r="I40"/>
  <c r="I41"/>
  <c r="I42"/>
  <c r="H43"/>
  <c r="I43" s="1"/>
  <c r="I44"/>
  <c r="I45"/>
  <c r="I46"/>
  <c r="H47"/>
  <c r="I47" s="1"/>
  <c r="I48"/>
  <c r="I49"/>
  <c r="J58"/>
  <c r="K58" s="1"/>
  <c r="J59"/>
  <c r="K59"/>
  <c r="E60"/>
  <c r="J60" s="1"/>
  <c r="K60"/>
  <c r="E61"/>
  <c r="J61" s="1"/>
  <c r="K61" s="1"/>
  <c r="K62"/>
  <c r="I64"/>
  <c r="H65"/>
  <c r="I65"/>
  <c r="I66"/>
  <c r="I67"/>
  <c r="I68"/>
  <c r="H69"/>
  <c r="I69"/>
  <c r="I70"/>
  <c r="I71"/>
  <c r="I72"/>
  <c r="H73"/>
  <c r="I73" s="1"/>
  <c r="I74"/>
  <c r="I75"/>
  <c r="I76"/>
  <c r="H77"/>
  <c r="I77" s="1"/>
  <c r="I78"/>
  <c r="I79"/>
  <c r="I80"/>
  <c r="H81"/>
  <c r="I81"/>
  <c r="I82"/>
  <c r="I83"/>
  <c r="J92"/>
  <c r="K92"/>
  <c r="J93"/>
  <c r="K93" s="1"/>
  <c r="E94"/>
  <c r="J94"/>
  <c r="K94" s="1"/>
  <c r="E95"/>
  <c r="J95" s="1"/>
  <c r="K95"/>
  <c r="K96"/>
  <c r="I98"/>
  <c r="H99"/>
  <c r="I99"/>
  <c r="E97" s="1"/>
  <c r="I100"/>
  <c r="I101"/>
  <c r="I102"/>
  <c r="H103"/>
  <c r="I103" s="1"/>
  <c r="I104"/>
  <c r="I105"/>
  <c r="I106"/>
  <c r="H107"/>
  <c r="I107" s="1"/>
  <c r="I108"/>
  <c r="I109"/>
  <c r="I110"/>
  <c r="H111"/>
  <c r="I111"/>
  <c r="I112"/>
  <c r="I113"/>
  <c r="I114"/>
  <c r="H115"/>
  <c r="I115"/>
  <c r="I116"/>
  <c r="I117"/>
  <c r="J126"/>
  <c r="K126"/>
  <c r="J127"/>
  <c r="K127" s="1"/>
  <c r="J128"/>
  <c r="K128" s="1"/>
  <c r="J129"/>
  <c r="K129" s="1"/>
  <c r="K130"/>
  <c r="G131"/>
  <c r="K132"/>
  <c r="K135"/>
  <c r="J136"/>
  <c r="K136"/>
  <c r="J137"/>
  <c r="K137" s="1"/>
  <c r="J138"/>
  <c r="K138"/>
  <c r="J139"/>
  <c r="K139" s="1"/>
  <c r="K140"/>
  <c r="K142"/>
  <c r="E151"/>
  <c r="J151" s="1"/>
  <c r="K151"/>
  <c r="J152"/>
  <c r="K152" s="1"/>
  <c r="J153"/>
  <c r="K153"/>
  <c r="J154"/>
  <c r="K154" s="1"/>
  <c r="J155"/>
  <c r="K155"/>
  <c r="J156"/>
  <c r="K156" s="1"/>
  <c r="J157"/>
  <c r="K157"/>
  <c r="J158"/>
  <c r="K158" s="1"/>
  <c r="J159"/>
  <c r="K159"/>
  <c r="J160"/>
  <c r="K160" s="1"/>
  <c r="J161"/>
  <c r="K161"/>
  <c r="J162"/>
  <c r="K162" s="1"/>
  <c r="J163"/>
  <c r="K163"/>
  <c r="J164"/>
  <c r="K164" s="1"/>
  <c r="J165"/>
  <c r="K165"/>
  <c r="K166"/>
  <c r="K170"/>
  <c r="K178"/>
  <c r="J179"/>
  <c r="K179"/>
  <c r="J180"/>
  <c r="K180" s="1"/>
  <c r="K181"/>
  <c r="K183"/>
  <c r="K192"/>
  <c r="K194"/>
  <c r="K202"/>
  <c r="K206"/>
  <c r="K214"/>
  <c r="K216"/>
  <c r="K226"/>
  <c r="K230"/>
  <c r="G232"/>
  <c r="J232" s="1"/>
  <c r="K232"/>
  <c r="J234"/>
  <c r="K234" s="1"/>
  <c r="K235"/>
  <c r="K237"/>
  <c r="J238"/>
  <c r="K238"/>
  <c r="J239"/>
  <c r="K239" s="1"/>
  <c r="J240"/>
  <c r="K240"/>
  <c r="J241"/>
  <c r="K241" s="1"/>
  <c r="J242"/>
  <c r="K242"/>
  <c r="J243"/>
  <c r="K243" s="1"/>
  <c r="J244"/>
  <c r="K244"/>
  <c r="J245"/>
  <c r="K245" s="1"/>
  <c r="J246"/>
  <c r="K246"/>
  <c r="J247"/>
  <c r="K247" s="1"/>
  <c r="K248"/>
  <c r="K252"/>
  <c r="K261"/>
  <c r="K262"/>
  <c r="K271"/>
  <c r="K273"/>
  <c r="K278"/>
  <c r="K280"/>
  <c r="K285"/>
  <c r="J289"/>
  <c r="J290"/>
  <c r="J291"/>
  <c r="J292"/>
  <c r="J294"/>
  <c r="J296"/>
  <c r="J297"/>
  <c r="J298"/>
  <c r="J300"/>
  <c r="J301"/>
  <c r="J302"/>
  <c r="J304"/>
  <c r="J305"/>
  <c r="J306"/>
  <c r="J307"/>
  <c r="J308"/>
  <c r="J309"/>
  <c r="L11" i="1"/>
  <c r="L13" i="12"/>
  <c r="L14" s="1"/>
  <c r="M11" i="1"/>
  <c r="M11" i="18"/>
  <c r="M13" s="1"/>
  <c r="L12"/>
  <c r="L13"/>
  <c r="H827" i="14"/>
  <c r="H828" s="1"/>
  <c r="H829" s="1"/>
  <c r="H830" s="1"/>
  <c r="H831"/>
  <c r="H832" s="1"/>
  <c r="H833" s="1"/>
  <c r="H834" s="1"/>
  <c r="H835" s="1"/>
  <c r="N11" i="11"/>
  <c r="M12"/>
  <c r="H822" i="14"/>
  <c r="H823"/>
  <c r="H824" s="1"/>
  <c r="H825" s="1"/>
  <c r="H826" s="1"/>
  <c r="L13" i="11"/>
  <c r="O11"/>
  <c r="O12" s="1"/>
  <c r="N12"/>
  <c r="N13"/>
  <c r="N11" i="18"/>
  <c r="N13" s="1"/>
  <c r="M12"/>
  <c r="P11" i="11"/>
  <c r="Q11" s="1"/>
  <c r="O13"/>
  <c r="O11" i="18"/>
  <c r="O12" s="1"/>
  <c r="N12"/>
  <c r="P12" i="11"/>
  <c r="P13"/>
  <c r="O13" i="18"/>
  <c r="P11"/>
  <c r="Q12" i="11"/>
  <c r="P13" i="18"/>
  <c r="D18" i="12"/>
  <c r="D21" i="11"/>
  <c r="D18"/>
  <c r="M28" i="14"/>
  <c r="D20" i="11"/>
  <c r="H18"/>
  <c r="G21"/>
  <c r="D17" i="12"/>
  <c r="M12" i="14"/>
  <c r="M37"/>
  <c r="M54"/>
  <c r="M87"/>
  <c r="M103"/>
  <c r="M119"/>
  <c r="M156"/>
  <c r="M186"/>
  <c r="M215"/>
  <c r="M231"/>
  <c r="M247"/>
  <c r="M254"/>
  <c r="M261"/>
  <c r="M282"/>
  <c r="M289"/>
  <c r="M293"/>
  <c r="M297"/>
  <c r="M301"/>
  <c r="M305"/>
  <c r="M315"/>
  <c r="M331"/>
  <c r="M349"/>
  <c r="M367"/>
  <c r="M381"/>
  <c r="M413"/>
  <c r="M417"/>
  <c r="M22"/>
  <c r="M35"/>
  <c r="M51"/>
  <c r="M64"/>
  <c r="M68"/>
  <c r="M72"/>
  <c r="M83"/>
  <c r="M93"/>
  <c r="M109"/>
  <c r="M122"/>
  <c r="M143"/>
  <c r="M153"/>
  <c r="M175"/>
  <c r="M182"/>
  <c r="M192"/>
  <c r="M221"/>
  <c r="M245"/>
  <c r="M272"/>
  <c r="M309"/>
  <c r="M325"/>
  <c r="M341"/>
  <c r="M353"/>
  <c r="M369"/>
  <c r="M387"/>
  <c r="M437"/>
  <c r="M457"/>
  <c r="M473"/>
  <c r="M485"/>
  <c r="M502"/>
  <c r="M517"/>
  <c r="M527"/>
  <c r="M548"/>
  <c r="M552"/>
  <c r="M576"/>
  <c r="M591"/>
  <c r="M595"/>
  <c r="M611"/>
  <c r="M631"/>
  <c r="M647"/>
  <c r="M17"/>
  <c r="M44"/>
  <c r="M136"/>
  <c r="M158"/>
  <c r="M172"/>
  <c r="M196"/>
  <c r="M208"/>
  <c r="M240"/>
  <c r="M346"/>
  <c r="M382"/>
  <c r="M394"/>
  <c r="M408"/>
  <c r="M428"/>
  <c r="M441"/>
  <c r="M451"/>
  <c r="M476"/>
  <c r="M480"/>
  <c r="M509"/>
  <c r="M528"/>
  <c r="M537"/>
  <c r="M541"/>
  <c r="M571"/>
  <c r="M621"/>
  <c r="M642"/>
  <c r="M657"/>
  <c r="M670"/>
  <c r="M692"/>
  <c r="M696"/>
  <c r="M700"/>
  <c r="M704"/>
  <c r="M708"/>
  <c r="M715"/>
  <c r="M719"/>
  <c r="M723"/>
  <c r="M727"/>
  <c r="M731"/>
  <c r="M741"/>
  <c r="M745"/>
  <c r="M749"/>
  <c r="M753"/>
  <c r="M757"/>
  <c r="M761"/>
  <c r="M19"/>
  <c r="M46"/>
  <c r="M86"/>
  <c r="M94"/>
  <c r="M102"/>
  <c r="M110"/>
  <c r="M118"/>
  <c r="M138"/>
  <c r="M194"/>
  <c r="M214"/>
  <c r="M222"/>
  <c r="M230"/>
  <c r="M246"/>
  <c r="M258"/>
  <c r="M312"/>
  <c r="M320"/>
  <c r="M328"/>
  <c r="M336"/>
  <c r="M350"/>
  <c r="M378"/>
  <c r="M406"/>
  <c r="M430"/>
  <c r="M447"/>
  <c r="M460"/>
  <c r="M490"/>
  <c r="M496"/>
  <c r="M505"/>
  <c r="M515"/>
  <c r="M530"/>
  <c r="M586"/>
  <c r="M626"/>
  <c r="M640"/>
  <c r="M668"/>
  <c r="M690"/>
  <c r="M763"/>
  <c r="M819"/>
  <c r="M833"/>
  <c r="M867"/>
  <c r="M905"/>
  <c r="M941"/>
  <c r="M945"/>
  <c r="M949"/>
  <c r="M953"/>
  <c r="G18" i="12"/>
  <c r="D23"/>
  <c r="D27"/>
  <c r="D31"/>
  <c r="D35"/>
  <c r="M16" i="14"/>
  <c r="M57"/>
  <c r="M73"/>
  <c r="M159"/>
  <c r="M233"/>
  <c r="M380"/>
  <c r="M425"/>
  <c r="M489"/>
  <c r="M558"/>
  <c r="M578"/>
  <c r="M638"/>
  <c r="M680"/>
  <c r="M776"/>
  <c r="M787"/>
  <c r="M791"/>
  <c r="M795"/>
  <c r="M799"/>
  <c r="M803"/>
  <c r="M807"/>
  <c r="M811"/>
  <c r="M831"/>
  <c r="M871"/>
  <c r="M925"/>
  <c r="M931"/>
  <c r="M960"/>
  <c r="M964"/>
  <c r="M968"/>
  <c r="M972"/>
  <c r="H17" i="12"/>
  <c r="I23"/>
  <c r="G29"/>
  <c r="H34"/>
  <c r="M14" i="14"/>
  <c r="M155"/>
  <c r="M187"/>
  <c r="M205"/>
  <c r="M273"/>
  <c r="M281"/>
  <c r="M409"/>
  <c r="M468"/>
  <c r="M559"/>
  <c r="M584"/>
  <c r="M604"/>
  <c r="M619"/>
  <c r="M655"/>
  <c r="M687"/>
  <c r="M735"/>
  <c r="M773"/>
  <c r="M818"/>
  <c r="M839"/>
  <c r="M854"/>
  <c r="M858"/>
  <c r="M862"/>
  <c r="M8"/>
  <c r="M265"/>
  <c r="M470"/>
  <c r="M565"/>
  <c r="M605"/>
  <c r="M673"/>
  <c r="M770"/>
  <c r="M822"/>
  <c r="M845"/>
  <c r="M868"/>
  <c r="M895"/>
  <c r="I19" i="12"/>
  <c r="G27"/>
  <c r="G34"/>
  <c r="P14" i="11"/>
  <c r="AF14"/>
  <c r="AV14"/>
  <c r="BL14"/>
  <c r="CB14"/>
  <c r="CR14"/>
  <c r="DH14"/>
  <c r="DX14"/>
  <c r="EN14"/>
  <c r="FD14"/>
  <c r="FT14"/>
  <c r="GJ14"/>
  <c r="GZ14"/>
  <c r="HP14"/>
  <c r="P14" i="18"/>
  <c r="AF14"/>
  <c r="AV14"/>
  <c r="BL14"/>
  <c r="CB14"/>
  <c r="G20"/>
  <c r="D148"/>
  <c r="D21" i="12"/>
  <c r="I16" i="11"/>
  <c r="G20"/>
  <c r="M10" i="14"/>
  <c r="M33"/>
  <c r="H20" i="11"/>
  <c r="M5" i="14"/>
  <c r="M38"/>
  <c r="M62"/>
  <c r="M99"/>
  <c r="M126"/>
  <c r="M173"/>
  <c r="M209"/>
  <c r="M241"/>
  <c r="M252"/>
  <c r="M260"/>
  <c r="M286"/>
  <c r="M291"/>
  <c r="M296"/>
  <c r="M302"/>
  <c r="M307"/>
  <c r="M327"/>
  <c r="M355"/>
  <c r="M375"/>
  <c r="M393"/>
  <c r="M435"/>
  <c r="M6"/>
  <c r="M34"/>
  <c r="M52"/>
  <c r="M66"/>
  <c r="M71"/>
  <c r="M84"/>
  <c r="M101"/>
  <c r="M121"/>
  <c r="M144"/>
  <c r="M160"/>
  <c r="M181"/>
  <c r="M199"/>
  <c r="M229"/>
  <c r="M263"/>
  <c r="M313"/>
  <c r="M333"/>
  <c r="M351"/>
  <c r="M373"/>
  <c r="M395"/>
  <c r="M453"/>
  <c r="M482"/>
  <c r="M487"/>
  <c r="M511"/>
  <c r="M532"/>
  <c r="M550"/>
  <c r="M572"/>
  <c r="M592"/>
  <c r="M603"/>
  <c r="M624"/>
  <c r="M648"/>
  <c r="M31"/>
  <c r="M134"/>
  <c r="M164"/>
  <c r="M176"/>
  <c r="M204"/>
  <c r="M262"/>
  <c r="M364"/>
  <c r="M392"/>
  <c r="M412"/>
  <c r="M439"/>
  <c r="M446"/>
  <c r="M477"/>
  <c r="M488"/>
  <c r="M525"/>
  <c r="M538"/>
  <c r="M569"/>
  <c r="M606"/>
  <c r="M645"/>
  <c r="M659"/>
  <c r="M688"/>
  <c r="M697"/>
  <c r="M702"/>
  <c r="M707"/>
  <c r="M716"/>
  <c r="M721"/>
  <c r="M726"/>
  <c r="M732"/>
  <c r="M743"/>
  <c r="M748"/>
  <c r="M754"/>
  <c r="M759"/>
  <c r="M40"/>
  <c r="M76"/>
  <c r="M96"/>
  <c r="M106"/>
  <c r="M116"/>
  <c r="M146"/>
  <c r="M206"/>
  <c r="M220"/>
  <c r="M232"/>
  <c r="M250"/>
  <c r="M310"/>
  <c r="M322"/>
  <c r="M332"/>
  <c r="M342"/>
  <c r="M386"/>
  <c r="M420"/>
  <c r="M438"/>
  <c r="M464"/>
  <c r="M494"/>
  <c r="M499"/>
  <c r="M518"/>
  <c r="M545"/>
  <c r="M610"/>
  <c r="M650"/>
  <c r="M676"/>
  <c r="M738"/>
  <c r="M821"/>
  <c r="M841"/>
  <c r="M886"/>
  <c r="M942"/>
  <c r="M947"/>
  <c r="M952"/>
  <c r="H19" i="12"/>
  <c r="D25"/>
  <c r="D30"/>
  <c r="D36"/>
  <c r="M53" i="14"/>
  <c r="M63"/>
  <c r="M161"/>
  <c r="M360"/>
  <c r="M411"/>
  <c r="M510"/>
  <c r="M566"/>
  <c r="M630"/>
  <c r="M684"/>
  <c r="M778"/>
  <c r="M790"/>
  <c r="M796"/>
  <c r="M801"/>
  <c r="M806"/>
  <c r="M812"/>
  <c r="M836"/>
  <c r="M924"/>
  <c r="M957"/>
  <c r="M962"/>
  <c r="M967"/>
  <c r="M973"/>
  <c r="G21" i="12"/>
  <c r="I27"/>
  <c r="I35"/>
  <c r="M133" i="14"/>
  <c r="M185"/>
  <c r="M211"/>
  <c r="M277"/>
  <c r="M401"/>
  <c r="M472"/>
  <c r="M567"/>
  <c r="M600"/>
  <c r="M649"/>
  <c r="M681"/>
  <c r="M733"/>
  <c r="M781"/>
  <c r="M827"/>
  <c r="M853"/>
  <c r="M859"/>
  <c r="M864"/>
  <c r="M165"/>
  <c r="M504"/>
  <c r="M580"/>
  <c r="D17" i="11"/>
  <c r="D20" i="12"/>
  <c r="L977" i="14"/>
  <c r="L976" s="1"/>
  <c r="L975" s="1"/>
  <c r="M32"/>
  <c r="D19" i="12"/>
  <c r="I21" i="11"/>
  <c r="G17"/>
  <c r="M29" i="14"/>
  <c r="M58"/>
  <c r="M95"/>
  <c r="M115"/>
  <c r="M169"/>
  <c r="M197"/>
  <c r="M227"/>
  <c r="M251"/>
  <c r="M259"/>
  <c r="M278"/>
  <c r="M290"/>
  <c r="M295"/>
  <c r="M300"/>
  <c r="M306"/>
  <c r="M323"/>
  <c r="M345"/>
  <c r="M371"/>
  <c r="M389"/>
  <c r="M416"/>
  <c r="M30"/>
  <c r="M50"/>
  <c r="M65"/>
  <c r="M70"/>
  <c r="M82"/>
  <c r="M97"/>
  <c r="M117"/>
  <c r="M135"/>
  <c r="M154"/>
  <c r="M180"/>
  <c r="M188"/>
  <c r="M225"/>
  <c r="M257"/>
  <c r="M284"/>
  <c r="M329"/>
  <c r="M347"/>
  <c r="M365"/>
  <c r="M391"/>
  <c r="M449"/>
  <c r="M471"/>
  <c r="M486"/>
  <c r="M507"/>
  <c r="M523"/>
  <c r="M549"/>
  <c r="M554"/>
  <c r="M590"/>
  <c r="M599"/>
  <c r="M623"/>
  <c r="M646"/>
  <c r="M23"/>
  <c r="M130"/>
  <c r="M148"/>
  <c r="M174"/>
  <c r="M200"/>
  <c r="M238"/>
  <c r="M358"/>
  <c r="M390"/>
  <c r="M404"/>
  <c r="M432"/>
  <c r="M443"/>
  <c r="M474"/>
  <c r="M481"/>
  <c r="M519"/>
  <c r="M536"/>
  <c r="M544"/>
  <c r="M598"/>
  <c r="M636"/>
  <c r="M658"/>
  <c r="M678"/>
  <c r="M695"/>
  <c r="M701"/>
  <c r="M706"/>
  <c r="M714"/>
  <c r="M720"/>
  <c r="M725"/>
  <c r="M730"/>
  <c r="M742"/>
  <c r="M747"/>
  <c r="M752"/>
  <c r="M758"/>
  <c r="M27"/>
  <c r="M74"/>
  <c r="M92"/>
  <c r="M104"/>
  <c r="M114"/>
  <c r="M132"/>
  <c r="M202"/>
  <c r="M218"/>
  <c r="M228"/>
  <c r="M248"/>
  <c r="M308"/>
  <c r="M318"/>
  <c r="M330"/>
  <c r="M340"/>
  <c r="M372"/>
  <c r="M410"/>
  <c r="M436"/>
  <c r="M458"/>
  <c r="M493"/>
  <c r="M498"/>
  <c r="M514"/>
  <c r="M533"/>
  <c r="M602"/>
  <c r="M637"/>
  <c r="M672"/>
  <c r="M734"/>
  <c r="M814"/>
  <c r="M837"/>
  <c r="M882"/>
  <c r="M940"/>
  <c r="M946"/>
  <c r="M951"/>
  <c r="I16" i="12"/>
  <c r="D24"/>
  <c r="D29"/>
  <c r="D34"/>
  <c r="M43" i="14"/>
  <c r="M61"/>
  <c r="M127"/>
  <c r="M356"/>
  <c r="M403"/>
  <c r="M461"/>
  <c r="M562"/>
  <c r="M618"/>
  <c r="M662"/>
  <c r="M777"/>
  <c r="M789"/>
  <c r="M794"/>
  <c r="M800"/>
  <c r="M805"/>
  <c r="M810"/>
  <c r="M834"/>
  <c r="M922"/>
  <c r="M928"/>
  <c r="M961"/>
  <c r="M966"/>
  <c r="M971"/>
  <c r="H26" i="12"/>
  <c r="G33"/>
  <c r="M77" i="14"/>
  <c r="M167"/>
  <c r="M193"/>
  <c r="M275"/>
  <c r="M285"/>
  <c r="M448"/>
  <c r="M563"/>
  <c r="M596"/>
  <c r="M615"/>
  <c r="M663"/>
  <c r="M691"/>
  <c r="M769"/>
  <c r="M824"/>
  <c r="M852"/>
  <c r="M857"/>
  <c r="M863"/>
  <c r="M137"/>
  <c r="M459"/>
  <c r="M573"/>
  <c r="M643"/>
  <c r="M762"/>
  <c r="M838"/>
  <c r="M847"/>
  <c r="M891"/>
  <c r="I21" i="12"/>
  <c r="I30"/>
  <c r="L14" i="11"/>
  <c r="AJ14"/>
  <c r="BD14"/>
  <c r="BX14"/>
  <c r="CV14"/>
  <c r="DP14"/>
  <c r="EJ14"/>
  <c r="FH14"/>
  <c r="GB14"/>
  <c r="GV14"/>
  <c r="HT14"/>
  <c r="X14" i="18"/>
  <c r="AR14"/>
  <c r="BP14"/>
  <c r="G18"/>
  <c r="D146"/>
  <c r="D195"/>
  <c r="D211"/>
  <c r="O14" i="1"/>
  <c r="AE14"/>
  <c r="AU14"/>
  <c r="BK14"/>
  <c r="CA14"/>
  <c r="I18"/>
  <c r="M235" i="14"/>
  <c r="M407"/>
  <c r="M577"/>
  <c r="M625"/>
  <c r="M774"/>
  <c r="M869"/>
  <c r="M884"/>
  <c r="M901"/>
  <c r="M934"/>
  <c r="M977"/>
  <c r="I22" i="12"/>
  <c r="I29"/>
  <c r="I36"/>
  <c r="V14" i="11"/>
  <c r="AL14"/>
  <c r="BB14"/>
  <c r="BR14"/>
  <c r="CH14"/>
  <c r="CX14"/>
  <c r="DN14"/>
  <c r="ED14"/>
  <c r="ET14"/>
  <c r="FJ14"/>
  <c r="FZ14"/>
  <c r="GP14"/>
  <c r="HF14"/>
  <c r="HV14"/>
  <c r="Z14" i="18"/>
  <c r="AP14"/>
  <c r="BF14"/>
  <c r="BV14"/>
  <c r="I18"/>
  <c r="D143"/>
  <c r="D210"/>
  <c r="M14" i="1"/>
  <c r="AC14"/>
  <c r="AS14"/>
  <c r="BI14"/>
  <c r="BY14"/>
  <c r="M18" i="14"/>
  <c r="M267"/>
  <c r="M491"/>
  <c r="M556"/>
  <c r="M634"/>
  <c r="D16" i="12"/>
  <c r="M20" i="14"/>
  <c r="I17" i="11"/>
  <c r="M4" i="14"/>
  <c r="M39"/>
  <c r="M107"/>
  <c r="M177"/>
  <c r="M242"/>
  <c r="M270"/>
  <c r="M292"/>
  <c r="M303"/>
  <c r="M335"/>
  <c r="M377"/>
  <c r="M41"/>
  <c r="M67"/>
  <c r="M85"/>
  <c r="M123"/>
  <c r="M171"/>
  <c r="M213"/>
  <c r="M276"/>
  <c r="M337"/>
  <c r="M379"/>
  <c r="M463"/>
  <c r="M501"/>
  <c r="M543"/>
  <c r="M583"/>
  <c r="M607"/>
  <c r="M7"/>
  <c r="M140"/>
  <c r="M178"/>
  <c r="M264"/>
  <c r="M396"/>
  <c r="M440"/>
  <c r="M478"/>
  <c r="M534"/>
  <c r="M570"/>
  <c r="M652"/>
  <c r="M693"/>
  <c r="M703"/>
  <c r="M717"/>
  <c r="M728"/>
  <c r="M744"/>
  <c r="M755"/>
  <c r="M42"/>
  <c r="M98"/>
  <c r="M120"/>
  <c r="M212"/>
  <c r="M236"/>
  <c r="M314"/>
  <c r="M334"/>
  <c r="M398"/>
  <c r="M450"/>
  <c r="M495"/>
  <c r="M524"/>
  <c r="M629"/>
  <c r="M686"/>
  <c r="M825"/>
  <c r="M930"/>
  <c r="M948"/>
  <c r="I20" i="12"/>
  <c r="D32"/>
  <c r="M55" i="14"/>
  <c r="M195"/>
  <c r="M427"/>
  <c r="M574"/>
  <c r="M768"/>
  <c r="M792"/>
  <c r="M802"/>
  <c r="M813"/>
  <c r="M926"/>
  <c r="M963"/>
  <c r="M974"/>
  <c r="H30" i="12"/>
  <c r="M139" i="14"/>
  <c r="M269"/>
  <c r="M423"/>
  <c r="M579"/>
  <c r="M651"/>
  <c r="M737"/>
  <c r="M830"/>
  <c r="M860"/>
  <c r="M399"/>
  <c r="M597"/>
  <c r="M711"/>
  <c r="M843"/>
  <c r="M877"/>
  <c r="G17" i="12"/>
  <c r="H32"/>
  <c r="X14" i="11"/>
  <c r="AZ14"/>
  <c r="CF14"/>
  <c r="DD14"/>
  <c r="EF14"/>
  <c r="FL14"/>
  <c r="GN14"/>
  <c r="HL14"/>
  <c r="AB14" i="18"/>
  <c r="BD14"/>
  <c r="I16"/>
  <c r="D150"/>
  <c r="D207"/>
  <c r="D277"/>
  <c r="AI14" i="1"/>
  <c r="BC14"/>
  <c r="BW14"/>
  <c r="I19"/>
  <c r="M370" i="14"/>
  <c r="M561"/>
  <c r="M669"/>
  <c r="M835"/>
  <c r="M879"/>
  <c r="M904"/>
  <c r="M936"/>
  <c r="H20" i="12"/>
  <c r="H31"/>
  <c r="N14" i="11"/>
  <c r="AH14"/>
  <c r="BF14"/>
  <c r="BZ14"/>
  <c r="CT14"/>
  <c r="DR14"/>
  <c r="EL14"/>
  <c r="FF14"/>
  <c r="GD14"/>
  <c r="GX14"/>
  <c r="HR14"/>
  <c r="AD14" i="18"/>
  <c r="AX14"/>
  <c r="BR14"/>
  <c r="I19"/>
  <c r="D149"/>
  <c r="D276"/>
  <c r="AG14" i="1"/>
  <c r="BA14"/>
  <c r="BU14"/>
  <c r="M131" i="14"/>
  <c r="M452"/>
  <c r="M531"/>
  <c r="M664"/>
  <c r="M775"/>
  <c r="M832"/>
  <c r="M866"/>
  <c r="M896"/>
  <c r="M920"/>
  <c r="I24" i="12"/>
  <c r="S14" i="11"/>
  <c r="AY14"/>
  <c r="CE14"/>
  <c r="DK14"/>
  <c r="EQ14"/>
  <c r="FW14"/>
  <c r="HC14"/>
  <c r="W14" i="18"/>
  <c r="BC14"/>
  <c r="I17"/>
  <c r="D184"/>
  <c r="D256"/>
  <c r="D283"/>
  <c r="BR14" i="1"/>
  <c r="M581" i="14"/>
  <c r="M906"/>
  <c r="G38" i="12"/>
  <c r="BU14" i="11"/>
  <c r="EG14"/>
  <c r="GS14"/>
  <c r="AS14" i="18"/>
  <c r="D224"/>
  <c r="M352" i="14"/>
  <c r="M675"/>
  <c r="M892"/>
  <c r="M918"/>
  <c r="G23" i="12"/>
  <c r="H37"/>
  <c r="AM14" i="11"/>
  <c r="BS14"/>
  <c r="CY14"/>
  <c r="EE14"/>
  <c r="FK14"/>
  <c r="GQ14"/>
  <c r="HW14"/>
  <c r="AQ14" i="18"/>
  <c r="BW14"/>
  <c r="D63"/>
  <c r="D231"/>
  <c r="D268"/>
  <c r="AH14" i="1"/>
  <c r="BN14"/>
  <c r="H19"/>
  <c r="D218" i="18"/>
  <c r="X14" i="1"/>
  <c r="BL14"/>
  <c r="I34" i="12"/>
  <c r="D255" i="18"/>
  <c r="AJ14" i="1"/>
  <c r="D18"/>
  <c r="M713" i="14"/>
  <c r="M898"/>
  <c r="M919"/>
  <c r="I25" i="12"/>
  <c r="M14" i="11"/>
  <c r="AS14"/>
  <c r="BY14"/>
  <c r="DE14"/>
  <c r="EK14"/>
  <c r="FQ14"/>
  <c r="GW14"/>
  <c r="Q14" i="18"/>
  <c r="AW14"/>
  <c r="H18"/>
  <c r="D253"/>
  <c r="BT14" i="1"/>
  <c r="AD14"/>
  <c r="H18"/>
  <c r="M627" i="14"/>
  <c r="M894"/>
  <c r="G20" i="12"/>
  <c r="AW14" i="11"/>
  <c r="DI14"/>
  <c r="FU14"/>
  <c r="U14" i="18"/>
  <c r="H19"/>
  <c r="AR14" i="1"/>
  <c r="H19" i="11"/>
  <c r="H17"/>
  <c r="H21"/>
  <c r="D19"/>
  <c r="M21" i="14"/>
  <c r="M75"/>
  <c r="M141"/>
  <c r="M219"/>
  <c r="M253"/>
  <c r="M287"/>
  <c r="M298"/>
  <c r="M311"/>
  <c r="M359"/>
  <c r="M414"/>
  <c r="M11"/>
  <c r="M56"/>
  <c r="M80"/>
  <c r="M105"/>
  <c r="M145"/>
  <c r="M183"/>
  <c r="M239"/>
  <c r="M317"/>
  <c r="M357"/>
  <c r="M426"/>
  <c r="M483"/>
  <c r="M521"/>
  <c r="M551"/>
  <c r="M593"/>
  <c r="M635"/>
  <c r="M36"/>
  <c r="M168"/>
  <c r="M210"/>
  <c r="M368"/>
  <c r="M418"/>
  <c r="M454"/>
  <c r="M492"/>
  <c r="M539"/>
  <c r="M628"/>
  <c r="M666"/>
  <c r="M698"/>
  <c r="M709"/>
  <c r="M722"/>
  <c r="M736"/>
  <c r="M750"/>
  <c r="M760"/>
  <c r="M9"/>
  <c r="M88"/>
  <c r="M108"/>
  <c r="M162"/>
  <c r="M224"/>
  <c r="M256"/>
  <c r="M324"/>
  <c r="M354"/>
  <c r="M424"/>
  <c r="M467"/>
  <c r="M508"/>
  <c r="M575"/>
  <c r="M654"/>
  <c r="M779"/>
  <c r="M850"/>
  <c r="M943"/>
  <c r="M954"/>
  <c r="D26" i="12"/>
  <c r="D37"/>
  <c r="M79" i="14"/>
  <c r="M376"/>
  <c r="M516"/>
  <c r="M644"/>
  <c r="M786"/>
  <c r="M797"/>
  <c r="M808"/>
  <c r="M849"/>
  <c r="M958"/>
  <c r="M969"/>
  <c r="H22" i="12"/>
  <c r="G37"/>
  <c r="M189" i="14"/>
  <c r="M279"/>
  <c r="M503"/>
  <c r="M608"/>
  <c r="M685"/>
  <c r="M784"/>
  <c r="M855"/>
  <c r="M865"/>
  <c r="M542"/>
  <c r="M665"/>
  <c r="M815"/>
  <c r="M846"/>
  <c r="M899"/>
  <c r="H25" i="12"/>
  <c r="I37"/>
  <c r="AN14" i="11"/>
  <c r="BP14"/>
  <c r="CN14"/>
  <c r="DT14"/>
  <c r="EV14"/>
  <c r="FX14"/>
  <c r="HD14"/>
  <c r="L14" i="18"/>
  <c r="AN14"/>
  <c r="BT14"/>
  <c r="G21"/>
  <c r="D177"/>
  <c r="D213"/>
  <c r="W14" i="1"/>
  <c r="AQ14"/>
  <c r="BO14"/>
  <c r="I16"/>
  <c r="M201" i="14"/>
  <c r="M419"/>
  <c r="M609"/>
  <c r="M766"/>
  <c r="M870"/>
  <c r="M893"/>
  <c r="M933"/>
  <c r="G26" i="12"/>
  <c r="G35"/>
  <c r="Z14" i="11"/>
  <c r="AT14"/>
  <c r="BN14"/>
  <c r="CL14"/>
  <c r="DF14"/>
  <c r="DZ14"/>
  <c r="EX14"/>
  <c r="FR14"/>
  <c r="GL14"/>
  <c r="HJ14"/>
  <c r="R14" i="18"/>
  <c r="AL14"/>
  <c r="BJ14"/>
  <c r="I21"/>
  <c r="D212"/>
  <c r="U14" i="1"/>
  <c r="AO14"/>
  <c r="BM14"/>
  <c r="M151" i="14"/>
  <c r="M500"/>
  <c r="M585"/>
  <c r="M679"/>
  <c r="M785"/>
  <c r="M397"/>
  <c r="M881"/>
  <c r="M912"/>
  <c r="H16" i="12"/>
  <c r="G32"/>
  <c r="AI14" i="11"/>
  <c r="BO14"/>
  <c r="CU14"/>
  <c r="EA14"/>
  <c r="FG14"/>
  <c r="GM14"/>
  <c r="HS14"/>
  <c r="AM14" i="18"/>
  <c r="BS14"/>
  <c r="D22"/>
  <c r="D221"/>
  <c r="D266"/>
  <c r="AL14" i="1"/>
  <c r="M421" i="14"/>
  <c r="M683"/>
  <c r="M921"/>
  <c r="AO14" i="11"/>
  <c r="DA14"/>
  <c r="FM14"/>
  <c r="M14" i="18"/>
  <c r="G17"/>
  <c r="D282"/>
  <c r="M344" i="14"/>
  <c r="M520"/>
  <c r="M880"/>
  <c r="M910"/>
  <c r="M938"/>
  <c r="G30" i="12"/>
  <c r="W14" i="11"/>
  <c r="BC14"/>
  <c r="CI14"/>
  <c r="DO14"/>
  <c r="EU14"/>
  <c r="GA14"/>
  <c r="HG14"/>
  <c r="AA14" i="18"/>
  <c r="BG14"/>
  <c r="D19"/>
  <c r="D219"/>
  <c r="D258"/>
  <c r="R14" i="1"/>
  <c r="AX14"/>
  <c r="CD14"/>
  <c r="H20" i="18"/>
  <c r="D284"/>
  <c r="AV14" i="1"/>
  <c r="D17"/>
  <c r="D97" i="18"/>
  <c r="T14" i="1"/>
  <c r="BP14"/>
  <c r="M641" i="14"/>
  <c r="M878"/>
  <c r="M911"/>
  <c r="I17" i="12"/>
  <c r="I32"/>
  <c r="AC14" i="11"/>
  <c r="BI14"/>
  <c r="CO14"/>
  <c r="DU14"/>
  <c r="FA14"/>
  <c r="GG14"/>
  <c r="HM14"/>
  <c r="AG14" i="18"/>
  <c r="BM14"/>
  <c r="D185"/>
  <c r="D267"/>
  <c r="G19" i="1"/>
  <c r="BJ14"/>
  <c r="M237" i="14"/>
  <c r="M840"/>
  <c r="M917"/>
  <c r="Q14" i="11"/>
  <c r="CC14"/>
  <c r="EO14"/>
  <c r="HA14"/>
  <c r="BA14" i="18"/>
  <c r="D265"/>
  <c r="I20" i="11"/>
  <c r="M24" i="14"/>
  <c r="H16" i="11"/>
  <c r="L974" i="14"/>
  <c r="L973" s="1"/>
  <c r="L972" s="1"/>
  <c r="M47"/>
  <c r="M111"/>
  <c r="M190"/>
  <c r="M243"/>
  <c r="M274"/>
  <c r="M294"/>
  <c r="M304"/>
  <c r="M339"/>
  <c r="M385"/>
  <c r="L971"/>
  <c r="L970" s="1"/>
  <c r="L969" s="1"/>
  <c r="L968" s="1"/>
  <c r="L967" s="1"/>
  <c r="L966" s="1"/>
  <c r="L965" s="1"/>
  <c r="M49"/>
  <c r="M69"/>
  <c r="M89"/>
  <c r="M124"/>
  <c r="M179"/>
  <c r="M217"/>
  <c r="M280"/>
  <c r="M343"/>
  <c r="M383"/>
  <c r="M465"/>
  <c r="M506"/>
  <c r="M547"/>
  <c r="M587"/>
  <c r="M622"/>
  <c r="M13"/>
  <c r="M142"/>
  <c r="M198"/>
  <c r="M268"/>
  <c r="M400"/>
  <c r="M442"/>
  <c r="M479"/>
  <c r="M535"/>
  <c r="M582"/>
  <c r="M656"/>
  <c r="M694"/>
  <c r="M705"/>
  <c r="M718"/>
  <c r="M729"/>
  <c r="M746"/>
  <c r="M756"/>
  <c r="L964"/>
  <c r="L963" s="1"/>
  <c r="L962" s="1"/>
  <c r="L961" s="1"/>
  <c r="M48"/>
  <c r="M100"/>
  <c r="M128"/>
  <c r="M216"/>
  <c r="M244"/>
  <c r="M316"/>
  <c r="M338"/>
  <c r="M402"/>
  <c r="M455"/>
  <c r="M497"/>
  <c r="M529"/>
  <c r="M632"/>
  <c r="M712"/>
  <c r="M829"/>
  <c r="M939"/>
  <c r="M950"/>
  <c r="D22" i="12"/>
  <c r="D33"/>
  <c r="M59" i="14"/>
  <c r="M207"/>
  <c r="M456"/>
  <c r="M614"/>
  <c r="M772"/>
  <c r="M793"/>
  <c r="M804"/>
  <c r="M828"/>
  <c r="M927"/>
  <c r="M965"/>
  <c r="M975"/>
  <c r="I31" i="12"/>
  <c r="M157" i="14"/>
  <c r="M271"/>
  <c r="M433"/>
  <c r="M588"/>
  <c r="M653"/>
  <c r="M739"/>
  <c r="M842"/>
  <c r="M861"/>
  <c r="M431"/>
  <c r="M613"/>
  <c r="M782"/>
  <c r="M844"/>
  <c r="M883"/>
  <c r="H23" i="12"/>
  <c r="G36"/>
  <c r="AB14" i="11"/>
  <c r="BH14"/>
  <c r="CJ14"/>
  <c r="DL14"/>
  <c r="ER14"/>
  <c r="FP14"/>
  <c r="GR14"/>
  <c r="HX14"/>
  <c r="AJ14" i="18"/>
  <c r="BH14"/>
  <c r="G19"/>
  <c r="D171"/>
  <c r="D209"/>
  <c r="S14" i="1"/>
  <c r="AM14"/>
  <c r="BG14"/>
  <c r="CE14"/>
  <c r="L960" i="14"/>
  <c r="L959" s="1"/>
  <c r="L958" s="1"/>
  <c r="I19" i="11"/>
  <c r="M150" i="14"/>
  <c r="M299"/>
  <c r="M25"/>
  <c r="M152"/>
  <c r="M361"/>
  <c r="M553"/>
  <c r="M170"/>
  <c r="M462"/>
  <c r="M674"/>
  <c r="M740"/>
  <c r="M90"/>
  <c r="M266"/>
  <c r="M469"/>
  <c r="M783"/>
  <c r="D28" i="12"/>
  <c r="M555" i="14"/>
  <c r="M809"/>
  <c r="G25" i="12"/>
  <c r="M546" i="14"/>
  <c r="M856"/>
  <c r="M820"/>
  <c r="T14" i="11"/>
  <c r="EB14"/>
  <c r="T14" i="18"/>
  <c r="D197"/>
  <c r="BS14" i="1"/>
  <c r="M374" i="14"/>
  <c r="M677"/>
  <c r="M889"/>
  <c r="M937"/>
  <c r="H33" i="12"/>
  <c r="AP14" i="11"/>
  <c r="CD14"/>
  <c r="DV14"/>
  <c r="FN14"/>
  <c r="HB14"/>
  <c r="AH14" i="18"/>
  <c r="BZ14"/>
  <c r="D208"/>
  <c r="AK14" i="1"/>
  <c r="CC14"/>
  <c r="M466" i="14"/>
  <c r="M671"/>
  <c r="M203"/>
  <c r="M908"/>
  <c r="H28" i="12"/>
  <c r="BG14" i="11"/>
  <c r="DS14"/>
  <c r="GE14"/>
  <c r="AE14" i="18"/>
  <c r="D20"/>
  <c r="D260"/>
  <c r="H16" i="1"/>
  <c r="M913" i="14"/>
  <c r="CK14" i="11"/>
  <c r="HI14"/>
  <c r="D259" i="18"/>
  <c r="M429" i="14"/>
  <c r="M900"/>
  <c r="I26" i="12"/>
  <c r="AU14" i="11"/>
  <c r="DG14"/>
  <c r="FS14"/>
  <c r="S14" i="18"/>
  <c r="H16"/>
  <c r="D254"/>
  <c r="AP14" i="1"/>
  <c r="D16" i="18"/>
  <c r="AN14" i="1"/>
  <c r="BQ14" i="18"/>
  <c r="AZ14" i="1"/>
  <c r="M873" i="14"/>
  <c r="M955"/>
  <c r="U14" i="11"/>
  <c r="CG14"/>
  <c r="ES14"/>
  <c r="HE14"/>
  <c r="BE14" i="18"/>
  <c r="D257"/>
  <c r="AT14" i="1"/>
  <c r="M771" i="14"/>
  <c r="G31" i="12"/>
  <c r="DY14" i="11"/>
  <c r="AK14" i="18"/>
  <c r="BX14" i="1"/>
  <c r="I18" i="11"/>
  <c r="M26" i="14"/>
  <c r="M255"/>
  <c r="M363"/>
  <c r="M81"/>
  <c r="M249"/>
  <c r="M484"/>
  <c r="M639"/>
  <c r="M388"/>
  <c r="M540"/>
  <c r="M710"/>
  <c r="M765"/>
  <c r="M166"/>
  <c r="M362"/>
  <c r="M589"/>
  <c r="M944"/>
  <c r="M125"/>
  <c r="M788"/>
  <c r="M959"/>
  <c r="M191"/>
  <c r="M689"/>
  <c r="M557"/>
  <c r="M903"/>
  <c r="BT14" i="11"/>
  <c r="GF14"/>
  <c r="BX14" i="18"/>
  <c r="AA14" i="1"/>
  <c r="L957" i="14"/>
  <c r="L956" s="1"/>
  <c r="L955" s="1"/>
  <c r="L954" s="1"/>
  <c r="L953" s="1"/>
  <c r="M149"/>
  <c r="M601"/>
  <c r="M851"/>
  <c r="M932"/>
  <c r="H24" i="12"/>
  <c r="R14" i="11"/>
  <c r="BJ14"/>
  <c r="DB14"/>
  <c r="EP14"/>
  <c r="GH14"/>
  <c r="N14" i="18"/>
  <c r="BB14"/>
  <c r="I20"/>
  <c r="Q14" i="1"/>
  <c r="BE14"/>
  <c r="M147" i="14"/>
  <c r="M564"/>
  <c r="M780"/>
  <c r="M876"/>
  <c r="M929"/>
  <c r="AA14" i="11"/>
  <c r="CM14"/>
  <c r="EY14"/>
  <c r="HK14"/>
  <c r="BK14" i="18"/>
  <c r="D217"/>
  <c r="V14" i="1"/>
  <c r="M616" i="14"/>
  <c r="Y14" i="11"/>
  <c r="EW14"/>
  <c r="BI14" i="18"/>
  <c r="M163" i="14"/>
  <c r="M764"/>
  <c r="M923"/>
  <c r="O14" i="11"/>
  <c r="CA14"/>
  <c r="EM14"/>
  <c r="GY14"/>
  <c r="AY14" i="18"/>
  <c r="D134"/>
  <c r="D281"/>
  <c r="BV14" i="1"/>
  <c r="D263" i="18"/>
  <c r="CB14" i="1"/>
  <c r="D269" i="18"/>
  <c r="G18" i="1"/>
  <c r="M907" i="14"/>
  <c r="H29" i="12"/>
  <c r="BA14" i="11"/>
  <c r="DM14"/>
  <c r="FY14"/>
  <c r="Y14" i="18"/>
  <c r="D133"/>
  <c r="D19" i="1"/>
  <c r="M45" i="14"/>
  <c r="M909"/>
  <c r="BM14" i="11"/>
  <c r="GK14"/>
  <c r="D233" i="18"/>
  <c r="G18" i="11"/>
  <c r="M223" i="14"/>
  <c r="M319"/>
  <c r="M60"/>
  <c r="M184"/>
  <c r="M445"/>
  <c r="M594"/>
  <c r="M234"/>
  <c r="M512"/>
  <c r="M699"/>
  <c r="M751"/>
  <c r="M112"/>
  <c r="M326"/>
  <c r="M513"/>
  <c r="M872"/>
  <c r="D38" i="12"/>
  <c r="M660" i="14"/>
  <c r="M885"/>
  <c r="H38" i="12"/>
  <c r="M612" i="14"/>
  <c r="M129"/>
  <c r="M848"/>
  <c r="AR14" i="11"/>
  <c r="EZ14"/>
  <c r="AZ14" i="18"/>
  <c r="D275"/>
  <c r="I17" i="1"/>
  <c r="M475" i="14"/>
  <c r="M826"/>
  <c r="M897"/>
  <c r="H18" i="12"/>
  <c r="I38"/>
  <c r="AX14" i="11"/>
  <c r="CP14"/>
  <c r="EH14"/>
  <c r="FV14"/>
  <c r="HN14"/>
  <c r="AT14" i="18"/>
  <c r="H17"/>
  <c r="D274"/>
  <c r="AW14" i="1"/>
  <c r="G17"/>
  <c r="M526" i="14"/>
  <c r="M767"/>
  <c r="M817"/>
  <c r="M916"/>
  <c r="H35" i="12"/>
  <c r="BW14" i="11"/>
  <c r="EI14"/>
  <c r="GU14"/>
  <c r="AU14" i="18"/>
  <c r="D131"/>
  <c r="D270"/>
  <c r="M444" i="14"/>
  <c r="H27" i="12"/>
  <c r="DQ14" i="11"/>
  <c r="AC14" i="18"/>
  <c r="BH14" i="1"/>
  <c r="M560" i="14"/>
  <c r="M914"/>
  <c r="I33" i="12"/>
  <c r="BK14" i="11"/>
  <c r="DW14"/>
  <c r="GI14"/>
  <c r="AI14" i="18"/>
  <c r="D21"/>
  <c r="D264"/>
  <c r="BF14" i="1"/>
  <c r="D29" i="18"/>
  <c r="BD14" i="1"/>
  <c r="D220" i="18"/>
  <c r="D16" i="1"/>
  <c r="M890" i="14"/>
  <c r="G22" i="12"/>
  <c r="AK14" i="11"/>
  <c r="CW14"/>
  <c r="FI14"/>
  <c r="HU14"/>
  <c r="BU14" i="18"/>
  <c r="AF14" i="1"/>
  <c r="BZ14"/>
  <c r="M874" i="14"/>
  <c r="AG14" i="11"/>
  <c r="FE14"/>
  <c r="BY14" i="18"/>
  <c r="M288" i="14"/>
  <c r="M522"/>
  <c r="M724"/>
  <c r="M661"/>
  <c r="M970"/>
  <c r="I28" i="12"/>
  <c r="AY14" i="1"/>
  <c r="M935" i="14"/>
  <c r="DJ14" i="11"/>
  <c r="BN14" i="18"/>
  <c r="M405" i="14"/>
  <c r="H21" i="12"/>
  <c r="O14" i="18"/>
  <c r="M902" i="14"/>
  <c r="M887"/>
  <c r="FC14" i="11"/>
  <c r="Z14" i="1"/>
  <c r="AB14"/>
  <c r="BQ14" i="11"/>
  <c r="D222" i="18"/>
  <c r="CS14" i="11"/>
  <c r="D16"/>
  <c r="M113" i="14"/>
  <c r="M422"/>
  <c r="M226"/>
  <c r="M384"/>
  <c r="M816"/>
  <c r="HH14" i="11"/>
  <c r="M617" i="14"/>
  <c r="AD14" i="11"/>
  <c r="GT14"/>
  <c r="Y14" i="1"/>
  <c r="M823" i="14"/>
  <c r="DC14" i="11"/>
  <c r="D225" i="18"/>
  <c r="GC14" i="11"/>
  <c r="AE14"/>
  <c r="BO14" i="18"/>
  <c r="P14" i="1"/>
  <c r="M915" i="14"/>
  <c r="GO14" i="11"/>
  <c r="M568" i="14"/>
  <c r="L14" i="1"/>
  <c r="M415" i="14"/>
  <c r="M78"/>
  <c r="M15"/>
  <c r="M976"/>
  <c r="M283"/>
  <c r="CZ14" i="11"/>
  <c r="L952" i="14"/>
  <c r="L951" s="1"/>
  <c r="L950" s="1"/>
  <c r="L949" s="1"/>
  <c r="L948" s="1"/>
  <c r="L947" s="1"/>
  <c r="L946" s="1"/>
  <c r="L945" s="1"/>
  <c r="L944" s="1"/>
  <c r="L943" s="1"/>
  <c r="L942" s="1"/>
  <c r="L941" s="1"/>
  <c r="L940" s="1"/>
  <c r="L939" s="1"/>
  <c r="L938" s="1"/>
  <c r="L937" s="1"/>
  <c r="L936" s="1"/>
  <c r="L935" s="1"/>
  <c r="L934" s="1"/>
  <c r="L933" s="1"/>
  <c r="L932" s="1"/>
  <c r="M366"/>
  <c r="G28" i="12"/>
  <c r="FB14" i="11"/>
  <c r="D147" i="18"/>
  <c r="M620" i="14"/>
  <c r="AQ14" i="11"/>
  <c r="CA14" i="18"/>
  <c r="BE14" i="11"/>
  <c r="I18" i="12"/>
  <c r="HO14" i="11"/>
  <c r="H17" i="1"/>
  <c r="M667" i="14"/>
  <c r="EC14" i="11"/>
  <c r="N14" i="1"/>
  <c r="HQ14" i="11"/>
  <c r="M633" i="14"/>
  <c r="G22" i="18"/>
  <c r="V14"/>
  <c r="BB14" i="1"/>
  <c r="M348" i="14"/>
  <c r="H36" i="12"/>
  <c r="M91" i="14"/>
  <c r="M798"/>
  <c r="M875"/>
  <c r="M888"/>
  <c r="D223" i="18"/>
  <c r="M956" i="14"/>
  <c r="M434"/>
  <c r="L931"/>
  <c r="L930" s="1"/>
  <c r="L929" s="1"/>
  <c r="L928" s="1"/>
  <c r="L927" s="1"/>
  <c r="L926" s="1"/>
  <c r="L925" s="1"/>
  <c r="L924" s="1"/>
  <c r="L923" s="1"/>
  <c r="L922" s="1"/>
  <c r="L921" s="1"/>
  <c r="L920" s="1"/>
  <c r="L919" s="1"/>
  <c r="L918" s="1"/>
  <c r="L917" s="1"/>
  <c r="L916" s="1"/>
  <c r="L915" s="1"/>
  <c r="L914" s="1"/>
  <c r="L913" s="1"/>
  <c r="L912" s="1"/>
  <c r="L911" s="1"/>
  <c r="L910" s="1"/>
  <c r="L909" s="1"/>
  <c r="L908" s="1"/>
  <c r="L907" s="1"/>
  <c r="L906" s="1"/>
  <c r="L905" s="1"/>
  <c r="L904" s="1"/>
  <c r="L903" s="1"/>
  <c r="L902" s="1"/>
  <c r="L901" s="1"/>
  <c r="L900" s="1"/>
  <c r="L899" s="1"/>
  <c r="L898" s="1"/>
  <c r="L897" s="1"/>
  <c r="L896" s="1"/>
  <c r="L895" s="1"/>
  <c r="L894" s="1"/>
  <c r="L893" s="1"/>
  <c r="L892" s="1"/>
  <c r="L891" s="1"/>
  <c r="L890" s="1"/>
  <c r="L889" s="1"/>
  <c r="L888" s="1"/>
  <c r="L887" s="1"/>
  <c r="L886" s="1"/>
  <c r="L885" s="1"/>
  <c r="L884" s="1"/>
  <c r="L883" s="1"/>
  <c r="L882" s="1"/>
  <c r="L881" s="1"/>
  <c r="L880" s="1"/>
  <c r="L879" s="1"/>
  <c r="L878" s="1"/>
  <c r="L877" s="1"/>
  <c r="L876" s="1"/>
  <c r="L875" s="1"/>
  <c r="L874" s="1"/>
  <c r="L873" s="1"/>
  <c r="L872" s="1"/>
  <c r="L871" s="1"/>
  <c r="L870" s="1"/>
  <c r="L869" s="1"/>
  <c r="L868" s="1"/>
  <c r="L867" s="1"/>
  <c r="L866" s="1"/>
  <c r="L865" s="1"/>
  <c r="L864" s="1"/>
  <c r="L863" s="1"/>
  <c r="L862" s="1"/>
  <c r="L861" s="1"/>
  <c r="L860" s="1"/>
  <c r="L859" s="1"/>
  <c r="L858" s="1"/>
  <c r="L857" s="1"/>
  <c r="L856" s="1"/>
  <c r="L855" s="1"/>
  <c r="L854" s="1"/>
  <c r="BQ14" i="1"/>
  <c r="H21" i="18"/>
  <c r="CQ14" i="11"/>
  <c r="AO14" i="18"/>
  <c r="BV14" i="11"/>
  <c r="M321" i="14"/>
  <c r="L853"/>
  <c r="L852" s="1"/>
  <c r="L851" s="1"/>
  <c r="L850" s="1"/>
  <c r="L849" s="1"/>
  <c r="L848" s="1"/>
  <c r="L847" s="1"/>
  <c r="L846" s="1"/>
  <c r="L845" s="1"/>
  <c r="L844" s="1"/>
  <c r="L843" s="1"/>
  <c r="L842" s="1"/>
  <c r="L841" s="1"/>
  <c r="L840" s="1"/>
  <c r="L839" s="1"/>
  <c r="L838" s="1"/>
  <c r="L837" s="1"/>
  <c r="L836" s="1"/>
  <c r="L835" s="1"/>
  <c r="L834" s="1"/>
  <c r="L833" s="1"/>
  <c r="L832" s="1"/>
  <c r="L831" s="1"/>
  <c r="L830" s="1"/>
  <c r="L829" s="1"/>
  <c r="L828" s="1"/>
  <c r="L827" s="1"/>
  <c r="L826" s="1"/>
  <c r="L825" s="1"/>
  <c r="L824" s="1"/>
  <c r="FO14" i="11"/>
  <c r="G24" i="12"/>
  <c r="M682" i="14"/>
  <c r="G19" i="12"/>
  <c r="G19" i="11"/>
  <c r="G16" i="1"/>
  <c r="G16" i="18"/>
  <c r="G16" i="12"/>
  <c r="G16" i="11"/>
  <c r="L820" i="14"/>
  <c r="L823"/>
  <c r="L822"/>
  <c r="L819"/>
  <c r="L821"/>
  <c r="L817" s="1"/>
  <c r="L816" s="1"/>
  <c r="L815" s="1"/>
  <c r="L814" s="1"/>
  <c r="L813" s="1"/>
  <c r="L812" s="1"/>
  <c r="L811" s="1"/>
  <c r="L810" s="1"/>
  <c r="L809" s="1"/>
  <c r="L808" s="1"/>
  <c r="L807" s="1"/>
  <c r="L806" s="1"/>
  <c r="L805" s="1"/>
  <c r="L804" s="1"/>
  <c r="L803" s="1"/>
  <c r="L802" s="1"/>
  <c r="L801" s="1"/>
  <c r="L800" s="1"/>
  <c r="L799" s="1"/>
  <c r="L798" s="1"/>
  <c r="L797" s="1"/>
  <c r="L796" s="1"/>
  <c r="L795" s="1"/>
  <c r="L794" s="1"/>
  <c r="L793" s="1"/>
  <c r="L792" s="1"/>
  <c r="L791" s="1"/>
  <c r="L790" s="1"/>
  <c r="L789" s="1"/>
  <c r="L788" s="1"/>
  <c r="L787" s="1"/>
  <c r="L786" s="1"/>
  <c r="L785" s="1"/>
  <c r="L784" s="1"/>
  <c r="L783" s="1"/>
  <c r="L782" s="1"/>
  <c r="L781" s="1"/>
  <c r="L780" s="1"/>
  <c r="L779" s="1"/>
  <c r="L778" s="1"/>
  <c r="L777" s="1"/>
  <c r="L776" s="1"/>
  <c r="L775" s="1"/>
  <c r="L774" s="1"/>
  <c r="L773" s="1"/>
  <c r="L772" s="1"/>
  <c r="L771" s="1"/>
  <c r="L770" s="1"/>
  <c r="L769" s="1"/>
  <c r="L768" s="1"/>
  <c r="L767" s="1"/>
  <c r="L766" s="1"/>
  <c r="L765" s="1"/>
  <c r="L764" s="1"/>
  <c r="L763" s="1"/>
  <c r="L762" s="1"/>
  <c r="L761" s="1"/>
  <c r="L760" s="1"/>
  <c r="L759" s="1"/>
  <c r="L758" s="1"/>
  <c r="L757" s="1"/>
  <c r="L756" s="1"/>
  <c r="L755" s="1"/>
  <c r="L754" s="1"/>
  <c r="L753" s="1"/>
  <c r="L752" s="1"/>
  <c r="L751" s="1"/>
  <c r="L750" s="1"/>
  <c r="L749" s="1"/>
  <c r="L748" s="1"/>
  <c r="L747" s="1"/>
  <c r="L746" s="1"/>
  <c r="L745" s="1"/>
  <c r="L744" s="1"/>
  <c r="L743" s="1"/>
  <c r="L742" s="1"/>
  <c r="L741" s="1"/>
  <c r="L740" s="1"/>
  <c r="L739" s="1"/>
  <c r="L738" s="1"/>
  <c r="L737" s="1"/>
  <c r="L736" s="1"/>
  <c r="L735" s="1"/>
  <c r="L734" s="1"/>
  <c r="L733" s="1"/>
  <c r="L732" s="1"/>
  <c r="L731" s="1"/>
  <c r="L730" s="1"/>
  <c r="L729" s="1"/>
  <c r="L728" s="1"/>
  <c r="L727" s="1"/>
  <c r="L726" s="1"/>
  <c r="L725" s="1"/>
  <c r="L724" s="1"/>
  <c r="L723" s="1"/>
  <c r="L722" s="1"/>
  <c r="L721" s="1"/>
  <c r="L720" s="1"/>
  <c r="L719" s="1"/>
  <c r="L718" s="1"/>
  <c r="L717" s="1"/>
  <c r="L716" s="1"/>
  <c r="L715" s="1"/>
  <c r="L714" s="1"/>
  <c r="L713" s="1"/>
  <c r="L712" s="1"/>
  <c r="L711" s="1"/>
  <c r="L710" s="1"/>
  <c r="L709" s="1"/>
  <c r="L708" s="1"/>
  <c r="L707" s="1"/>
  <c r="L706" s="1"/>
  <c r="L705" s="1"/>
  <c r="L704" s="1"/>
  <c r="L703" s="1"/>
  <c r="L702" s="1"/>
  <c r="L701" s="1"/>
  <c r="L700" s="1"/>
  <c r="L699" s="1"/>
  <c r="L698" s="1"/>
  <c r="L697" s="1"/>
  <c r="L696" s="1"/>
  <c r="L695" s="1"/>
  <c r="L694" s="1"/>
  <c r="L693" s="1"/>
  <c r="L692" s="1"/>
  <c r="L691" s="1"/>
  <c r="L690" s="1"/>
  <c r="L689" s="1"/>
  <c r="L688" s="1"/>
  <c r="L687" s="1"/>
  <c r="L686" s="1"/>
  <c r="L685" s="1"/>
  <c r="L684" s="1"/>
  <c r="L683" s="1"/>
  <c r="L682" s="1"/>
  <c r="L681" s="1"/>
  <c r="L680" s="1"/>
  <c r="L679" s="1"/>
  <c r="L678" s="1"/>
  <c r="L677" s="1"/>
  <c r="L676" s="1"/>
  <c r="L675" s="1"/>
  <c r="L674" s="1"/>
  <c r="L673" s="1"/>
  <c r="L672" s="1"/>
  <c r="L671" s="1"/>
  <c r="L670" s="1"/>
  <c r="L669" s="1"/>
  <c r="L668" s="1"/>
  <c r="L667" s="1"/>
  <c r="L666" s="1"/>
  <c r="L665" s="1"/>
  <c r="L664" s="1"/>
  <c r="L663" s="1"/>
  <c r="L662" s="1"/>
  <c r="L661" s="1"/>
  <c r="L660" s="1"/>
  <c r="L659" s="1"/>
  <c r="L658" s="1"/>
  <c r="L657" s="1"/>
  <c r="L656" s="1"/>
  <c r="L655" s="1"/>
  <c r="L654" s="1"/>
  <c r="L653" s="1"/>
  <c r="L652" s="1"/>
  <c r="L651" s="1"/>
  <c r="L650" s="1"/>
  <c r="L649" s="1"/>
  <c r="L648" s="1"/>
  <c r="L647" s="1"/>
  <c r="L646" s="1"/>
  <c r="L645" s="1"/>
  <c r="L644" s="1"/>
  <c r="L643" s="1"/>
  <c r="L642" s="1"/>
  <c r="L641" s="1"/>
  <c r="L640" s="1"/>
  <c r="L639" s="1"/>
  <c r="L638" s="1"/>
  <c r="L637" s="1"/>
  <c r="L636" s="1"/>
  <c r="L635" s="1"/>
  <c r="L634" s="1"/>
  <c r="L633" s="1"/>
  <c r="L632" s="1"/>
  <c r="L631" s="1"/>
  <c r="L630" s="1"/>
  <c r="L629" s="1"/>
  <c r="L628" s="1"/>
  <c r="L627" s="1"/>
  <c r="L626" s="1"/>
  <c r="L625" s="1"/>
  <c r="L624" s="1"/>
  <c r="L623" s="1"/>
  <c r="L622" s="1"/>
  <c r="L621" s="1"/>
  <c r="L620" s="1"/>
  <c r="L619" s="1"/>
  <c r="L618" s="1"/>
  <c r="L617" s="1"/>
  <c r="L616" s="1"/>
  <c r="L615" s="1"/>
  <c r="L614" s="1"/>
  <c r="L613" s="1"/>
  <c r="L612" s="1"/>
  <c r="L611" s="1"/>
  <c r="L610" s="1"/>
  <c r="L609" s="1"/>
  <c r="L608" s="1"/>
  <c r="L607" s="1"/>
  <c r="L606" s="1"/>
  <c r="L605" s="1"/>
  <c r="L604" s="1"/>
  <c r="L603" s="1"/>
  <c r="L602" s="1"/>
  <c r="L601" s="1"/>
  <c r="L600" s="1"/>
  <c r="L599" s="1"/>
  <c r="L598" s="1"/>
  <c r="L597" s="1"/>
  <c r="L596" s="1"/>
  <c r="L595" s="1"/>
  <c r="L594" s="1"/>
  <c r="L593" s="1"/>
  <c r="L592" s="1"/>
  <c r="L591" s="1"/>
  <c r="L590" s="1"/>
  <c r="L818"/>
  <c r="L589"/>
  <c r="L588"/>
  <c r="L587" s="1"/>
  <c r="L586" s="1"/>
  <c r="L585" s="1"/>
  <c r="L584" s="1"/>
  <c r="L583" s="1"/>
  <c r="L582" s="1"/>
  <c r="L581" s="1"/>
  <c r="L580" s="1"/>
  <c r="L579" s="1"/>
  <c r="L578" s="1"/>
  <c r="L577" s="1"/>
  <c r="L576" s="1"/>
  <c r="L575" s="1"/>
  <c r="L574" s="1"/>
  <c r="L573" s="1"/>
  <c r="L572" s="1"/>
  <c r="L571" s="1"/>
  <c r="L570" s="1"/>
  <c r="L569" s="1"/>
  <c r="L568" s="1"/>
  <c r="L567" s="1"/>
  <c r="L566" s="1"/>
  <c r="L565" s="1"/>
  <c r="L564" s="1"/>
  <c r="L563" s="1"/>
  <c r="L562" s="1"/>
  <c r="L561" s="1"/>
  <c r="L560" s="1"/>
  <c r="L559" s="1"/>
  <c r="L558" s="1"/>
  <c r="L557" s="1"/>
  <c r="L556" s="1"/>
  <c r="L555" s="1"/>
  <c r="L554" s="1"/>
  <c r="L553" s="1"/>
  <c r="L552" s="1"/>
  <c r="L551" s="1"/>
  <c r="L550" s="1"/>
  <c r="L549" s="1"/>
  <c r="L548" s="1"/>
  <c r="L547" s="1"/>
  <c r="L546" s="1"/>
  <c r="L545" s="1"/>
  <c r="L544" s="1"/>
  <c r="L543" s="1"/>
  <c r="L542" s="1"/>
  <c r="L541" s="1"/>
  <c r="L540" s="1"/>
  <c r="L539" s="1"/>
  <c r="L538" s="1"/>
  <c r="L537" s="1"/>
  <c r="L536" s="1"/>
  <c r="L535" s="1"/>
  <c r="L534" s="1"/>
  <c r="L533" s="1"/>
  <c r="L532" s="1"/>
  <c r="L531" s="1"/>
  <c r="L530" s="1"/>
  <c r="L529" s="1"/>
  <c r="L528" s="1"/>
  <c r="L527" s="1"/>
  <c r="L526" s="1"/>
  <c r="L525" s="1"/>
  <c r="L524" s="1"/>
  <c r="L523" s="1"/>
  <c r="L522" s="1"/>
  <c r="L521" s="1"/>
  <c r="L520" s="1"/>
  <c r="L519" s="1"/>
  <c r="L518" s="1"/>
  <c r="L517" s="1"/>
  <c r="L516" s="1"/>
  <c r="L515" s="1"/>
  <c r="L514" s="1"/>
  <c r="L513" s="1"/>
  <c r="L512" s="1"/>
  <c r="L511" s="1"/>
  <c r="L510" s="1"/>
  <c r="L509" s="1"/>
  <c r="L508" s="1"/>
  <c r="L507" s="1"/>
  <c r="L506" s="1"/>
  <c r="L505" s="1"/>
  <c r="L504" s="1"/>
  <c r="L503" s="1"/>
  <c r="L502" s="1"/>
  <c r="L501" s="1"/>
  <c r="L500" s="1"/>
  <c r="L499" s="1"/>
  <c r="L498" s="1"/>
  <c r="L497" s="1"/>
  <c r="L496" s="1"/>
  <c r="L495" s="1"/>
  <c r="L494" s="1"/>
  <c r="L493" s="1"/>
  <c r="L492" s="1"/>
  <c r="L491" s="1"/>
  <c r="L490" s="1"/>
  <c r="L489" s="1"/>
  <c r="L488" s="1"/>
  <c r="L487" s="1"/>
  <c r="L486" s="1"/>
  <c r="L485" s="1"/>
  <c r="L484" s="1"/>
  <c r="L483" s="1"/>
  <c r="L482" s="1"/>
  <c r="L481" s="1"/>
  <c r="L480" s="1"/>
  <c r="L479" s="1"/>
  <c r="L478" s="1"/>
  <c r="L477" s="1"/>
  <c r="L476" s="1"/>
  <c r="L475" s="1"/>
  <c r="L474" s="1"/>
  <c r="L473" s="1"/>
  <c r="L472" s="1"/>
  <c r="L471" s="1"/>
  <c r="L470" s="1"/>
  <c r="L469" s="1"/>
  <c r="L468" s="1"/>
  <c r="L467" s="1"/>
  <c r="L466" s="1"/>
  <c r="L465" s="1"/>
  <c r="L464" s="1"/>
  <c r="L463" s="1"/>
  <c r="L462" s="1"/>
  <c r="L461" s="1"/>
  <c r="L460" s="1"/>
  <c r="L459" s="1"/>
  <c r="L458" s="1"/>
  <c r="L457" s="1"/>
  <c r="L456" s="1"/>
  <c r="L455" s="1"/>
  <c r="L454" s="1"/>
  <c r="L453" s="1"/>
  <c r="L452" s="1"/>
  <c r="L451" s="1"/>
  <c r="L450" s="1"/>
  <c r="L449" s="1"/>
  <c r="L448" s="1"/>
  <c r="L447" s="1"/>
  <c r="L446" s="1"/>
  <c r="L445" s="1"/>
  <c r="L444" s="1"/>
  <c r="L443" s="1"/>
  <c r="L442" s="1"/>
  <c r="L441" s="1"/>
  <c r="L440" s="1"/>
  <c r="L439" s="1"/>
  <c r="L438" s="1"/>
  <c r="L437" s="1"/>
  <c r="L436" s="1"/>
  <c r="L435" s="1"/>
  <c r="L434" s="1"/>
  <c r="L433" s="1"/>
  <c r="L432" s="1"/>
  <c r="L431" s="1"/>
  <c r="L430" s="1"/>
  <c r="L429" s="1"/>
  <c r="L428" s="1"/>
  <c r="L427" s="1"/>
  <c r="L426" s="1"/>
  <c r="L425" s="1"/>
  <c r="L424" s="1"/>
  <c r="L423" s="1"/>
  <c r="L422" s="1"/>
  <c r="L421" s="1"/>
  <c r="L420" s="1"/>
  <c r="L419" s="1"/>
  <c r="L418" s="1"/>
  <c r="L417" s="1"/>
  <c r="L416" s="1"/>
  <c r="L415" s="1"/>
  <c r="L414" s="1"/>
  <c r="L413" s="1"/>
  <c r="L412" s="1"/>
  <c r="L411" s="1"/>
  <c r="L410" s="1"/>
  <c r="L409" s="1"/>
  <c r="L408" s="1"/>
  <c r="L407" s="1"/>
  <c r="L406" s="1"/>
  <c r="L405" s="1"/>
  <c r="L404" s="1"/>
  <c r="L403" s="1"/>
  <c r="L402" s="1"/>
  <c r="L401" s="1"/>
  <c r="L400" s="1"/>
  <c r="L399" s="1"/>
  <c r="L398" s="1"/>
  <c r="L397" s="1"/>
  <c r="L396" s="1"/>
  <c r="L395" s="1"/>
  <c r="L394" s="1"/>
  <c r="L393" s="1"/>
  <c r="L392" s="1"/>
  <c r="L391" s="1"/>
  <c r="L390" s="1"/>
  <c r="L389" s="1"/>
  <c r="L388" s="1"/>
  <c r="L387" s="1"/>
  <c r="L386" s="1"/>
  <c r="L385" s="1"/>
  <c r="L384" s="1"/>
  <c r="L383" s="1"/>
  <c r="L382" s="1"/>
  <c r="L381" s="1"/>
  <c r="L380" s="1"/>
  <c r="L379" s="1"/>
  <c r="L378" s="1"/>
  <c r="L377" s="1"/>
  <c r="L376" s="1"/>
  <c r="L375" s="1"/>
  <c r="L374" s="1"/>
  <c r="L373" s="1"/>
  <c r="L372" s="1"/>
  <c r="L371" s="1"/>
  <c r="L370" s="1"/>
  <c r="L369" s="1"/>
  <c r="L368" s="1"/>
  <c r="L367" s="1"/>
  <c r="L366" s="1"/>
  <c r="L365" s="1"/>
  <c r="L364" s="1"/>
  <c r="L363" s="1"/>
  <c r="L362" s="1"/>
  <c r="L361" s="1"/>
  <c r="L360" s="1"/>
  <c r="L359" s="1"/>
  <c r="L358" s="1"/>
  <c r="L357" s="1"/>
  <c r="L356" s="1"/>
  <c r="L355" s="1"/>
  <c r="L354" s="1"/>
  <c r="L353" s="1"/>
  <c r="L352" s="1"/>
  <c r="L351" s="1"/>
  <c r="L350" s="1"/>
  <c r="L349" s="1"/>
  <c r="L348" s="1"/>
  <c r="L347" s="1"/>
  <c r="L346" s="1"/>
  <c r="L345" s="1"/>
  <c r="L344" s="1"/>
  <c r="L343" s="1"/>
  <c r="L342" s="1"/>
  <c r="L341" s="1"/>
  <c r="L340" s="1"/>
  <c r="L339" s="1"/>
  <c r="L338" s="1"/>
  <c r="L337" s="1"/>
  <c r="L336" s="1"/>
  <c r="L335" s="1"/>
  <c r="L334" s="1"/>
  <c r="L333" s="1"/>
  <c r="L332" s="1"/>
  <c r="L331" s="1"/>
  <c r="L330" s="1"/>
  <c r="L329" s="1"/>
  <c r="L328" s="1"/>
  <c r="L327" s="1"/>
  <c r="L326" s="1"/>
  <c r="L325" s="1"/>
  <c r="L324" s="1"/>
  <c r="L323" s="1"/>
  <c r="L322" s="1"/>
  <c r="L321" s="1"/>
  <c r="L320" s="1"/>
  <c r="L319" s="1"/>
  <c r="L318" s="1"/>
  <c r="L317" s="1"/>
  <c r="L316" s="1"/>
  <c r="L315" s="1"/>
  <c r="L314" s="1"/>
  <c r="L313" s="1"/>
  <c r="L312" s="1"/>
  <c r="L311" s="1"/>
  <c r="L310" s="1"/>
  <c r="L309" s="1"/>
  <c r="L308" s="1"/>
  <c r="L307" s="1"/>
  <c r="L306" s="1"/>
  <c r="L305" s="1"/>
  <c r="L304" s="1"/>
  <c r="L303" s="1"/>
  <c r="L302" s="1"/>
  <c r="L301" s="1"/>
  <c r="L300" s="1"/>
  <c r="L299" s="1"/>
  <c r="L298" s="1"/>
  <c r="L297" s="1"/>
  <c r="L296" s="1"/>
  <c r="L295" s="1"/>
  <c r="L294" s="1"/>
  <c r="L293" s="1"/>
  <c r="L292" s="1"/>
  <c r="L291" s="1"/>
  <c r="L290" s="1"/>
  <c r="L289" s="1"/>
  <c r="L288" s="1"/>
  <c r="L287" s="1"/>
  <c r="L286" s="1"/>
  <c r="L285" s="1"/>
  <c r="L284" s="1"/>
  <c r="L283" s="1"/>
  <c r="L282" s="1"/>
  <c r="L281" s="1"/>
  <c r="L280" s="1"/>
  <c r="L279" s="1"/>
  <c r="L278" s="1"/>
  <c r="L277" s="1"/>
  <c r="L276" s="1"/>
  <c r="L275" s="1"/>
  <c r="L274" s="1"/>
  <c r="L273" s="1"/>
  <c r="L272" s="1"/>
  <c r="L271" s="1"/>
  <c r="L270" s="1"/>
  <c r="L269" s="1"/>
  <c r="L268" s="1"/>
  <c r="L267" s="1"/>
  <c r="L266" s="1"/>
  <c r="L265" s="1"/>
  <c r="L264" s="1"/>
  <c r="L263" s="1"/>
  <c r="L262" s="1"/>
  <c r="L261" s="1"/>
  <c r="L260" s="1"/>
  <c r="L259" s="1"/>
  <c r="L258" s="1"/>
  <c r="L257" s="1"/>
  <c r="L256" s="1"/>
  <c r="L255" s="1"/>
  <c r="L254" s="1"/>
  <c r="L253" s="1"/>
  <c r="L252" s="1"/>
  <c r="L251" s="1"/>
  <c r="L250" s="1"/>
  <c r="L249" s="1"/>
  <c r="L248" s="1"/>
  <c r="L247" s="1"/>
  <c r="L246" s="1"/>
  <c r="L245" s="1"/>
  <c r="L244" s="1"/>
  <c r="L243" s="1"/>
  <c r="L242" s="1"/>
  <c r="L241" s="1"/>
  <c r="L240" s="1"/>
  <c r="L239" s="1"/>
  <c r="L238" s="1"/>
  <c r="L237" s="1"/>
  <c r="L236" s="1"/>
  <c r="L235" s="1"/>
  <c r="L234" s="1"/>
  <c r="L233" s="1"/>
  <c r="L232" s="1"/>
  <c r="L231" s="1"/>
  <c r="L230" s="1"/>
  <c r="L229" s="1"/>
  <c r="L228" s="1"/>
  <c r="L227" s="1"/>
  <c r="L226" s="1"/>
  <c r="L225" s="1"/>
  <c r="L224" s="1"/>
  <c r="L223" s="1"/>
  <c r="L222" s="1"/>
  <c r="L221" s="1"/>
  <c r="L220" s="1"/>
  <c r="L219" s="1"/>
  <c r="L218" s="1"/>
  <c r="L217" s="1"/>
  <c r="L216" s="1"/>
  <c r="L215" s="1"/>
  <c r="L214" s="1"/>
  <c r="L213" s="1"/>
  <c r="L212" s="1"/>
  <c r="L211" s="1"/>
  <c r="L210" s="1"/>
  <c r="L209" s="1"/>
  <c r="L208" s="1"/>
  <c r="L207" s="1"/>
  <c r="L206" s="1"/>
  <c r="L205" s="1"/>
  <c r="L204" s="1"/>
  <c r="L203" s="1"/>
  <c r="L202" s="1"/>
  <c r="L201" s="1"/>
  <c r="L200" s="1"/>
  <c r="L199" s="1"/>
  <c r="L198" s="1"/>
  <c r="L197" s="1"/>
  <c r="L196" s="1"/>
  <c r="L195" s="1"/>
  <c r="L194" s="1"/>
  <c r="L193" s="1"/>
  <c r="L192" s="1"/>
  <c r="L191" s="1"/>
  <c r="L190" s="1"/>
  <c r="L189" s="1"/>
  <c r="L188" s="1"/>
  <c r="L187" s="1"/>
  <c r="L186" s="1"/>
  <c r="L185" s="1"/>
  <c r="L184" s="1"/>
  <c r="L183" s="1"/>
  <c r="L182" s="1"/>
  <c r="L181" s="1"/>
  <c r="L180" s="1"/>
  <c r="L179" s="1"/>
  <c r="L178" s="1"/>
  <c r="L177" s="1"/>
  <c r="L176" s="1"/>
  <c r="L175" s="1"/>
  <c r="L174" s="1"/>
  <c r="L173" s="1"/>
  <c r="L172" s="1"/>
  <c r="L171" s="1"/>
  <c r="L170" s="1"/>
  <c r="L169" s="1"/>
  <c r="L168" s="1"/>
  <c r="L167" s="1"/>
  <c r="L166" s="1"/>
  <c r="L165" s="1"/>
  <c r="L164" s="1"/>
  <c r="L163" s="1"/>
  <c r="L162" s="1"/>
  <c r="L161" s="1"/>
  <c r="L160" s="1"/>
  <c r="L159" s="1"/>
  <c r="L158" s="1"/>
  <c r="L157" s="1"/>
  <c r="L156" s="1"/>
  <c r="L155" s="1"/>
  <c r="L154" s="1"/>
  <c r="L153" s="1"/>
  <c r="L152" s="1"/>
  <c r="L151" s="1"/>
  <c r="L150" s="1"/>
  <c r="L149" s="1"/>
  <c r="L148" s="1"/>
  <c r="L147" s="1"/>
  <c r="L146" s="1"/>
  <c r="L145" s="1"/>
  <c r="L144" s="1"/>
  <c r="L143" s="1"/>
  <c r="L142" s="1"/>
  <c r="L141" s="1"/>
  <c r="L140" s="1"/>
  <c r="L139" s="1"/>
  <c r="L138" s="1"/>
  <c r="L137" s="1"/>
  <c r="L136" s="1"/>
  <c r="L135" s="1"/>
  <c r="L134" s="1"/>
  <c r="L133" s="1"/>
  <c r="L132" s="1"/>
  <c r="L131" s="1"/>
  <c r="L130" s="1"/>
  <c r="L129" s="1"/>
  <c r="L128" s="1"/>
  <c r="L127" s="1"/>
  <c r="L126" s="1"/>
  <c r="L125" s="1"/>
  <c r="L124" s="1"/>
  <c r="L123" s="1"/>
  <c r="L122" s="1"/>
  <c r="L121" s="1"/>
  <c r="L120" s="1"/>
  <c r="L119" s="1"/>
  <c r="L118" s="1"/>
  <c r="L117" s="1"/>
  <c r="L116" s="1"/>
  <c r="L115" s="1"/>
  <c r="L114" s="1"/>
  <c r="L113" s="1"/>
  <c r="L112" s="1"/>
  <c r="L111" s="1"/>
  <c r="L110" s="1"/>
  <c r="L109" s="1"/>
  <c r="L108" s="1"/>
  <c r="L107" s="1"/>
  <c r="L106" s="1"/>
  <c r="L105" s="1"/>
  <c r="L104" s="1"/>
  <c r="L103" s="1"/>
  <c r="L102" s="1"/>
  <c r="L101" s="1"/>
  <c r="L100" s="1"/>
  <c r="L99" s="1"/>
  <c r="L98" s="1"/>
  <c r="L97" s="1"/>
  <c r="L96" s="1"/>
  <c r="L95" s="1"/>
  <c r="L94" s="1"/>
  <c r="L93" s="1"/>
  <c r="L92" s="1"/>
  <c r="L91" s="1"/>
  <c r="L90" s="1"/>
  <c r="L89" s="1"/>
  <c r="L88" s="1"/>
  <c r="L87" s="1"/>
  <c r="L86" s="1"/>
  <c r="L85" s="1"/>
  <c r="L84" s="1"/>
  <c r="L83" s="1"/>
  <c r="L82" s="1"/>
  <c r="L81" s="1"/>
  <c r="L80" s="1"/>
  <c r="L79" s="1"/>
  <c r="L78" s="1"/>
  <c r="L77" s="1"/>
  <c r="L76" s="1"/>
  <c r="L75" s="1"/>
  <c r="L74" s="1"/>
  <c r="L73" s="1"/>
  <c r="L72" s="1"/>
  <c r="L71" s="1"/>
  <c r="L70" s="1"/>
  <c r="L69" s="1"/>
  <c r="L68" s="1"/>
  <c r="L67" s="1"/>
  <c r="L66" s="1"/>
  <c r="L65" s="1"/>
  <c r="L64" s="1"/>
  <c r="L63" s="1"/>
  <c r="L62" s="1"/>
  <c r="L61" s="1"/>
  <c r="L60" s="1"/>
  <c r="L59" s="1"/>
  <c r="L58" s="1"/>
  <c r="L57" s="1"/>
  <c r="L56" s="1"/>
  <c r="L55" s="1"/>
  <c r="L54" s="1"/>
  <c r="L53" s="1"/>
  <c r="L52" s="1"/>
  <c r="L51" s="1"/>
  <c r="L50" s="1"/>
  <c r="L49" s="1"/>
  <c r="L48" s="1"/>
  <c r="L47" s="1"/>
  <c r="L46" s="1"/>
  <c r="L45" s="1"/>
  <c r="L44" s="1"/>
  <c r="L43" s="1"/>
  <c r="L42" s="1"/>
  <c r="L41" s="1"/>
  <c r="L40" s="1"/>
  <c r="L39" s="1"/>
  <c r="L38" s="1"/>
  <c r="L37" s="1"/>
  <c r="L36" s="1"/>
  <c r="L35" s="1"/>
  <c r="L34" s="1"/>
  <c r="L33" s="1"/>
  <c r="L32" s="1"/>
  <c r="L31" s="1"/>
  <c r="L30" s="1"/>
  <c r="L29" s="1"/>
  <c r="L28" s="1"/>
  <c r="L27" s="1"/>
  <c r="L26" s="1"/>
  <c r="L25" s="1"/>
  <c r="L24" s="1"/>
  <c r="L23" s="1"/>
  <c r="L22" s="1"/>
  <c r="L21" s="1"/>
  <c r="L20" s="1"/>
  <c r="L19" s="1"/>
  <c r="L18" s="1"/>
  <c r="L17" s="1"/>
  <c r="L16" s="1"/>
  <c r="L15" s="1"/>
  <c r="L14" s="1"/>
  <c r="L13" s="1"/>
  <c r="L12" s="1"/>
  <c r="L11" s="1"/>
  <c r="L10" s="1"/>
  <c r="L9" s="1"/>
  <c r="L8" s="1"/>
  <c r="L7" s="1"/>
  <c r="L6" s="1"/>
  <c r="L5" s="1"/>
  <c r="L4" s="1"/>
  <c r="K682" l="1"/>
  <c r="K321"/>
  <c r="K434"/>
  <c r="K956"/>
  <c r="J223" i="18"/>
  <c r="K223" s="1"/>
  <c r="K888" i="14"/>
  <c r="K875"/>
  <c r="K798"/>
  <c r="K91"/>
  <c r="K348"/>
  <c r="K633"/>
  <c r="K667"/>
  <c r="K620"/>
  <c r="J147" i="18"/>
  <c r="K147" s="1"/>
  <c r="K366" i="14"/>
  <c r="K283"/>
  <c r="K976"/>
  <c r="K15"/>
  <c r="K78"/>
  <c r="K415"/>
  <c r="K568"/>
  <c r="K915"/>
  <c r="J225" i="18"/>
  <c r="K225" s="1"/>
  <c r="K823" i="14"/>
  <c r="K617"/>
  <c r="K816"/>
  <c r="K384"/>
  <c r="K226"/>
  <c r="K422"/>
  <c r="K113"/>
  <c r="J222" i="18"/>
  <c r="K222" s="1"/>
  <c r="K887" i="14"/>
  <c r="K902"/>
  <c r="K405"/>
  <c r="K935"/>
  <c r="K970"/>
  <c r="K661"/>
  <c r="K724"/>
  <c r="K522"/>
  <c r="K288"/>
  <c r="K874"/>
  <c r="K890"/>
  <c r="J220" i="18"/>
  <c r="K220" s="1"/>
  <c r="D31"/>
  <c r="J31" s="1"/>
  <c r="K31" s="1"/>
  <c r="D30"/>
  <c r="J264"/>
  <c r="K264" s="1"/>
  <c r="K914" i="14"/>
  <c r="K560"/>
  <c r="K444"/>
  <c r="J270" i="18"/>
  <c r="K270" s="1"/>
  <c r="J131"/>
  <c r="K131" s="1"/>
  <c r="K916" i="14"/>
  <c r="K817"/>
  <c r="K767"/>
  <c r="K526"/>
  <c r="J274" i="18"/>
  <c r="K897" i="14"/>
  <c r="K826"/>
  <c r="K475"/>
  <c r="J275" i="18"/>
  <c r="K275" s="1"/>
  <c r="K848" i="14"/>
  <c r="K129"/>
  <c r="K612"/>
  <c r="K885"/>
  <c r="K660"/>
  <c r="K872"/>
  <c r="K513"/>
  <c r="K326"/>
  <c r="K112"/>
  <c r="K751"/>
  <c r="K699"/>
  <c r="K512"/>
  <c r="K234"/>
  <c r="K594"/>
  <c r="K445"/>
  <c r="K184"/>
  <c r="K60"/>
  <c r="K319"/>
  <c r="K223"/>
  <c r="J233" i="18"/>
  <c r="K233" s="1"/>
  <c r="K909" i="14"/>
  <c r="K45"/>
  <c r="J133" i="18"/>
  <c r="K133" s="1"/>
  <c r="K907" i="14"/>
  <c r="J269" i="18"/>
  <c r="K269" s="1"/>
  <c r="J263"/>
  <c r="K263" s="1"/>
  <c r="J281"/>
  <c r="J134"/>
  <c r="K134" s="1"/>
  <c r="K923" i="14"/>
  <c r="K764"/>
  <c r="K163"/>
  <c r="K616"/>
  <c r="J217" i="18"/>
  <c r="K929" i="14"/>
  <c r="K876"/>
  <c r="K780"/>
  <c r="K564"/>
  <c r="K147"/>
  <c r="K932"/>
  <c r="K851"/>
  <c r="K601"/>
  <c r="K149"/>
  <c r="K903"/>
  <c r="K557"/>
  <c r="K689"/>
  <c r="K191"/>
  <c r="K959"/>
  <c r="K788"/>
  <c r="K125"/>
  <c r="K944"/>
  <c r="K589"/>
  <c r="K362"/>
  <c r="K166"/>
  <c r="K765"/>
  <c r="K710"/>
  <c r="K540"/>
  <c r="K388"/>
  <c r="K639"/>
  <c r="K484"/>
  <c r="K249"/>
  <c r="K81"/>
  <c r="K363"/>
  <c r="K255"/>
  <c r="K26"/>
  <c r="K771"/>
  <c r="J257" i="18"/>
  <c r="K257" s="1"/>
  <c r="K955" i="14"/>
  <c r="K873"/>
  <c r="J254" i="18"/>
  <c r="K254" s="1"/>
  <c r="K900" i="14"/>
  <c r="K429"/>
  <c r="J259" i="18"/>
  <c r="K259" s="1"/>
  <c r="K913" i="14"/>
  <c r="J260" i="18"/>
  <c r="K260" s="1"/>
  <c r="K908" i="14"/>
  <c r="K203"/>
  <c r="K671"/>
  <c r="K466"/>
  <c r="J208" i="18"/>
  <c r="K208" s="1"/>
  <c r="K937" i="14"/>
  <c r="K889"/>
  <c r="K677"/>
  <c r="K374"/>
  <c r="J197" i="18"/>
  <c r="K197" s="1"/>
  <c r="K820" i="14"/>
  <c r="K856"/>
  <c r="K546"/>
  <c r="K809"/>
  <c r="K555"/>
  <c r="K783"/>
  <c r="K469"/>
  <c r="K266"/>
  <c r="K90"/>
  <c r="K740"/>
  <c r="K674"/>
  <c r="K462"/>
  <c r="K170"/>
  <c r="K553"/>
  <c r="K361"/>
  <c r="K152"/>
  <c r="K25"/>
  <c r="K299"/>
  <c r="K150"/>
  <c r="J209" i="18"/>
  <c r="K209" s="1"/>
  <c r="D174"/>
  <c r="J174" s="1"/>
  <c r="K174" s="1"/>
  <c r="D173"/>
  <c r="J173" s="1"/>
  <c r="K173" s="1"/>
  <c r="D172"/>
  <c r="J172" s="1"/>
  <c r="K172" s="1"/>
  <c r="D175"/>
  <c r="J175" s="1"/>
  <c r="K175" s="1"/>
  <c r="D176"/>
  <c r="J176" s="1"/>
  <c r="K176" s="1"/>
  <c r="J171"/>
  <c r="K883" i="14"/>
  <c r="K844"/>
  <c r="K782"/>
  <c r="K613"/>
  <c r="K431"/>
  <c r="K861"/>
  <c r="K842"/>
  <c r="K739"/>
  <c r="K653"/>
  <c r="K588"/>
  <c r="K433"/>
  <c r="K271"/>
  <c r="K157"/>
  <c r="K975"/>
  <c r="K965"/>
  <c r="K927"/>
  <c r="K828"/>
  <c r="K804"/>
  <c r="K793"/>
  <c r="K772"/>
  <c r="K614"/>
  <c r="K456"/>
  <c r="K207"/>
  <c r="K59"/>
  <c r="K950"/>
  <c r="K939"/>
  <c r="K829"/>
  <c r="K712"/>
  <c r="K632"/>
  <c r="K529"/>
  <c r="K497"/>
  <c r="K455"/>
  <c r="K402"/>
  <c r="K338"/>
  <c r="K316"/>
  <c r="K244"/>
  <c r="K216"/>
  <c r="K128"/>
  <c r="K100"/>
  <c r="K48"/>
  <c r="K756"/>
  <c r="K746"/>
  <c r="K729"/>
  <c r="K718"/>
  <c r="K705"/>
  <c r="K694"/>
  <c r="K656"/>
  <c r="K582"/>
  <c r="K535"/>
  <c r="K479"/>
  <c r="K442"/>
  <c r="K400"/>
  <c r="K268"/>
  <c r="K198"/>
  <c r="K142"/>
  <c r="K13"/>
  <c r="K622"/>
  <c r="K587"/>
  <c r="K547"/>
  <c r="K506"/>
  <c r="K465"/>
  <c r="K383"/>
  <c r="K343"/>
  <c r="K280"/>
  <c r="K217"/>
  <c r="K179"/>
  <c r="K124"/>
  <c r="K89"/>
  <c r="K69"/>
  <c r="K49"/>
  <c r="K385"/>
  <c r="K339"/>
  <c r="K304"/>
  <c r="K294"/>
  <c r="K274"/>
  <c r="K243"/>
  <c r="K190"/>
  <c r="K111"/>
  <c r="K47"/>
  <c r="K24"/>
  <c r="J265" i="18"/>
  <c r="K265" s="1"/>
  <c r="K917" i="14"/>
  <c r="K840"/>
  <c r="K237"/>
  <c r="J267" i="18"/>
  <c r="K267" s="1"/>
  <c r="J185"/>
  <c r="K185" s="1"/>
  <c r="K911" i="14"/>
  <c r="K878"/>
  <c r="K641"/>
  <c r="D99" i="18"/>
  <c r="J99" s="1"/>
  <c r="K99" s="1"/>
  <c r="D98"/>
  <c r="J284"/>
  <c r="K284" s="1"/>
  <c r="J258"/>
  <c r="K258" s="1"/>
  <c r="J219"/>
  <c r="K219" s="1"/>
  <c r="K938" i="14"/>
  <c r="K910"/>
  <c r="K880"/>
  <c r="K520"/>
  <c r="K344"/>
  <c r="J282" i="18"/>
  <c r="K282" s="1"/>
  <c r="K921" i="14"/>
  <c r="K683"/>
  <c r="K421"/>
  <c r="J266" i="18"/>
  <c r="K266" s="1"/>
  <c r="J221"/>
  <c r="K221" s="1"/>
  <c r="K912" i="14"/>
  <c r="K881"/>
  <c r="K397"/>
  <c r="K785"/>
  <c r="K679"/>
  <c r="K585"/>
  <c r="K500"/>
  <c r="K151"/>
  <c r="J212" i="18"/>
  <c r="K212" s="1"/>
  <c r="K933" i="14"/>
  <c r="K893"/>
  <c r="K870"/>
  <c r="K766"/>
  <c r="K609"/>
  <c r="K419"/>
  <c r="K201"/>
  <c r="J213" i="18"/>
  <c r="K213" s="1"/>
  <c r="J177"/>
  <c r="K177" s="1"/>
  <c r="K899" i="14"/>
  <c r="K846"/>
  <c r="K815"/>
  <c r="K665"/>
  <c r="K542"/>
  <c r="K865"/>
  <c r="K855"/>
  <c r="K784"/>
  <c r="K685"/>
  <c r="K608"/>
  <c r="K503"/>
  <c r="K279"/>
  <c r="K189"/>
  <c r="K969"/>
  <c r="K958"/>
  <c r="K849"/>
  <c r="K808"/>
  <c r="K797"/>
  <c r="K786"/>
  <c r="K644"/>
  <c r="K516"/>
  <c r="K376"/>
  <c r="K79"/>
  <c r="K954"/>
  <c r="K943"/>
  <c r="K850"/>
  <c r="K779"/>
  <c r="K654"/>
  <c r="K575"/>
  <c r="K508"/>
  <c r="K467"/>
  <c r="K424"/>
  <c r="K354"/>
  <c r="K324"/>
  <c r="K256"/>
  <c r="K224"/>
  <c r="K162"/>
  <c r="K108"/>
  <c r="K88"/>
  <c r="K9"/>
  <c r="K760"/>
  <c r="K750"/>
  <c r="K736"/>
  <c r="K722"/>
  <c r="K709"/>
  <c r="K698"/>
  <c r="K666"/>
  <c r="K628"/>
  <c r="K539"/>
  <c r="K492"/>
  <c r="K454"/>
  <c r="K418"/>
  <c r="K368"/>
  <c r="K210"/>
  <c r="K168"/>
  <c r="K36"/>
  <c r="K635"/>
  <c r="K593"/>
  <c r="K551"/>
  <c r="K521"/>
  <c r="K483"/>
  <c r="K426"/>
  <c r="K357"/>
  <c r="K317"/>
  <c r="K239"/>
  <c r="K183"/>
  <c r="K145"/>
  <c r="K105"/>
  <c r="K80"/>
  <c r="K56"/>
  <c r="K11"/>
  <c r="K414"/>
  <c r="K359"/>
  <c r="K311"/>
  <c r="K298"/>
  <c r="K287"/>
  <c r="K253"/>
  <c r="K219"/>
  <c r="K141"/>
  <c r="K75"/>
  <c r="K21"/>
  <c r="K894"/>
  <c r="K627"/>
  <c r="J253" i="18"/>
  <c r="K919" i="14"/>
  <c r="K898"/>
  <c r="K713"/>
  <c r="J255" i="18"/>
  <c r="K255" s="1"/>
  <c r="J218"/>
  <c r="K218" s="1"/>
  <c r="J268"/>
  <c r="K268" s="1"/>
  <c r="J231"/>
  <c r="D229"/>
  <c r="D64"/>
  <c r="D65"/>
  <c r="J65" s="1"/>
  <c r="K65" s="1"/>
  <c r="K918" i="14"/>
  <c r="K892"/>
  <c r="K675"/>
  <c r="K352"/>
  <c r="J224" i="18"/>
  <c r="K224" s="1"/>
  <c r="K906" i="14"/>
  <c r="K581"/>
  <c r="J283" i="18"/>
  <c r="K283" s="1"/>
  <c r="J256"/>
  <c r="K256" s="1"/>
  <c r="D186"/>
  <c r="J186" s="1"/>
  <c r="K186" s="1"/>
  <c r="D188"/>
  <c r="J188" s="1"/>
  <c r="K188" s="1"/>
  <c r="D191"/>
  <c r="J191" s="1"/>
  <c r="K191" s="1"/>
  <c r="D189"/>
  <c r="J189" s="1"/>
  <c r="K189" s="1"/>
  <c r="D187"/>
  <c r="J187" s="1"/>
  <c r="K187" s="1"/>
  <c r="D190"/>
  <c r="J190" s="1"/>
  <c r="K190" s="1"/>
  <c r="J184"/>
  <c r="K920" i="14"/>
  <c r="K896"/>
  <c r="K866"/>
  <c r="K832"/>
  <c r="K775"/>
  <c r="K664"/>
  <c r="K531"/>
  <c r="K452"/>
  <c r="K131"/>
  <c r="J276" i="18"/>
  <c r="K276" s="1"/>
  <c r="J149"/>
  <c r="K149" s="1"/>
  <c r="K936" i="14"/>
  <c r="K904"/>
  <c r="K879"/>
  <c r="K835"/>
  <c r="K669"/>
  <c r="K561"/>
  <c r="K370"/>
  <c r="J277" i="18"/>
  <c r="K277" s="1"/>
  <c r="J207"/>
  <c r="J150"/>
  <c r="K150" s="1"/>
  <c r="K877" i="14"/>
  <c r="K843"/>
  <c r="K711"/>
  <c r="K597"/>
  <c r="K399"/>
  <c r="K860"/>
  <c r="K830"/>
  <c r="K737"/>
  <c r="K651"/>
  <c r="K579"/>
  <c r="K423"/>
  <c r="K269"/>
  <c r="K139"/>
  <c r="K974"/>
  <c r="K963"/>
  <c r="K926"/>
  <c r="K813"/>
  <c r="K802"/>
  <c r="K792"/>
  <c r="K768"/>
  <c r="K574"/>
  <c r="K427"/>
  <c r="K195"/>
  <c r="K55"/>
  <c r="K948"/>
  <c r="K930"/>
  <c r="K825"/>
  <c r="K686"/>
  <c r="K629"/>
  <c r="K524"/>
  <c r="K495"/>
  <c r="K450"/>
  <c r="K398"/>
  <c r="K334"/>
  <c r="K314"/>
  <c r="K236"/>
  <c r="K212"/>
  <c r="K120"/>
  <c r="K98"/>
  <c r="K42"/>
  <c r="K755"/>
  <c r="K744"/>
  <c r="K728"/>
  <c r="K717"/>
  <c r="K703"/>
  <c r="K693"/>
  <c r="K652"/>
  <c r="K570"/>
  <c r="K534"/>
  <c r="K478"/>
  <c r="K440"/>
  <c r="K396"/>
  <c r="K264"/>
  <c r="K178"/>
  <c r="K140"/>
  <c r="K7"/>
  <c r="K607"/>
  <c r="K583"/>
  <c r="K543"/>
  <c r="K501"/>
  <c r="K463"/>
  <c r="K379"/>
  <c r="K337"/>
  <c r="K276"/>
  <c r="K213"/>
  <c r="K171"/>
  <c r="K123"/>
  <c r="K85"/>
  <c r="K67"/>
  <c r="K41"/>
  <c r="K377"/>
  <c r="K335"/>
  <c r="K303"/>
  <c r="K292"/>
  <c r="K270"/>
  <c r="K242"/>
  <c r="K177"/>
  <c r="K107"/>
  <c r="K39"/>
  <c r="K4"/>
  <c r="K20"/>
  <c r="K634"/>
  <c r="K556"/>
  <c r="K491"/>
  <c r="K267"/>
  <c r="K18"/>
  <c r="J210" i="18"/>
  <c r="K210" s="1"/>
  <c r="D144"/>
  <c r="J143"/>
  <c r="K977" i="14"/>
  <c r="K934"/>
  <c r="K901"/>
  <c r="K884"/>
  <c r="K869"/>
  <c r="K774"/>
  <c r="K625"/>
  <c r="K577"/>
  <c r="K407"/>
  <c r="K235"/>
  <c r="J211" i="18"/>
  <c r="K211" s="1"/>
  <c r="D196"/>
  <c r="J195"/>
  <c r="D198"/>
  <c r="J198" s="1"/>
  <c r="K198" s="1"/>
  <c r="J146"/>
  <c r="K146" s="1"/>
  <c r="K891" i="14"/>
  <c r="K847"/>
  <c r="K838"/>
  <c r="K762"/>
  <c r="K643"/>
  <c r="K573"/>
  <c r="K459"/>
  <c r="K137"/>
  <c r="K863"/>
  <c r="K857"/>
  <c r="K852"/>
  <c r="K824"/>
  <c r="K769"/>
  <c r="K691"/>
  <c r="K663"/>
  <c r="K615"/>
  <c r="K596"/>
  <c r="K563"/>
  <c r="K448"/>
  <c r="K285"/>
  <c r="K275"/>
  <c r="K193"/>
  <c r="K167"/>
  <c r="K77"/>
  <c r="K971"/>
  <c r="K966"/>
  <c r="K961"/>
  <c r="K928"/>
  <c r="K834"/>
  <c r="K810"/>
  <c r="K805"/>
  <c r="K800"/>
  <c r="K794"/>
  <c r="K789"/>
  <c r="K777"/>
  <c r="K662"/>
  <c r="K618"/>
  <c r="K562"/>
  <c r="K461"/>
  <c r="K403"/>
  <c r="K356"/>
  <c r="K127"/>
  <c r="K61"/>
  <c r="K43"/>
  <c r="K951"/>
  <c r="K946"/>
  <c r="K940"/>
  <c r="K882"/>
  <c r="K837"/>
  <c r="K814"/>
  <c r="K734"/>
  <c r="K672"/>
  <c r="K637"/>
  <c r="K602"/>
  <c r="K533"/>
  <c r="K514"/>
  <c r="K498"/>
  <c r="K493"/>
  <c r="K458"/>
  <c r="K436"/>
  <c r="K410"/>
  <c r="K372"/>
  <c r="K340"/>
  <c r="K330"/>
  <c r="K318"/>
  <c r="K308"/>
  <c r="K248"/>
  <c r="K228"/>
  <c r="K218"/>
  <c r="K202"/>
  <c r="K132"/>
  <c r="K114"/>
  <c r="K104"/>
  <c r="K92"/>
  <c r="K74"/>
  <c r="K27"/>
  <c r="K758"/>
  <c r="K752"/>
  <c r="K747"/>
  <c r="K742"/>
  <c r="K730"/>
  <c r="K725"/>
  <c r="K720"/>
  <c r="K714"/>
  <c r="K706"/>
  <c r="K701"/>
  <c r="K695"/>
  <c r="K678"/>
  <c r="K658"/>
  <c r="K636"/>
  <c r="K598"/>
  <c r="K544"/>
  <c r="K536"/>
  <c r="K519"/>
  <c r="K481"/>
  <c r="K474"/>
  <c r="K443"/>
  <c r="K432"/>
  <c r="K404"/>
  <c r="K390"/>
  <c r="K358"/>
  <c r="K238"/>
  <c r="K200"/>
  <c r="K174"/>
  <c r="K148"/>
  <c r="K130"/>
  <c r="K23"/>
  <c r="K646"/>
  <c r="K623"/>
  <c r="K599"/>
  <c r="K590"/>
  <c r="K554"/>
  <c r="K549"/>
  <c r="K523"/>
  <c r="K507"/>
  <c r="K486"/>
  <c r="K471"/>
  <c r="K449"/>
  <c r="K391"/>
  <c r="K365"/>
  <c r="K347"/>
  <c r="K329"/>
  <c r="K284"/>
  <c r="K257"/>
  <c r="K225"/>
  <c r="K188"/>
  <c r="K180"/>
  <c r="K154"/>
  <c r="K135"/>
  <c r="K117"/>
  <c r="K97"/>
  <c r="K82"/>
  <c r="K70"/>
  <c r="K65"/>
  <c r="K50"/>
  <c r="K30"/>
  <c r="K416"/>
  <c r="K389"/>
  <c r="K371"/>
  <c r="K345"/>
  <c r="K323"/>
  <c r="K306"/>
  <c r="K300"/>
  <c r="K295"/>
  <c r="K290"/>
  <c r="K278"/>
  <c r="K259"/>
  <c r="K251"/>
  <c r="K227"/>
  <c r="K197"/>
  <c r="K169"/>
  <c r="K115"/>
  <c r="K95"/>
  <c r="K58"/>
  <c r="K29"/>
  <c r="K32"/>
  <c r="K580"/>
  <c r="K504"/>
  <c r="K165"/>
  <c r="K864"/>
  <c r="K859"/>
  <c r="K853"/>
  <c r="K827"/>
  <c r="K781"/>
  <c r="K733"/>
  <c r="K681"/>
  <c r="K649"/>
  <c r="K600"/>
  <c r="K567"/>
  <c r="K472"/>
  <c r="K401"/>
  <c r="K277"/>
  <c r="K211"/>
  <c r="K185"/>
  <c r="K133"/>
  <c r="K973"/>
  <c r="K967"/>
  <c r="K962"/>
  <c r="K957"/>
  <c r="K924"/>
  <c r="K836"/>
  <c r="K812"/>
  <c r="K806"/>
  <c r="K801"/>
  <c r="K796"/>
  <c r="K790"/>
  <c r="K778"/>
  <c r="K684"/>
  <c r="K630"/>
  <c r="K566"/>
  <c r="K510"/>
  <c r="K411"/>
  <c r="K360"/>
  <c r="K161"/>
  <c r="K63"/>
  <c r="K53"/>
  <c r="K952"/>
  <c r="K947"/>
  <c r="K942"/>
  <c r="K886"/>
  <c r="K841"/>
  <c r="K821"/>
  <c r="K738"/>
  <c r="K676"/>
  <c r="K650"/>
  <c r="K610"/>
  <c r="K545"/>
  <c r="K518"/>
  <c r="K499"/>
  <c r="K494"/>
  <c r="K464"/>
  <c r="K438"/>
  <c r="K420"/>
  <c r="K386"/>
  <c r="K342"/>
  <c r="K332"/>
  <c r="K322"/>
  <c r="K310"/>
  <c r="K250"/>
  <c r="K232"/>
  <c r="K220"/>
  <c r="K206"/>
  <c r="K146"/>
  <c r="K116"/>
  <c r="K106"/>
  <c r="K96"/>
  <c r="K76"/>
  <c r="K40"/>
  <c r="K759"/>
  <c r="K754"/>
  <c r="K748"/>
  <c r="K743"/>
  <c r="K732"/>
  <c r="K726"/>
  <c r="K721"/>
  <c r="K716"/>
  <c r="K707"/>
  <c r="K702"/>
  <c r="K697"/>
  <c r="K688"/>
  <c r="K659"/>
  <c r="K645"/>
  <c r="K606"/>
  <c r="K569"/>
  <c r="K538"/>
  <c r="K525"/>
  <c r="K488"/>
  <c r="K477"/>
  <c r="K446"/>
  <c r="K439"/>
  <c r="K412"/>
  <c r="K392"/>
  <c r="K364"/>
  <c r="K262"/>
  <c r="K204"/>
  <c r="K176"/>
  <c r="K164"/>
  <c r="K134"/>
  <c r="K31"/>
  <c r="K648"/>
  <c r="K624"/>
  <c r="K603"/>
  <c r="K592"/>
  <c r="K572"/>
  <c r="K550"/>
  <c r="K532"/>
  <c r="K511"/>
  <c r="K487"/>
  <c r="K482"/>
  <c r="K453"/>
  <c r="K395"/>
  <c r="K373"/>
  <c r="K351"/>
  <c r="K333"/>
  <c r="K313"/>
  <c r="K263"/>
  <c r="K229"/>
  <c r="K199"/>
  <c r="K181"/>
  <c r="K160"/>
  <c r="K144"/>
  <c r="K121"/>
  <c r="K101"/>
  <c r="K84"/>
  <c r="K71"/>
  <c r="K66"/>
  <c r="K52"/>
  <c r="K34"/>
  <c r="K6"/>
  <c r="K435"/>
  <c r="K393"/>
  <c r="K375"/>
  <c r="K355"/>
  <c r="K327"/>
  <c r="K307"/>
  <c r="K302"/>
  <c r="K296"/>
  <c r="K291"/>
  <c r="K286"/>
  <c r="K260"/>
  <c r="K252"/>
  <c r="K241"/>
  <c r="K209"/>
  <c r="K173"/>
  <c r="K126"/>
  <c r="K99"/>
  <c r="K62"/>
  <c r="K38"/>
  <c r="K5"/>
  <c r="K33"/>
  <c r="K10"/>
  <c r="J148" i="18"/>
  <c r="K148" s="1"/>
  <c r="K895" i="14"/>
  <c r="K868"/>
  <c r="K845"/>
  <c r="K822"/>
  <c r="K770"/>
  <c r="K673"/>
  <c r="K605"/>
  <c r="K565"/>
  <c r="K470"/>
  <c r="K265"/>
  <c r="K8"/>
  <c r="K862"/>
  <c r="K858"/>
  <c r="K854"/>
  <c r="K839"/>
  <c r="K818"/>
  <c r="K773"/>
  <c r="K735"/>
  <c r="K687"/>
  <c r="K655"/>
  <c r="K619"/>
  <c r="K604"/>
  <c r="K584"/>
  <c r="K559"/>
  <c r="K468"/>
  <c r="K409"/>
  <c r="K281"/>
  <c r="K273"/>
  <c r="K205"/>
  <c r="K187"/>
  <c r="K155"/>
  <c r="K14"/>
  <c r="K972"/>
  <c r="K968"/>
  <c r="K964"/>
  <c r="K960"/>
  <c r="K931"/>
  <c r="K925"/>
  <c r="K871"/>
  <c r="K831"/>
  <c r="K811"/>
  <c r="K807"/>
  <c r="K803"/>
  <c r="K799"/>
  <c r="K795"/>
  <c r="K791"/>
  <c r="K787"/>
  <c r="K776"/>
  <c r="K680"/>
  <c r="K638"/>
  <c r="K578"/>
  <c r="K558"/>
  <c r="K489"/>
  <c r="K425"/>
  <c r="K380"/>
  <c r="K233"/>
  <c r="K159"/>
  <c r="K73"/>
  <c r="K57"/>
  <c r="K16"/>
  <c r="K953"/>
  <c r="K949"/>
  <c r="K945"/>
  <c r="K941"/>
  <c r="K905"/>
  <c r="K867"/>
  <c r="K833"/>
  <c r="K819"/>
  <c r="K763"/>
  <c r="K690"/>
  <c r="K668"/>
  <c r="K640"/>
  <c r="K626"/>
  <c r="K586"/>
  <c r="K530"/>
  <c r="K515"/>
  <c r="K505"/>
  <c r="K496"/>
  <c r="K490"/>
  <c r="K460"/>
  <c r="K447"/>
  <c r="K430"/>
  <c r="K406"/>
  <c r="K378"/>
  <c r="K350"/>
  <c r="K336"/>
  <c r="K328"/>
  <c r="K320"/>
  <c r="K312"/>
  <c r="K258"/>
  <c r="K246"/>
  <c r="K230"/>
  <c r="K222"/>
  <c r="K214"/>
  <c r="K194"/>
  <c r="K138"/>
  <c r="K118"/>
  <c r="K110"/>
  <c r="K102"/>
  <c r="K94"/>
  <c r="K86"/>
  <c r="K46"/>
  <c r="K19"/>
  <c r="K761"/>
  <c r="K757"/>
  <c r="K753"/>
  <c r="K749"/>
  <c r="K745"/>
  <c r="K741"/>
  <c r="K731"/>
  <c r="K727"/>
  <c r="K723"/>
  <c r="K719"/>
  <c r="K715"/>
  <c r="K708"/>
  <c r="K704"/>
  <c r="K700"/>
  <c r="K696"/>
  <c r="K692"/>
  <c r="K670"/>
  <c r="K657"/>
  <c r="K642"/>
  <c r="K621"/>
  <c r="K571"/>
  <c r="K541"/>
  <c r="K537"/>
  <c r="K528"/>
  <c r="K509"/>
  <c r="K480"/>
  <c r="K476"/>
  <c r="K451"/>
  <c r="K441"/>
  <c r="K428"/>
  <c r="K408"/>
  <c r="K394"/>
  <c r="K382"/>
  <c r="K346"/>
  <c r="K240"/>
  <c r="K208"/>
  <c r="K196"/>
  <c r="K172"/>
  <c r="K158"/>
  <c r="K136"/>
  <c r="K44"/>
  <c r="K17"/>
  <c r="K647"/>
  <c r="K631"/>
  <c r="K611"/>
  <c r="K595"/>
  <c r="K591"/>
  <c r="K576"/>
  <c r="K552"/>
  <c r="K548"/>
  <c r="K527"/>
  <c r="K517"/>
  <c r="K502"/>
  <c r="K485"/>
  <c r="K473"/>
  <c r="K457"/>
  <c r="K437"/>
  <c r="K387"/>
  <c r="K369"/>
  <c r="K353"/>
  <c r="K341"/>
  <c r="K325"/>
  <c r="K309"/>
  <c r="K272"/>
  <c r="K245"/>
  <c r="K221"/>
  <c r="K192"/>
  <c r="K182"/>
  <c r="K175"/>
  <c r="K153"/>
  <c r="K143"/>
  <c r="K122"/>
  <c r="K109"/>
  <c r="K93"/>
  <c r="K83"/>
  <c r="K72"/>
  <c r="K68"/>
  <c r="K64"/>
  <c r="K51"/>
  <c r="K35"/>
  <c r="K22"/>
  <c r="K417"/>
  <c r="K413"/>
  <c r="K381"/>
  <c r="K367"/>
  <c r="K349"/>
  <c r="K331"/>
  <c r="K315"/>
  <c r="K305"/>
  <c r="K301"/>
  <c r="K297"/>
  <c r="K293"/>
  <c r="K289"/>
  <c r="K282"/>
  <c r="K261"/>
  <c r="K254"/>
  <c r="K247"/>
  <c r="K231"/>
  <c r="K215"/>
  <c r="K186"/>
  <c r="K156"/>
  <c r="K119"/>
  <c r="K103"/>
  <c r="K87"/>
  <c r="K54"/>
  <c r="K37"/>
  <c r="K12"/>
  <c r="K28"/>
  <c r="Q13" i="11"/>
  <c r="R11"/>
  <c r="M12" i="1"/>
  <c r="M13"/>
  <c r="N12"/>
  <c r="N11"/>
  <c r="P12" i="18"/>
  <c r="Q11"/>
  <c r="L13" i="1"/>
  <c r="L12"/>
  <c r="J236" i="18"/>
  <c r="K236" s="1"/>
  <c r="E63"/>
  <c r="N10" i="12"/>
  <c r="M11"/>
  <c r="M12" s="1"/>
  <c r="M13"/>
  <c r="M14" s="1"/>
  <c r="Q12" i="18" l="1"/>
  <c r="R11"/>
  <c r="Q13"/>
  <c r="O11" i="1"/>
  <c r="N13"/>
  <c r="O12"/>
  <c r="J196" i="18"/>
  <c r="K196" s="1"/>
  <c r="D201"/>
  <c r="J201" s="1"/>
  <c r="K201" s="1"/>
  <c r="D200"/>
  <c r="J200" s="1"/>
  <c r="K200" s="1"/>
  <c r="D199"/>
  <c r="J199" s="1"/>
  <c r="K199" s="1"/>
  <c r="K143"/>
  <c r="K253"/>
  <c r="J251"/>
  <c r="D100"/>
  <c r="J98"/>
  <c r="J215"/>
  <c r="K215" s="1"/>
  <c r="K217"/>
  <c r="J30"/>
  <c r="D32"/>
  <c r="J205"/>
  <c r="K207"/>
  <c r="K184"/>
  <c r="J182"/>
  <c r="K182" s="1"/>
  <c r="S11" i="11"/>
  <c r="R13"/>
  <c r="R12"/>
  <c r="K195" i="18"/>
  <c r="J193"/>
  <c r="K193" s="1"/>
  <c r="D66"/>
  <c r="J64"/>
  <c r="K171"/>
  <c r="J169"/>
  <c r="K281"/>
  <c r="J279"/>
  <c r="K279" s="1"/>
  <c r="J144"/>
  <c r="K144" s="1"/>
  <c r="D145"/>
  <c r="J145" s="1"/>
  <c r="K145" s="1"/>
  <c r="J229"/>
  <c r="K231"/>
  <c r="K274"/>
  <c r="J272"/>
  <c r="K272" s="1"/>
  <c r="N13" i="12"/>
  <c r="N14" s="1"/>
  <c r="N11"/>
  <c r="N12" s="1"/>
  <c r="O10"/>
  <c r="J141" i="18" l="1"/>
  <c r="K141" s="1"/>
  <c r="K64"/>
  <c r="K30"/>
  <c r="J167"/>
  <c r="K169"/>
  <c r="S13" i="11"/>
  <c r="T11"/>
  <c r="S12"/>
  <c r="K205" i="18"/>
  <c r="J203"/>
  <c r="J100"/>
  <c r="K100" s="1"/>
  <c r="D101"/>
  <c r="K229"/>
  <c r="J227"/>
  <c r="J66"/>
  <c r="K66" s="1"/>
  <c r="D67"/>
  <c r="J249"/>
  <c r="K251"/>
  <c r="R12"/>
  <c r="S11"/>
  <c r="R13"/>
  <c r="J32"/>
  <c r="K32" s="1"/>
  <c r="D33"/>
  <c r="K98"/>
  <c r="O13" i="1"/>
  <c r="P12"/>
  <c r="P11"/>
  <c r="O11" i="12"/>
  <c r="O12" s="1"/>
  <c r="O13"/>
  <c r="O14" s="1"/>
  <c r="P10"/>
  <c r="K203" i="18" l="1"/>
  <c r="K204"/>
  <c r="Q11" i="1"/>
  <c r="Q12" s="1"/>
  <c r="P13"/>
  <c r="T11" i="18"/>
  <c r="S12"/>
  <c r="S13"/>
  <c r="D68"/>
  <c r="J67"/>
  <c r="K67" s="1"/>
  <c r="D69"/>
  <c r="J69" s="1"/>
  <c r="K69" s="1"/>
  <c r="D102"/>
  <c r="D103"/>
  <c r="J103" s="1"/>
  <c r="K103" s="1"/>
  <c r="J101"/>
  <c r="K167"/>
  <c r="K168"/>
  <c r="K249"/>
  <c r="K250"/>
  <c r="K227"/>
  <c r="K228"/>
  <c r="D35"/>
  <c r="J35" s="1"/>
  <c r="K35" s="1"/>
  <c r="J33"/>
  <c r="K33" s="1"/>
  <c r="D34"/>
  <c r="T13" i="11"/>
  <c r="U11"/>
  <c r="T12"/>
  <c r="P13" i="12"/>
  <c r="P14" s="1"/>
  <c r="P11"/>
  <c r="P12" s="1"/>
  <c r="Q10"/>
  <c r="K101" i="18" l="1"/>
  <c r="U12" i="11"/>
  <c r="U13"/>
  <c r="V11"/>
  <c r="J34" i="18"/>
  <c r="K34" s="1"/>
  <c r="D36"/>
  <c r="D70"/>
  <c r="J68"/>
  <c r="K68" s="1"/>
  <c r="T12"/>
  <c r="U11"/>
  <c r="T13"/>
  <c r="D104"/>
  <c r="J102"/>
  <c r="K102" s="1"/>
  <c r="R11" i="1"/>
  <c r="Q13"/>
  <c r="R12"/>
  <c r="Q11" i="12"/>
  <c r="Q12" s="1"/>
  <c r="R10"/>
  <c r="Q13"/>
  <c r="Q14" s="1"/>
  <c r="D105" i="18" l="1"/>
  <c r="J104"/>
  <c r="K104" s="1"/>
  <c r="R13" i="1"/>
  <c r="S11"/>
  <c r="S12"/>
  <c r="V11" i="18"/>
  <c r="U12"/>
  <c r="U13"/>
  <c r="D37"/>
  <c r="J36"/>
  <c r="K36" s="1"/>
  <c r="V12" i="11"/>
  <c r="W11"/>
  <c r="V13"/>
  <c r="J70" i="18"/>
  <c r="K70" s="1"/>
  <c r="D71"/>
  <c r="S10" i="12"/>
  <c r="R13"/>
  <c r="R14" s="1"/>
  <c r="R11"/>
  <c r="R12" s="1"/>
  <c r="W11" i="18" l="1"/>
  <c r="V13"/>
  <c r="V12"/>
  <c r="D107"/>
  <c r="J107" s="1"/>
  <c r="K107" s="1"/>
  <c r="J105"/>
  <c r="K105" s="1"/>
  <c r="D106"/>
  <c r="D72"/>
  <c r="J71"/>
  <c r="K71" s="1"/>
  <c r="D73"/>
  <c r="J73" s="1"/>
  <c r="K73" s="1"/>
  <c r="W13" i="11"/>
  <c r="X11"/>
  <c r="W12"/>
  <c r="S13" i="1"/>
  <c r="T11"/>
  <c r="T12" s="1"/>
  <c r="D39" i="18"/>
  <c r="J39" s="1"/>
  <c r="K39" s="1"/>
  <c r="J37"/>
  <c r="K37" s="1"/>
  <c r="D38"/>
  <c r="S11" i="12"/>
  <c r="S12" s="1"/>
  <c r="S13"/>
  <c r="S14" s="1"/>
  <c r="T10"/>
  <c r="W12" i="18" l="1"/>
  <c r="W13"/>
  <c r="X11"/>
  <c r="J38"/>
  <c r="K38" s="1"/>
  <c r="D40"/>
  <c r="J106"/>
  <c r="K106" s="1"/>
  <c r="D108"/>
  <c r="U11" i="1"/>
  <c r="U12"/>
  <c r="T13"/>
  <c r="X12" i="11"/>
  <c r="X13"/>
  <c r="Y11"/>
  <c r="J72" i="18"/>
  <c r="K72" s="1"/>
  <c r="D74"/>
  <c r="T13" i="12"/>
  <c r="T14" s="1"/>
  <c r="T11"/>
  <c r="T12" s="1"/>
  <c r="U10"/>
  <c r="D75" i="18" l="1"/>
  <c r="J74"/>
  <c r="K74" s="1"/>
  <c r="Z11" i="11"/>
  <c r="Y12"/>
  <c r="Y13"/>
  <c r="J40" i="18"/>
  <c r="K40" s="1"/>
  <c r="D41"/>
  <c r="D109"/>
  <c r="J108"/>
  <c r="K108" s="1"/>
  <c r="X12"/>
  <c r="X13"/>
  <c r="Y11"/>
  <c r="U13" i="1"/>
  <c r="V11"/>
  <c r="V12"/>
  <c r="U13" i="12"/>
  <c r="U14" s="1"/>
  <c r="V10"/>
  <c r="U11"/>
  <c r="U12" s="1"/>
  <c r="Z12" i="11" l="1"/>
  <c r="AA11"/>
  <c r="Z13"/>
  <c r="D77" i="18"/>
  <c r="J77" s="1"/>
  <c r="K77" s="1"/>
  <c r="D76"/>
  <c r="J75"/>
  <c r="K75" s="1"/>
  <c r="V13" i="1"/>
  <c r="W11"/>
  <c r="D42" i="18"/>
  <c r="D43"/>
  <c r="J43" s="1"/>
  <c r="K43" s="1"/>
  <c r="J41"/>
  <c r="K41" s="1"/>
  <c r="Z11"/>
  <c r="Y13"/>
  <c r="Y12"/>
  <c r="D110"/>
  <c r="J109"/>
  <c r="K109" s="1"/>
  <c r="D111"/>
  <c r="J111" s="1"/>
  <c r="K111" s="1"/>
  <c r="V13" i="12"/>
  <c r="V14" s="1"/>
  <c r="V11"/>
  <c r="V12" s="1"/>
  <c r="W10"/>
  <c r="Z13" i="18" l="1"/>
  <c r="AA11"/>
  <c r="Z12"/>
  <c r="X11" i="1"/>
  <c r="W13"/>
  <c r="X12"/>
  <c r="D78" i="18"/>
  <c r="J76"/>
  <c r="K76" s="1"/>
  <c r="J42"/>
  <c r="K42" s="1"/>
  <c r="D44"/>
  <c r="AA12" i="11"/>
  <c r="AB11"/>
  <c r="AA13"/>
  <c r="J110" i="18"/>
  <c r="K110" s="1"/>
  <c r="D112"/>
  <c r="W12" i="1"/>
  <c r="W13" i="12"/>
  <c r="W14" s="1"/>
  <c r="X10"/>
  <c r="W11"/>
  <c r="W12" s="1"/>
  <c r="D45" i="18" l="1"/>
  <c r="J44"/>
  <c r="K44" s="1"/>
  <c r="AA12"/>
  <c r="AB11"/>
  <c r="AA13"/>
  <c r="J112"/>
  <c r="K112" s="1"/>
  <c r="D113"/>
  <c r="D79"/>
  <c r="J78"/>
  <c r="K78" s="1"/>
  <c r="AB12" i="11"/>
  <c r="AC11"/>
  <c r="AB13"/>
  <c r="Y11" i="1"/>
  <c r="Y12" s="1"/>
  <c r="X13"/>
  <c r="X11" i="12"/>
  <c r="X12" s="1"/>
  <c r="X13"/>
  <c r="X14" s="1"/>
  <c r="Y10"/>
  <c r="D47" i="18" l="1"/>
  <c r="J47" s="1"/>
  <c r="K47" s="1"/>
  <c r="J45"/>
  <c r="K45" s="1"/>
  <c r="D46"/>
  <c r="AC12" i="11"/>
  <c r="AD11"/>
  <c r="AC13"/>
  <c r="D115" i="18"/>
  <c r="J115" s="1"/>
  <c r="K115" s="1"/>
  <c r="J113"/>
  <c r="K113" s="1"/>
  <c r="D114"/>
  <c r="Y13" i="1"/>
  <c r="Z11"/>
  <c r="Z12" s="1"/>
  <c r="D80" i="18"/>
  <c r="J79"/>
  <c r="K79" s="1"/>
  <c r="D81"/>
  <c r="J81" s="1"/>
  <c r="K81" s="1"/>
  <c r="AC11"/>
  <c r="AB13"/>
  <c r="AB12"/>
  <c r="Z10" i="12"/>
  <c r="Y11"/>
  <c r="Y12" s="1"/>
  <c r="Y13"/>
  <c r="Y14" s="1"/>
  <c r="AD11" i="18" l="1"/>
  <c r="AC13"/>
  <c r="AC12"/>
  <c r="D82"/>
  <c r="J80"/>
  <c r="K80" s="1"/>
  <c r="J114"/>
  <c r="K114" s="1"/>
  <c r="D116"/>
  <c r="AE11" i="11"/>
  <c r="AD13"/>
  <c r="AD12"/>
  <c r="J46" i="18"/>
  <c r="K46" s="1"/>
  <c r="D48"/>
  <c r="Z13" i="1"/>
  <c r="AA11"/>
  <c r="Z11" i="12"/>
  <c r="Z12" s="1"/>
  <c r="AA10"/>
  <c r="Z13"/>
  <c r="Z14" s="1"/>
  <c r="AA13" i="1" l="1"/>
  <c r="AB11"/>
  <c r="AB12"/>
  <c r="AE11" i="18"/>
  <c r="AD12"/>
  <c r="AD13"/>
  <c r="AA12" i="1"/>
  <c r="D117" i="18"/>
  <c r="J116"/>
  <c r="K116" s="1"/>
  <c r="J48"/>
  <c r="K48" s="1"/>
  <c r="D49"/>
  <c r="AF11" i="11"/>
  <c r="AE13"/>
  <c r="AE12"/>
  <c r="D83" i="18"/>
  <c r="J82"/>
  <c r="K82" s="1"/>
  <c r="AB10" i="12"/>
  <c r="AA13"/>
  <c r="AA14" s="1"/>
  <c r="AA11"/>
  <c r="AA12" s="1"/>
  <c r="AB13" i="1" l="1"/>
  <c r="AC11"/>
  <c r="AC12"/>
  <c r="D84" i="18"/>
  <c r="J83"/>
  <c r="K83" s="1"/>
  <c r="J49"/>
  <c r="K49" s="1"/>
  <c r="D50"/>
  <c r="AF12" i="11"/>
  <c r="AG11"/>
  <c r="AF13"/>
  <c r="J117" i="18"/>
  <c r="K117" s="1"/>
  <c r="D118"/>
  <c r="AE12"/>
  <c r="AE13"/>
  <c r="AF11"/>
  <c r="AB13" i="12"/>
  <c r="AB14" s="1"/>
  <c r="AC10"/>
  <c r="AB11"/>
  <c r="AB12" s="1"/>
  <c r="AF13" i="18" l="1"/>
  <c r="AF12"/>
  <c r="AG11"/>
  <c r="J50"/>
  <c r="K50" s="1"/>
  <c r="D51"/>
  <c r="AG13" i="11"/>
  <c r="AG12"/>
  <c r="AH11"/>
  <c r="AC13" i="1"/>
  <c r="AD11"/>
  <c r="J118" i="18"/>
  <c r="K118" s="1"/>
  <c r="D119"/>
  <c r="D85"/>
  <c r="J84"/>
  <c r="K84" s="1"/>
  <c r="AD10" i="12"/>
  <c r="AC13"/>
  <c r="AC14" s="1"/>
  <c r="AC11"/>
  <c r="AC12" s="1"/>
  <c r="AE11" i="1" l="1"/>
  <c r="AD13"/>
  <c r="AE12"/>
  <c r="J119" i="18"/>
  <c r="K119" s="1"/>
  <c r="D120"/>
  <c r="J51"/>
  <c r="K51" s="1"/>
  <c r="D52"/>
  <c r="D86"/>
  <c r="J85"/>
  <c r="K85" s="1"/>
  <c r="AD12" i="1"/>
  <c r="AG13" i="18"/>
  <c r="AG12"/>
  <c r="AH11"/>
  <c r="AH13" i="11"/>
  <c r="AH12"/>
  <c r="AI11"/>
  <c r="AD11" i="12"/>
  <c r="AD12" s="1"/>
  <c r="AE10"/>
  <c r="AD13"/>
  <c r="AD14" s="1"/>
  <c r="AH13" i="18" l="1"/>
  <c r="AH12"/>
  <c r="AI11"/>
  <c r="J120"/>
  <c r="K120" s="1"/>
  <c r="D121"/>
  <c r="AF11" i="1"/>
  <c r="AF12" s="1"/>
  <c r="AE13"/>
  <c r="J52" i="18"/>
  <c r="K52" s="1"/>
  <c r="D53"/>
  <c r="AI13" i="11"/>
  <c r="AI12"/>
  <c r="AJ11"/>
  <c r="J86" i="18"/>
  <c r="K86" s="1"/>
  <c r="D87"/>
  <c r="AE13" i="12"/>
  <c r="AE14" s="1"/>
  <c r="AF10"/>
  <c r="AE11"/>
  <c r="AE12" s="1"/>
  <c r="AK11" i="11" l="1"/>
  <c r="AJ13"/>
  <c r="AJ12"/>
  <c r="J121" i="18"/>
  <c r="K121" s="1"/>
  <c r="D122"/>
  <c r="J53"/>
  <c r="K53" s="1"/>
  <c r="D54"/>
  <c r="D88"/>
  <c r="J87"/>
  <c r="K87" s="1"/>
  <c r="AG12" i="1"/>
  <c r="AF13"/>
  <c r="AG11"/>
  <c r="AI12" i="18"/>
  <c r="AI13"/>
  <c r="AJ11"/>
  <c r="AF11" i="12"/>
  <c r="AF12" s="1"/>
  <c r="AG10"/>
  <c r="AF13"/>
  <c r="AF14" s="1"/>
  <c r="AK13" i="11" l="1"/>
  <c r="AK12"/>
  <c r="AL11"/>
  <c r="AJ13" i="18"/>
  <c r="AK11"/>
  <c r="AJ12"/>
  <c r="D55"/>
  <c r="J54"/>
  <c r="K54" s="1"/>
  <c r="D123"/>
  <c r="J122"/>
  <c r="K122" s="1"/>
  <c r="AG13" i="1"/>
  <c r="AH11"/>
  <c r="D89" i="18"/>
  <c r="J88"/>
  <c r="K88" s="1"/>
  <c r="AG11" i="12"/>
  <c r="AG12" s="1"/>
  <c r="AH10"/>
  <c r="AG13"/>
  <c r="AG14" s="1"/>
  <c r="AI11" i="1" l="1"/>
  <c r="AH13"/>
  <c r="AI12"/>
  <c r="AK12" i="18"/>
  <c r="AL11"/>
  <c r="AK13"/>
  <c r="J89"/>
  <c r="K89" s="1"/>
  <c r="D90"/>
  <c r="J123"/>
  <c r="K123" s="1"/>
  <c r="D124"/>
  <c r="J55"/>
  <c r="K55" s="1"/>
  <c r="D56"/>
  <c r="AL12" i="11"/>
  <c r="AM11"/>
  <c r="AL13"/>
  <c r="AH12" i="1"/>
  <c r="AH13" i="12"/>
  <c r="AH14" s="1"/>
  <c r="AH11"/>
  <c r="AH12" s="1"/>
  <c r="AI10"/>
  <c r="AL12" i="18" l="1"/>
  <c r="AL13"/>
  <c r="AM11"/>
  <c r="AJ11" i="1"/>
  <c r="AI13"/>
  <c r="AJ12"/>
  <c r="AN11" i="11"/>
  <c r="AM13"/>
  <c r="AM12"/>
  <c r="D125" i="18"/>
  <c r="J125" s="1"/>
  <c r="J124"/>
  <c r="K124" s="1"/>
  <c r="J56"/>
  <c r="K56" s="1"/>
  <c r="D57"/>
  <c r="J57" s="1"/>
  <c r="J90"/>
  <c r="K90" s="1"/>
  <c r="D91"/>
  <c r="J91" s="1"/>
  <c r="AI13" i="12"/>
  <c r="AI14" s="1"/>
  <c r="AI11"/>
  <c r="AI12" s="1"/>
  <c r="AJ10"/>
  <c r="K57" i="18" l="1"/>
  <c r="J29"/>
  <c r="K125"/>
  <c r="J97"/>
  <c r="K97" s="1"/>
  <c r="K91"/>
  <c r="J63"/>
  <c r="K63" s="1"/>
  <c r="AN12" i="11"/>
  <c r="AN13"/>
  <c r="AO11"/>
  <c r="AM12" i="18"/>
  <c r="AM13"/>
  <c r="AN11"/>
  <c r="AK11" i="1"/>
  <c r="AK12" s="1"/>
  <c r="AJ13"/>
  <c r="AJ11" i="12"/>
  <c r="AJ12" s="1"/>
  <c r="AJ13"/>
  <c r="AJ14" s="1"/>
  <c r="AK10"/>
  <c r="J27" i="18" l="1"/>
  <c r="K29"/>
  <c r="AL11" i="1"/>
  <c r="AK13"/>
  <c r="AL12"/>
  <c r="AN12" i="18"/>
  <c r="AN13"/>
  <c r="AO11"/>
  <c r="AP11" i="11"/>
  <c r="AO12"/>
  <c r="AO13"/>
  <c r="AK13" i="12"/>
  <c r="AK14" s="1"/>
  <c r="AK11"/>
  <c r="AK12" s="1"/>
  <c r="AL10"/>
  <c r="K27" i="18" l="1"/>
  <c r="J25"/>
  <c r="AP13" i="11"/>
  <c r="AP12"/>
  <c r="AQ11"/>
  <c r="AM11" i="1"/>
  <c r="AL13"/>
  <c r="AM12"/>
  <c r="AP11" i="18"/>
  <c r="AO13"/>
  <c r="AO12"/>
  <c r="AM10" i="12"/>
  <c r="AL13"/>
  <c r="AL14" s="1"/>
  <c r="AL11"/>
  <c r="AL12" s="1"/>
  <c r="K26" i="18" l="1"/>
  <c r="J24"/>
  <c r="K24" s="1"/>
  <c r="K25"/>
  <c r="AQ11"/>
  <c r="AP12"/>
  <c r="AP13"/>
  <c r="AQ12" i="11"/>
  <c r="AQ13"/>
  <c r="AR11"/>
  <c r="AM13" i="1"/>
  <c r="AN11"/>
  <c r="AN12"/>
  <c r="AM13" i="12"/>
  <c r="AM14" s="1"/>
  <c r="AN10"/>
  <c r="AM11"/>
  <c r="AM12" s="1"/>
  <c r="AQ13" i="18" l="1"/>
  <c r="AQ12"/>
  <c r="AR11"/>
  <c r="AR12" i="11"/>
  <c r="AS11"/>
  <c r="AR13"/>
  <c r="AN13" i="1"/>
  <c r="AO11"/>
  <c r="AN13" i="12"/>
  <c r="AN14" s="1"/>
  <c r="AN11"/>
  <c r="AN12" s="1"/>
  <c r="AO10"/>
  <c r="AP11" i="1" l="1"/>
  <c r="AO13"/>
  <c r="AP12"/>
  <c r="AR12" i="18"/>
  <c r="AR13"/>
  <c r="AS11"/>
  <c r="AO12" i="1"/>
  <c r="AS13" i="11"/>
  <c r="AS12"/>
  <c r="AT11"/>
  <c r="AO13" i="12"/>
  <c r="AO14" s="1"/>
  <c r="AP10"/>
  <c r="AO11"/>
  <c r="AO12" s="1"/>
  <c r="AQ12" i="1" l="1"/>
  <c r="AQ11"/>
  <c r="AP13"/>
  <c r="AU11" i="11"/>
  <c r="AT12"/>
  <c r="AT13"/>
  <c r="AS13" i="18"/>
  <c r="AS12"/>
  <c r="AT11"/>
  <c r="AP13" i="12"/>
  <c r="AP14" s="1"/>
  <c r="AP11"/>
  <c r="AP12" s="1"/>
  <c r="AQ10"/>
  <c r="AU11" i="18" l="1"/>
  <c r="AT12"/>
  <c r="AT13"/>
  <c r="AQ13" i="1"/>
  <c r="AR12"/>
  <c r="AR11"/>
  <c r="AU13" i="11"/>
  <c r="AV11"/>
  <c r="AU12"/>
  <c r="AQ13" i="12"/>
  <c r="AQ14" s="1"/>
  <c r="AQ11"/>
  <c r="AQ12" s="1"/>
  <c r="AR10"/>
  <c r="AU12" i="18" l="1"/>
  <c r="AV11"/>
  <c r="AU13"/>
  <c r="AR13" i="1"/>
  <c r="AS11"/>
  <c r="AV12" i="11"/>
  <c r="AV13"/>
  <c r="AW11"/>
  <c r="AR11" i="12"/>
  <c r="AR12" s="1"/>
  <c r="AS10"/>
  <c r="AR13"/>
  <c r="AR14" s="1"/>
  <c r="AT11" i="1" l="1"/>
  <c r="AT12" s="1"/>
  <c r="AS13"/>
  <c r="AV12" i="18"/>
  <c r="AW11"/>
  <c r="AV13"/>
  <c r="AS12" i="1"/>
  <c r="AX11" i="11"/>
  <c r="AW12"/>
  <c r="AW13"/>
  <c r="AS11" i="12"/>
  <c r="AS12" s="1"/>
  <c r="AS13"/>
  <c r="AS14" s="1"/>
  <c r="AT10"/>
  <c r="AX11" i="18" l="1"/>
  <c r="AW13"/>
  <c r="AW12"/>
  <c r="AU11" i="1"/>
  <c r="AT13"/>
  <c r="AX12" i="11"/>
  <c r="AX13"/>
  <c r="AY11"/>
  <c r="AT11" i="12"/>
  <c r="AT12" s="1"/>
  <c r="AT13"/>
  <c r="AT14" s="1"/>
  <c r="AU10"/>
  <c r="AY12" i="11" l="1"/>
  <c r="AZ11"/>
  <c r="AY13"/>
  <c r="AU13" i="1"/>
  <c r="AV11"/>
  <c r="AV12" s="1"/>
  <c r="AY11" i="18"/>
  <c r="AX13"/>
  <c r="AX12"/>
  <c r="AU12" i="1"/>
  <c r="AU13" i="12"/>
  <c r="AU14" s="1"/>
  <c r="AU11"/>
  <c r="AU12" s="1"/>
  <c r="AV10"/>
  <c r="AZ12" i="11" l="1"/>
  <c r="BA11"/>
  <c r="AZ13"/>
  <c r="AV13" i="1"/>
  <c r="AW11"/>
  <c r="AW12" s="1"/>
  <c r="AY13" i="18"/>
  <c r="AZ11"/>
  <c r="AY12"/>
  <c r="AV13" i="12"/>
  <c r="AV14" s="1"/>
  <c r="AW10"/>
  <c r="AV11"/>
  <c r="AV12" s="1"/>
  <c r="AW13" i="1" l="1"/>
  <c r="AX11"/>
  <c r="AX12"/>
  <c r="BB11" i="11"/>
  <c r="BA12"/>
  <c r="BA13"/>
  <c r="AZ12" i="18"/>
  <c r="AZ13"/>
  <c r="BA11"/>
  <c r="AW13" i="12"/>
  <c r="AW14" s="1"/>
  <c r="AX10"/>
  <c r="AW11"/>
  <c r="AW12" s="1"/>
  <c r="BA12" i="18" l="1"/>
  <c r="BA13"/>
  <c r="BB11"/>
  <c r="AX13" i="1"/>
  <c r="AY12"/>
  <c r="AY11"/>
  <c r="BC11" i="11"/>
  <c r="BB12"/>
  <c r="BB13"/>
  <c r="AX13" i="12"/>
  <c r="AX14" s="1"/>
  <c r="AY10"/>
  <c r="AX11"/>
  <c r="AX12" s="1"/>
  <c r="AZ11" i="1" l="1"/>
  <c r="AY13"/>
  <c r="BD11" i="11"/>
  <c r="BC13"/>
  <c r="BC12"/>
  <c r="BB12" i="18"/>
  <c r="BB13"/>
  <c r="BC11"/>
  <c r="AY13" i="12"/>
  <c r="AY14" s="1"/>
  <c r="AY11"/>
  <c r="AY12" s="1"/>
  <c r="AZ10"/>
  <c r="BC13" i="18" l="1"/>
  <c r="BD11"/>
  <c r="BC12"/>
  <c r="BA11" i="1"/>
  <c r="BA12" s="1"/>
  <c r="AZ13"/>
  <c r="AZ12"/>
  <c r="BD13" i="11"/>
  <c r="BD12"/>
  <c r="BE11"/>
  <c r="BA10" i="12"/>
  <c r="AZ11"/>
  <c r="AZ12" s="1"/>
  <c r="AZ13"/>
  <c r="AZ14" s="1"/>
  <c r="BE13" i="11" l="1"/>
  <c r="BF11"/>
  <c r="BE12"/>
  <c r="BD12" i="18"/>
  <c r="BD13"/>
  <c r="BE11"/>
  <c r="BB12" i="1"/>
  <c r="BB11"/>
  <c r="BA13"/>
  <c r="BB10" i="12"/>
  <c r="BA11"/>
  <c r="BA12" s="1"/>
  <c r="BA13"/>
  <c r="BA14" s="1"/>
  <c r="BF11" i="18" l="1"/>
  <c r="BE13"/>
  <c r="BE12"/>
  <c r="BG11" i="11"/>
  <c r="BF13"/>
  <c r="BF12"/>
  <c r="BC11" i="1"/>
  <c r="BB13"/>
  <c r="BB11" i="12"/>
  <c r="BB12" s="1"/>
  <c r="BC10"/>
  <c r="BB13"/>
  <c r="BB14" s="1"/>
  <c r="BC13" i="1" l="1"/>
  <c r="BD11"/>
  <c r="BD12" s="1"/>
  <c r="BF13" i="18"/>
  <c r="BG11"/>
  <c r="BF12"/>
  <c r="BC12" i="1"/>
  <c r="BH11" i="11"/>
  <c r="BG12"/>
  <c r="BG13"/>
  <c r="BC11" i="12"/>
  <c r="BC12" s="1"/>
  <c r="BD10"/>
  <c r="BC13"/>
  <c r="BC14" s="1"/>
  <c r="BG13" i="18" l="1"/>
  <c r="BG12"/>
  <c r="BH11"/>
  <c r="BE11" i="1"/>
  <c r="BE12"/>
  <c r="BD13"/>
  <c r="BH13" i="11"/>
  <c r="BI11"/>
  <c r="BH12"/>
  <c r="BD13" i="12"/>
  <c r="BD14" s="1"/>
  <c r="BD11"/>
  <c r="BD12" s="1"/>
  <c r="BE10"/>
  <c r="BH12" i="18" l="1"/>
  <c r="BH13"/>
  <c r="BI11"/>
  <c r="BI12" i="11"/>
  <c r="BJ11"/>
  <c r="BI13"/>
  <c r="BF11" i="1"/>
  <c r="BE13"/>
  <c r="BE13" i="12"/>
  <c r="BE14" s="1"/>
  <c r="BF10"/>
  <c r="BE11"/>
  <c r="BE12" s="1"/>
  <c r="BF13" i="1" l="1"/>
  <c r="BG11"/>
  <c r="BG12"/>
  <c r="BI13" i="18"/>
  <c r="BI12"/>
  <c r="BJ11"/>
  <c r="BJ13" i="11"/>
  <c r="BK11"/>
  <c r="BJ12"/>
  <c r="BF12" i="1"/>
  <c r="BF11" i="12"/>
  <c r="BF12" s="1"/>
  <c r="BG10"/>
  <c r="BF13"/>
  <c r="BF14" s="1"/>
  <c r="BJ13" i="18" l="1"/>
  <c r="BK11"/>
  <c r="BJ12"/>
  <c r="BG13" i="1"/>
  <c r="BH11"/>
  <c r="BK12" i="11"/>
  <c r="BL11"/>
  <c r="BK13"/>
  <c r="BG11" i="12"/>
  <c r="BG12" s="1"/>
  <c r="BH10"/>
  <c r="BG13"/>
  <c r="BG14" s="1"/>
  <c r="BI11" i="1" l="1"/>
  <c r="BH13"/>
  <c r="BI12"/>
  <c r="BL11" i="18"/>
  <c r="BK13"/>
  <c r="BK12"/>
  <c r="BL13" i="11"/>
  <c r="BM11"/>
  <c r="BL12"/>
  <c r="BH12" i="1"/>
  <c r="BH11" i="12"/>
  <c r="BH12" s="1"/>
  <c r="BI10"/>
  <c r="BH13"/>
  <c r="BH14" s="1"/>
  <c r="BJ11" i="1" l="1"/>
  <c r="BJ12"/>
  <c r="BI13"/>
  <c r="BM13" i="11"/>
  <c r="BM12"/>
  <c r="BN11"/>
  <c r="BM11" i="18"/>
  <c r="BL13"/>
  <c r="BL12"/>
  <c r="BJ10" i="12"/>
  <c r="BI13"/>
  <c r="BI14" s="1"/>
  <c r="BI11"/>
  <c r="BI12" s="1"/>
  <c r="BM13" i="18" l="1"/>
  <c r="BN11"/>
  <c r="BM12"/>
  <c r="BK11" i="1"/>
  <c r="BJ13"/>
  <c r="BK12"/>
  <c r="BO11" i="11"/>
  <c r="BN13"/>
  <c r="BN12"/>
  <c r="BJ13" i="12"/>
  <c r="BJ14" s="1"/>
  <c r="BK10"/>
  <c r="BJ11"/>
  <c r="BJ12" s="1"/>
  <c r="BO12" i="11" l="1"/>
  <c r="BP11"/>
  <c r="BO13"/>
  <c r="BN12" i="18"/>
  <c r="BN13"/>
  <c r="BO11"/>
  <c r="BK13" i="1"/>
  <c r="BL11"/>
  <c r="BK13" i="12"/>
  <c r="BK14" s="1"/>
  <c r="BK11"/>
  <c r="BK12" s="1"/>
  <c r="BL10"/>
  <c r="BL13" i="1" l="1"/>
  <c r="BM11"/>
  <c r="BP11" i="18"/>
  <c r="BO13"/>
  <c r="BO12"/>
  <c r="BP13" i="11"/>
  <c r="BP12"/>
  <c r="BQ11"/>
  <c r="BL12" i="1"/>
  <c r="BL13" i="12"/>
  <c r="BL14" s="1"/>
  <c r="BM10"/>
  <c r="BL11"/>
  <c r="BL12" s="1"/>
  <c r="BQ13" i="11" l="1"/>
  <c r="BR11"/>
  <c r="BQ12"/>
  <c r="BN11" i="1"/>
  <c r="BN12"/>
  <c r="BM13"/>
  <c r="BM12"/>
  <c r="BQ11" i="18"/>
  <c r="BP13"/>
  <c r="BP12"/>
  <c r="BM13" i="12"/>
  <c r="BM14" s="1"/>
  <c r="BM11"/>
  <c r="BM12" s="1"/>
  <c r="BN10"/>
  <c r="BR13" i="11" l="1"/>
  <c r="BR12"/>
  <c r="BS11"/>
  <c r="BR11" i="18"/>
  <c r="BQ12"/>
  <c r="BQ13"/>
  <c r="BN13" i="1"/>
  <c r="BO11"/>
  <c r="BN13" i="12"/>
  <c r="BN14" s="1"/>
  <c r="BN11"/>
  <c r="BN12" s="1"/>
  <c r="BO10"/>
  <c r="BP11" i="1" l="1"/>
  <c r="BP12" s="1"/>
  <c r="BO13"/>
  <c r="BS12" i="11"/>
  <c r="BT11"/>
  <c r="BS13"/>
  <c r="BR13" i="18"/>
  <c r="BS11"/>
  <c r="BR12"/>
  <c r="BO12" i="1"/>
  <c r="BO11" i="12"/>
  <c r="BO12" s="1"/>
  <c r="BO13"/>
  <c r="BO14" s="1"/>
  <c r="BP10"/>
  <c r="BT12" i="11" l="1"/>
  <c r="BT13"/>
  <c r="BU11"/>
  <c r="BP13" i="1"/>
  <c r="BQ11"/>
  <c r="BQ12" s="1"/>
  <c r="BS13" i="18"/>
  <c r="BT11"/>
  <c r="BS12"/>
  <c r="BP13" i="12"/>
  <c r="BP14" s="1"/>
  <c r="BQ10"/>
  <c r="BP11"/>
  <c r="BP12" s="1"/>
  <c r="BQ13" i="1" l="1"/>
  <c r="BR12"/>
  <c r="BR11"/>
  <c r="BU13" i="11"/>
  <c r="BU12"/>
  <c r="BV11"/>
  <c r="BT13" i="18"/>
  <c r="BU11"/>
  <c r="BT12"/>
  <c r="BQ13" i="12"/>
  <c r="BQ14" s="1"/>
  <c r="BR10"/>
  <c r="BQ11"/>
  <c r="BQ12" s="1"/>
  <c r="BV13" i="11" l="1"/>
  <c r="BW11"/>
  <c r="BV12"/>
  <c r="BS11" i="1"/>
  <c r="BS12" s="1"/>
  <c r="BR13"/>
  <c r="BU13" i="18"/>
  <c r="BV11"/>
  <c r="BU12"/>
  <c r="BR11" i="12"/>
  <c r="BR12" s="1"/>
  <c r="BS10"/>
  <c r="BR13"/>
  <c r="BR14" s="1"/>
  <c r="BW12" i="11" l="1"/>
  <c r="BW13"/>
  <c r="BX11"/>
  <c r="BV12" i="18"/>
  <c r="BW11"/>
  <c r="BV13"/>
  <c r="BS13" i="1"/>
  <c r="BT11"/>
  <c r="BT12"/>
  <c r="BT10" i="12"/>
  <c r="BS11"/>
  <c r="BS12" s="1"/>
  <c r="BS13"/>
  <c r="BS14" s="1"/>
  <c r="BY11" i="11" l="1"/>
  <c r="BX12"/>
  <c r="BX13"/>
  <c r="BX11" i="18"/>
  <c r="BW12"/>
  <c r="BW13"/>
  <c r="BT13" i="1"/>
  <c r="BU11"/>
  <c r="BU10" i="12"/>
  <c r="BT13"/>
  <c r="BT14" s="1"/>
  <c r="BT11"/>
  <c r="BT12" s="1"/>
  <c r="BV11" i="1" l="1"/>
  <c r="BV12"/>
  <c r="BU13"/>
  <c r="BY12" i="11"/>
  <c r="BZ11"/>
  <c r="BY13"/>
  <c r="BU12" i="1"/>
  <c r="BX13" i="18"/>
  <c r="BY11"/>
  <c r="BX12"/>
  <c r="BV10" i="12"/>
  <c r="BU13"/>
  <c r="BU14" s="1"/>
  <c r="BU11"/>
  <c r="BU12" s="1"/>
  <c r="BY13" i="18" l="1"/>
  <c r="BY12"/>
  <c r="BZ11"/>
  <c r="BZ13" i="11"/>
  <c r="CA11"/>
  <c r="BZ12"/>
  <c r="BW11" i="1"/>
  <c r="BV13"/>
  <c r="BV13" i="12"/>
  <c r="BV14" s="1"/>
  <c r="BV11"/>
  <c r="BV12" s="1"/>
  <c r="BW10"/>
  <c r="BW13" i="1" l="1"/>
  <c r="BX11"/>
  <c r="BX12" s="1"/>
  <c r="BZ12" i="18"/>
  <c r="CA11"/>
  <c r="BZ13"/>
  <c r="CA13" i="11"/>
  <c r="CA12"/>
  <c r="CB11"/>
  <c r="BW12" i="1"/>
  <c r="BW13" i="12"/>
  <c r="BW14" s="1"/>
  <c r="BW11"/>
  <c r="BW12" s="1"/>
  <c r="BX10"/>
  <c r="CB13" i="11" l="1"/>
  <c r="CC11"/>
  <c r="CB12"/>
  <c r="CA13" i="18"/>
  <c r="CA12"/>
  <c r="CB11"/>
  <c r="BY12" i="1"/>
  <c r="BX13"/>
  <c r="BY11"/>
  <c r="BX11" i="12"/>
  <c r="BX12" s="1"/>
  <c r="BX13"/>
  <c r="BX14" s="1"/>
  <c r="BY10"/>
  <c r="BZ11" i="1" l="1"/>
  <c r="BZ12"/>
  <c r="BY13"/>
  <c r="CB12" i="18"/>
  <c r="CB13"/>
  <c r="CD11" i="11"/>
  <c r="CC13"/>
  <c r="CC12"/>
  <c r="BY13" i="12"/>
  <c r="BY14" s="1"/>
  <c r="BZ10"/>
  <c r="BY11"/>
  <c r="BY12" s="1"/>
  <c r="BZ13" i="1" l="1"/>
  <c r="CA11"/>
  <c r="CA12"/>
  <c r="CD12" i="11"/>
  <c r="CE11"/>
  <c r="CD13"/>
  <c r="BZ11" i="12"/>
  <c r="BZ12" s="1"/>
  <c r="CA10"/>
  <c r="BZ13"/>
  <c r="BZ14" s="1"/>
  <c r="CE13" i="11" l="1"/>
  <c r="CE12"/>
  <c r="CF11"/>
  <c r="CB11" i="1"/>
  <c r="CA13"/>
  <c r="CB12"/>
  <c r="CA11" i="12"/>
  <c r="CA12" s="1"/>
  <c r="CB10"/>
  <c r="CA13"/>
  <c r="CA14" s="1"/>
  <c r="CG11" i="11" l="1"/>
  <c r="CF12"/>
  <c r="CF13"/>
  <c r="CC11" i="1"/>
  <c r="CC12"/>
  <c r="CB13"/>
  <c r="CB11" i="12"/>
  <c r="CB12" s="1"/>
  <c r="CC10"/>
  <c r="CB13"/>
  <c r="CB14" s="1"/>
  <c r="CH11" i="11" l="1"/>
  <c r="CG12"/>
  <c r="CG13"/>
  <c r="CD11" i="1"/>
  <c r="CD12"/>
  <c r="CC13"/>
  <c r="CC13" i="12"/>
  <c r="CC14" s="1"/>
  <c r="CD10"/>
  <c r="CC11"/>
  <c r="CC12" s="1"/>
  <c r="CI11" i="11" l="1"/>
  <c r="CH12"/>
  <c r="CH13"/>
  <c r="CE11" i="1"/>
  <c r="CE13" s="1"/>
  <c r="CD13"/>
  <c r="CE12"/>
  <c r="CD11" i="12"/>
  <c r="CD12" s="1"/>
  <c r="CD13"/>
  <c r="CD14" s="1"/>
  <c r="CE10"/>
  <c r="CI13" i="11" l="1"/>
  <c r="CJ11"/>
  <c r="CI12"/>
  <c r="CE11" i="12"/>
  <c r="CE12" s="1"/>
  <c r="CE13"/>
  <c r="CE14" s="1"/>
  <c r="CJ12" i="11" l="1"/>
  <c r="CK11"/>
  <c r="CJ13"/>
  <c r="CL11" l="1"/>
  <c r="CK12"/>
  <c r="CK13"/>
  <c r="CM11" l="1"/>
  <c r="CL12"/>
  <c r="CL13"/>
  <c r="CM12" l="1"/>
  <c r="CM13"/>
  <c r="CN11"/>
  <c r="CN12" l="1"/>
  <c r="CO11"/>
  <c r="CN13"/>
  <c r="CP11" l="1"/>
  <c r="CO12"/>
  <c r="CO13"/>
  <c r="CP13" l="1"/>
  <c r="CP12"/>
  <c r="CQ11"/>
  <c r="CQ12" l="1"/>
  <c r="CQ13"/>
  <c r="CR11"/>
  <c r="CS11" l="1"/>
  <c r="CR13"/>
  <c r="CR12"/>
  <c r="CT11" l="1"/>
  <c r="CS12"/>
  <c r="CS13"/>
  <c r="CU11" l="1"/>
  <c r="CT12"/>
  <c r="CT13"/>
  <c r="CU12" l="1"/>
  <c r="CV11"/>
  <c r="CU13"/>
  <c r="CW11" l="1"/>
  <c r="CV13"/>
  <c r="CV12"/>
  <c r="CX11" l="1"/>
  <c r="CW13"/>
  <c r="CW12"/>
  <c r="CY11" l="1"/>
  <c r="CX12"/>
  <c r="CX13"/>
  <c r="CY12" l="1"/>
  <c r="CZ11"/>
  <c r="CY13"/>
  <c r="CZ12" l="1"/>
  <c r="DA11"/>
  <c r="CZ13"/>
  <c r="DB11" l="1"/>
  <c r="DA12"/>
  <c r="DA13"/>
  <c r="DB12" l="1"/>
  <c r="DB13"/>
  <c r="DC11"/>
  <c r="DC13" l="1"/>
  <c r="DD11"/>
  <c r="DC12"/>
  <c r="DD13" l="1"/>
  <c r="DE11"/>
  <c r="DD12"/>
  <c r="DF11" l="1"/>
  <c r="DE13"/>
  <c r="DE12"/>
  <c r="DF13" l="1"/>
  <c r="DF12"/>
  <c r="DG11"/>
  <c r="DG12" l="1"/>
  <c r="DH11"/>
  <c r="DG13"/>
  <c r="DH13" l="1"/>
  <c r="DI11"/>
  <c r="DH12"/>
  <c r="DJ11" l="1"/>
  <c r="DI13"/>
  <c r="DI12"/>
  <c r="DJ12" l="1"/>
  <c r="DJ13"/>
  <c r="DK11"/>
  <c r="DK13" l="1"/>
  <c r="DL11"/>
  <c r="DK12"/>
  <c r="DL13" l="1"/>
  <c r="DM11"/>
  <c r="DL12"/>
  <c r="DN11" l="1"/>
  <c r="DM13"/>
  <c r="DM12"/>
  <c r="DN13" l="1"/>
  <c r="DN12"/>
  <c r="DO11"/>
  <c r="DO13" l="1"/>
  <c r="DP11"/>
  <c r="DO12"/>
  <c r="DP12" l="1"/>
  <c r="DQ11"/>
  <c r="DP13"/>
  <c r="DR11" l="1"/>
  <c r="DQ12"/>
  <c r="DQ13"/>
  <c r="DR12" l="1"/>
  <c r="DR13"/>
  <c r="DS11"/>
  <c r="DS13" l="1"/>
  <c r="DT11"/>
  <c r="DS12"/>
  <c r="DT13" l="1"/>
  <c r="DU11"/>
  <c r="DT12"/>
  <c r="DV11" l="1"/>
  <c r="DU13"/>
  <c r="DU12"/>
  <c r="DV13" l="1"/>
  <c r="DV12"/>
  <c r="DW11"/>
  <c r="DW13" l="1"/>
  <c r="DX11"/>
  <c r="DW12"/>
  <c r="DX13" l="1"/>
  <c r="DY11"/>
  <c r="DX12"/>
  <c r="DZ11" l="1"/>
  <c r="DY13"/>
  <c r="DY12"/>
  <c r="DZ12" l="1"/>
  <c r="DZ13"/>
  <c r="EA11"/>
  <c r="EA13" l="1"/>
  <c r="EB11"/>
  <c r="EA12"/>
  <c r="EB13" l="1"/>
  <c r="EC11"/>
  <c r="EB12"/>
  <c r="ED11" l="1"/>
  <c r="EC13"/>
  <c r="EC12"/>
  <c r="ED13" l="1"/>
  <c r="ED12"/>
  <c r="EE11"/>
  <c r="EE13" l="1"/>
  <c r="EF11"/>
  <c r="EE12"/>
  <c r="EF12" l="1"/>
  <c r="EG11"/>
  <c r="EF13"/>
  <c r="EH11" l="1"/>
  <c r="EG13"/>
  <c r="EG12"/>
  <c r="EH12" l="1"/>
  <c r="EH13"/>
  <c r="EI11"/>
  <c r="EI13" l="1"/>
  <c r="EJ11"/>
  <c r="EI12"/>
  <c r="EJ13" l="1"/>
  <c r="EK11"/>
  <c r="EJ12"/>
  <c r="EL11" l="1"/>
  <c r="EK13"/>
  <c r="EK12"/>
  <c r="EL13" l="1"/>
  <c r="EL12"/>
  <c r="EM11"/>
  <c r="EM13" l="1"/>
  <c r="EN11"/>
  <c r="EM12"/>
  <c r="EN13" l="1"/>
  <c r="EO11"/>
  <c r="EN12"/>
  <c r="EP11" l="1"/>
  <c r="EO13"/>
  <c r="EO12"/>
  <c r="EP12" l="1"/>
  <c r="EP13"/>
  <c r="EQ11"/>
  <c r="EQ13" l="1"/>
  <c r="ER11"/>
  <c r="EQ12"/>
  <c r="ER13" l="1"/>
  <c r="ES11"/>
  <c r="ER12"/>
  <c r="ET11" l="1"/>
  <c r="ES13"/>
  <c r="ES12"/>
  <c r="EU11" l="1"/>
  <c r="ET12"/>
  <c r="ET13"/>
  <c r="EV11" l="1"/>
  <c r="EU12"/>
  <c r="EU13"/>
  <c r="EV12" l="1"/>
  <c r="EW11"/>
  <c r="EV13"/>
  <c r="EX11" l="1"/>
  <c r="EW12"/>
  <c r="EW13"/>
  <c r="EX12" l="1"/>
  <c r="EX13"/>
  <c r="EY11"/>
  <c r="EZ11" l="1"/>
  <c r="EY12"/>
  <c r="EY13"/>
  <c r="EZ12" l="1"/>
  <c r="FA11"/>
  <c r="EZ13"/>
  <c r="FA12" l="1"/>
  <c r="FB11"/>
  <c r="FA13"/>
  <c r="FB12" l="1"/>
  <c r="FB13"/>
  <c r="FC11"/>
  <c r="FC13" l="1"/>
  <c r="FD11"/>
  <c r="FC12"/>
  <c r="FD12" l="1"/>
  <c r="FE11"/>
  <c r="FD13"/>
  <c r="FE13" l="1"/>
  <c r="FF11"/>
  <c r="FE12"/>
  <c r="FF12" l="1"/>
  <c r="FF13"/>
  <c r="FG11"/>
  <c r="FG13" l="1"/>
  <c r="FG12"/>
  <c r="FH11"/>
  <c r="FH13" l="1"/>
  <c r="FI11"/>
  <c r="FH12"/>
  <c r="FI13" l="1"/>
  <c r="FJ11"/>
  <c r="FI12"/>
  <c r="FJ12" l="1"/>
  <c r="FJ13"/>
  <c r="FK11"/>
  <c r="FK13" l="1"/>
  <c r="FK12"/>
  <c r="FL11"/>
  <c r="FL13" l="1"/>
  <c r="FL12"/>
  <c r="FM11"/>
  <c r="FN11" l="1"/>
  <c r="FM12"/>
  <c r="FM13"/>
  <c r="FN12" l="1"/>
  <c r="FN13"/>
  <c r="FO11"/>
  <c r="FO13" l="1"/>
  <c r="FO12"/>
  <c r="FP11"/>
  <c r="FP12" l="1"/>
  <c r="FQ11"/>
  <c r="FP13"/>
  <c r="FR11" l="1"/>
  <c r="FQ13"/>
  <c r="FQ12"/>
  <c r="FR12" l="1"/>
  <c r="FR13"/>
  <c r="FS11"/>
  <c r="FS13" l="1"/>
  <c r="FT11"/>
  <c r="FS12"/>
  <c r="FT13" l="1"/>
  <c r="FT12"/>
  <c r="FU11"/>
  <c r="FU13" l="1"/>
  <c r="FU12"/>
  <c r="FV11"/>
  <c r="FV12" l="1"/>
  <c r="FV13"/>
  <c r="FW11"/>
  <c r="FX11" l="1"/>
  <c r="FW12"/>
  <c r="FW13"/>
  <c r="FX13" l="1"/>
  <c r="FY11"/>
  <c r="FX12"/>
  <c r="FZ11" l="1"/>
  <c r="FY12"/>
  <c r="FY13"/>
  <c r="FZ13" l="1"/>
  <c r="FZ12"/>
  <c r="GA11"/>
  <c r="GB11" l="1"/>
  <c r="GA12"/>
  <c r="GA13"/>
  <c r="GC11" l="1"/>
  <c r="GB12"/>
  <c r="GB13"/>
  <c r="GD11" l="1"/>
  <c r="GC12"/>
  <c r="GC13"/>
  <c r="GD12" l="1"/>
  <c r="GD13"/>
  <c r="GE11"/>
  <c r="GF11" l="1"/>
  <c r="GE12"/>
  <c r="GE13"/>
  <c r="GF12" l="1"/>
  <c r="GG11"/>
  <c r="GF13"/>
  <c r="GG12" l="1"/>
  <c r="GH11"/>
  <c r="GG13"/>
  <c r="GH12" l="1"/>
  <c r="GH13"/>
  <c r="GI11"/>
  <c r="GI13" l="1"/>
  <c r="GJ11"/>
  <c r="GI12"/>
  <c r="GJ12" l="1"/>
  <c r="GK11"/>
  <c r="GJ13"/>
  <c r="GK13" l="1"/>
  <c r="GK12"/>
  <c r="GL11"/>
  <c r="GL12" l="1"/>
  <c r="GL13"/>
  <c r="GM11"/>
  <c r="GM13" l="1"/>
  <c r="GM12"/>
  <c r="GN11"/>
  <c r="GN12" l="1"/>
  <c r="GN13"/>
  <c r="GO11"/>
  <c r="GP11" l="1"/>
  <c r="GO12"/>
  <c r="GO13"/>
  <c r="GP12" l="1"/>
  <c r="GP13"/>
  <c r="GQ11"/>
  <c r="GQ12" l="1"/>
  <c r="GR11"/>
  <c r="GQ13"/>
  <c r="GR13" l="1"/>
  <c r="GR12"/>
  <c r="GS11"/>
  <c r="GS12" l="1"/>
  <c r="GT11"/>
  <c r="GS13"/>
  <c r="GU11" l="1"/>
  <c r="GT13"/>
  <c r="GT12"/>
  <c r="GU12" l="1"/>
  <c r="GU13"/>
  <c r="GV11"/>
  <c r="GV13" l="1"/>
  <c r="GW11"/>
  <c r="GV12"/>
  <c r="GW13" l="1"/>
  <c r="GX11"/>
  <c r="GW12"/>
  <c r="GX13" l="1"/>
  <c r="GY11"/>
  <c r="GX12"/>
  <c r="GY12" l="1"/>
  <c r="GZ11"/>
  <c r="GY13"/>
  <c r="GZ12" l="1"/>
  <c r="GZ13"/>
  <c r="HA11"/>
  <c r="HA13" l="1"/>
  <c r="HB11"/>
  <c r="HA12"/>
  <c r="HB13" l="1"/>
  <c r="HC11"/>
  <c r="HB12"/>
  <c r="HD11" l="1"/>
  <c r="HC13"/>
  <c r="HC12"/>
  <c r="HE11" l="1"/>
  <c r="HD12"/>
  <c r="HD13"/>
  <c r="HF11" l="1"/>
  <c r="HE12"/>
  <c r="HE13"/>
  <c r="HF12" l="1"/>
  <c r="HG11"/>
  <c r="HF13"/>
  <c r="HH11" l="1"/>
  <c r="HG13"/>
  <c r="HG12"/>
  <c r="HI11" l="1"/>
  <c r="HH13"/>
  <c r="HH12"/>
  <c r="HI13" l="1"/>
  <c r="HI12"/>
  <c r="HJ11"/>
  <c r="HJ13" l="1"/>
  <c r="HK11"/>
  <c r="HJ12"/>
  <c r="HL11" l="1"/>
  <c r="HK13"/>
  <c r="HK12"/>
  <c r="HM11" l="1"/>
  <c r="HL13"/>
  <c r="HL12"/>
  <c r="HM13" l="1"/>
  <c r="HM12"/>
  <c r="HN11"/>
  <c r="HN13" l="1"/>
  <c r="HO11"/>
  <c r="HN12"/>
  <c r="HO13" l="1"/>
  <c r="HO12"/>
  <c r="HP11"/>
  <c r="HQ11" l="1"/>
  <c r="HP13"/>
  <c r="HP12"/>
  <c r="HQ12" l="1"/>
  <c r="HQ13"/>
  <c r="HR11"/>
  <c r="HR13" l="1"/>
  <c r="HS11"/>
  <c r="HR12"/>
  <c r="HT11" l="1"/>
  <c r="HS12"/>
  <c r="HS13"/>
  <c r="HU11" l="1"/>
  <c r="HT12"/>
  <c r="HT13"/>
  <c r="HU12" l="1"/>
  <c r="HU13"/>
  <c r="HV11"/>
  <c r="HV13" l="1"/>
  <c r="HW11"/>
  <c r="HV12"/>
  <c r="HX11" l="1"/>
  <c r="HW12"/>
  <c r="HW13"/>
  <c r="HX12" l="1"/>
  <c r="HX13"/>
</calcChain>
</file>

<file path=xl/sharedStrings.xml><?xml version="1.0" encoding="utf-8"?>
<sst xmlns="http://schemas.openxmlformats.org/spreadsheetml/2006/main" count="1634" uniqueCount="848">
  <si>
    <t>B</t>
  </si>
  <si>
    <t>Pince allège ou dalle réglage de 0 à 0.40 m</t>
  </si>
  <si>
    <t>Garde corps trépieds à tube pour prédalle</t>
  </si>
  <si>
    <t>Support garde corps de dalle alvéolaire ( + GC diam 25 à prévoir )</t>
  </si>
  <si>
    <t>Tube garde corps 26 x 34 long.3.00m</t>
  </si>
  <si>
    <t>Lisse de baie extensible à tétons 1.10 à 1.80m</t>
  </si>
  <si>
    <t>Angle extérieur 90°  ..     0.16 x 0.16 x 2.80 m</t>
  </si>
  <si>
    <t>A</t>
  </si>
  <si>
    <t>Angle extérieur 90°  ..     0.16 x 0.16 x 1.50 m</t>
  </si>
  <si>
    <t>Angle extérieur 90°  ..     0.16 x 0.16 x 1.00 m</t>
  </si>
  <si>
    <t>Angle extérieur 90°  ..     0.16 x 0.16 x 0.50 m</t>
  </si>
  <si>
    <t>Clé à cliquet</t>
  </si>
  <si>
    <t xml:space="preserve">Réglette d'about 620 mm </t>
  </si>
  <si>
    <t>Tige de serrage 1,25 m</t>
  </si>
  <si>
    <t>Lest métal / béton  1 ,5  tonne</t>
  </si>
  <si>
    <t>Banche ………………   2.50 x 2.80 m</t>
  </si>
  <si>
    <t>Banche ………………   1.25 x 2.80 m</t>
  </si>
  <si>
    <t>Banche………………..  0.625 x 2.80 m</t>
  </si>
  <si>
    <t>Sous hausse …………  2.50 x 1.00 m</t>
  </si>
  <si>
    <t>Sous hausse ………. ..  1.25 x 1.00 m</t>
  </si>
  <si>
    <t>Sous hausse ………. ..  0.625 x 1.00 m</t>
  </si>
  <si>
    <t>Sous hausse …………  2.50 x 1.50 m</t>
  </si>
  <si>
    <t>Sous hausse ………. ..  1.25 x 1.50 m</t>
  </si>
  <si>
    <t>Sous hausse ………. ..  0.625 x 1.50 m</t>
  </si>
  <si>
    <t>Rehausse banche ……   2.50 x 0.50 m</t>
  </si>
  <si>
    <t>Rehausse banche ……   1.25 x 0.50 m</t>
  </si>
  <si>
    <t>Banche ………………   0.30 x 2.80 m</t>
  </si>
  <si>
    <t>Banche ………………   0.25 x 2.80 m</t>
  </si>
  <si>
    <t>avec vis assemblage latérale</t>
  </si>
  <si>
    <t>Banche ………………   0.20 x 2.80 m</t>
  </si>
  <si>
    <t>Banche ………………   0.15 x 2.80 m</t>
  </si>
  <si>
    <t>Banche ………………   0.10 x 2.80 m</t>
  </si>
  <si>
    <t>Sous hausse …………  2.40 x 1.00 m</t>
  </si>
  <si>
    <t>Sous hausse ………. ..  1.20 x 1.00 m</t>
  </si>
  <si>
    <t>Sous hausse ………. ..  0.90 x 1.00 m</t>
  </si>
  <si>
    <t>Sous hausse ………. ..  0.60 x 1.00 m</t>
  </si>
  <si>
    <t>Sous hausse ………. ..  0.40 x 1.00 m</t>
  </si>
  <si>
    <t>Sous hausse ………. ..  0.30 x 1.00 m</t>
  </si>
  <si>
    <t>Sous hausse ………. ..  0.25 x 1.00 m</t>
  </si>
  <si>
    <t>Sous hausse ………. ..  0.20 x 1.00 m</t>
  </si>
  <si>
    <t>Sous hausse ………. ..  0.15 x 1.00 m</t>
  </si>
  <si>
    <t>Sous hausse ………. ..  0.10 x 1.00 m</t>
  </si>
  <si>
    <t>Sous hausse …………  2.40 x 1.50 m</t>
  </si>
  <si>
    <t>Sous hausse ………. ..  1.20 x 1.50 m</t>
  </si>
  <si>
    <t>Sous hausse ………. ..  0.90 x 1.50 m</t>
  </si>
  <si>
    <t>Sous hausse ………. ..  0.60 x 1.50 m</t>
  </si>
  <si>
    <t>Sous hausse ………. ..  0.40 x 1.50 m</t>
  </si>
  <si>
    <t>Sous hausse ………. ..  0.30 x 1.50 m</t>
  </si>
  <si>
    <t>Sous hausse ………. ..  0.25 x 1.50 m</t>
  </si>
  <si>
    <t>Sous hausse ………. ..  0.20 x 1.50 m</t>
  </si>
  <si>
    <t>Sous hausse ………. ..  0.15 x 1.50 m</t>
  </si>
  <si>
    <t>Sous hausse ………. ..  0.10 x 1.50 m</t>
  </si>
  <si>
    <t>Rehausse banche ……   2.40 x 0.50 m</t>
  </si>
  <si>
    <t>Rehausse banche ……   1.20 x 0.50 m</t>
  </si>
  <si>
    <t>Rehausse banche ……   0.90 x 0.50 m</t>
  </si>
  <si>
    <t>Rehausse banche ……   0.60 x 0.50 m</t>
  </si>
  <si>
    <t>Rehausse banche ……   0.50 x 0.50 m</t>
  </si>
  <si>
    <t>Rehausse banche ……   0.40 x 0,50 m</t>
  </si>
  <si>
    <t>Rehausse banche ……   0.30 x 0.50 m</t>
  </si>
  <si>
    <t>Rehausse banche ……   0.25 x 0.50 m</t>
  </si>
  <si>
    <t>Rehausse banche ……   0.20 x 0.50 m</t>
  </si>
  <si>
    <t>Rehausse banche ……   0.15 x 0.50 m</t>
  </si>
  <si>
    <t>Rehausse banche ……   0.10 x 0.50 m</t>
  </si>
  <si>
    <t>Angle intérieur         90°  ...    1.20 + 1.20 x 2.80 m</t>
  </si>
  <si>
    <t>Angle intérieur         90°  ...    1.20 + 1.20 x 1.50 m</t>
  </si>
  <si>
    <t>S.H angle intérieur  90°  ...    1.20 + 1.20 x 1.00 m</t>
  </si>
  <si>
    <t>R.H angle intérieur  90°  ...    1.20 + 1.20 x 0.50 m</t>
  </si>
  <si>
    <t>Cornière d'angle 90°  ..  0.00 x 0.00 x 2.80 m</t>
  </si>
  <si>
    <t>Cornière d'angle 90°  ..  0.00 x 0.00 x 1.50 m</t>
  </si>
  <si>
    <t>Cornière d'angle 90°  ..  0.00 x 0.00 x 1.00 m</t>
  </si>
  <si>
    <t>Cornière d'angle 90°  ..  0.00 x 0.00 x 0.50 m</t>
  </si>
  <si>
    <t>Angle extérieur 90°  ..     0.20 x 0.20 x 2.80 m</t>
  </si>
  <si>
    <t>Angle extérieur 90°  ..     0.20 x 0.20 x 1.50 m</t>
  </si>
  <si>
    <t>Angle extérieur 90°  ..     0.20 x 0.20 x 1.00 m</t>
  </si>
  <si>
    <t>Angle extérieur 90°  ..     0.20 x 0.20 x 0.50 m</t>
  </si>
  <si>
    <t>Clé de décoffrage 2 x 2.80 m</t>
  </si>
  <si>
    <t>Clé de décoffrage 2 x 1.50 m</t>
  </si>
  <si>
    <t>Clé de décoffrage 2 x 1.00 m</t>
  </si>
  <si>
    <t>Clé de décoffrage 2 x 0.50 m</t>
  </si>
  <si>
    <t>Etai de stabilité au vent ….. E1    2.50 à 4.00 m</t>
  </si>
  <si>
    <t>Etai de stabilité au vent ….. E2    4.00 à 5.50 m</t>
  </si>
  <si>
    <t>Etai de stabilité au vent ….. E3    5.50 à 7.00 m</t>
  </si>
  <si>
    <t>Etai de stabilité au vent ….. E1S  2.50 à 4.00 m</t>
  </si>
  <si>
    <t>Stab étai…………………………..  3.10 à 5.60 m</t>
  </si>
  <si>
    <t>Stab étai…………………………..  4.70 à 8.20 m</t>
  </si>
  <si>
    <t>Support stab étai</t>
  </si>
  <si>
    <t>Vente</t>
  </si>
  <si>
    <t>Règle télescopique 10*30 x 3.30 m</t>
  </si>
  <si>
    <t>Règle télescopique 10*30 x 1.50 m</t>
  </si>
  <si>
    <t>Règle télescopique 10*30 x 1.00 m</t>
  </si>
  <si>
    <t>Auto stabilisateur ( compas )</t>
  </si>
  <si>
    <t>Auto stabilisateur ( compas simple )</t>
  </si>
  <si>
    <t>Palonnier autostab</t>
  </si>
  <si>
    <t>Palonnier de relevage</t>
  </si>
  <si>
    <t xml:space="preserve">Réglette d'about 820 mm </t>
  </si>
  <si>
    <t>Vendu 156 €</t>
  </si>
  <si>
    <t>Repris 78 € , si bon état</t>
  </si>
  <si>
    <t>Vendu 75 €</t>
  </si>
  <si>
    <t>Repris 35 € , si bon état</t>
  </si>
  <si>
    <t>Tige de serrage 2,00 m</t>
  </si>
  <si>
    <t>Vendu 30 €</t>
  </si>
  <si>
    <t>Repris 15 € , si bon état</t>
  </si>
  <si>
    <t>Vendu 16 €</t>
  </si>
  <si>
    <t>Repris 8 € , si bon état</t>
  </si>
  <si>
    <t>Vendu 15 €</t>
  </si>
  <si>
    <t>Lest métal / béton  2 tonnes</t>
  </si>
  <si>
    <t xml:space="preserve">Container pour compas </t>
  </si>
  <si>
    <t>Container pour rehausse</t>
  </si>
  <si>
    <t>BANCHES B 8000 OUTINORD</t>
  </si>
  <si>
    <t>OUTINORD</t>
  </si>
  <si>
    <t>Rehausse banche ……   2.50 x 0.25 m</t>
  </si>
  <si>
    <t>Rehausse banche ……   1.25 x 0.25 m</t>
  </si>
  <si>
    <t>Rehausse banche ……   0.625 x 0.25 m</t>
  </si>
  <si>
    <t>R.H angle intérieur  90°  ...    1.25 + 1.25 x 0.25 m</t>
  </si>
  <si>
    <t>Angle extérieur 90°  ..     0.16 x 0.16 x 0.25 m</t>
  </si>
  <si>
    <t>Clé de décoffrage 2 x 2.80</t>
  </si>
  <si>
    <t>Clé de décoffrage 2 x 1.50</t>
  </si>
  <si>
    <t>Clé de décoffrage 2 x 1.00</t>
  </si>
  <si>
    <t>Clé de décoffrage 2 x 0.50</t>
  </si>
  <si>
    <t>156€, repris 78 € si bon état</t>
  </si>
  <si>
    <t>75€, repris 35 € si bon état</t>
  </si>
  <si>
    <t>16€, repris 8 € si bon état</t>
  </si>
  <si>
    <t>15€, repris 8 € , si bon état</t>
  </si>
  <si>
    <t>POSTE DE LIVRAISON</t>
  </si>
  <si>
    <t>PL 2 arrivées , 2 départs inter fusible</t>
  </si>
  <si>
    <t>Plus value par cellule</t>
  </si>
  <si>
    <t xml:space="preserve">Poste transfo    antenne </t>
  </si>
  <si>
    <t>Poste transfo   coupure d’artère</t>
  </si>
  <si>
    <t>MATERIEL POUR LIGNE AÉRIENNE</t>
  </si>
  <si>
    <t>Poteau bois sur socle béton</t>
  </si>
  <si>
    <t>TRANSFORMATEUR ABAISSEUR MT/BT 20 KV</t>
  </si>
  <si>
    <t xml:space="preserve"> 160 KVA</t>
  </si>
  <si>
    <t xml:space="preserve"> 250 KVA</t>
  </si>
  <si>
    <t xml:space="preserve"> 400 KVA</t>
  </si>
  <si>
    <t xml:space="preserve"> 500 KVA</t>
  </si>
  <si>
    <t xml:space="preserve"> 630 KVA</t>
  </si>
  <si>
    <t xml:space="preserve"> 800 KVA</t>
  </si>
  <si>
    <t xml:space="preserve"> 1250 KVA</t>
  </si>
  <si>
    <t>GROUPE ÉLECTROGÈNE CAPOTE INSONORISE</t>
  </si>
  <si>
    <t>Groupe électrogène- essence- 30 KVA</t>
  </si>
  <si>
    <t>Groupe électrogène- diesel- 6 KVA</t>
  </si>
  <si>
    <t>Groupe électrogène- diesel- 30 KVA</t>
  </si>
  <si>
    <t>Groupe électrogène- diesel- 50 KVA</t>
  </si>
  <si>
    <t>Groupe électrogène- diesel- 100 KVA</t>
  </si>
  <si>
    <t>Groupe électrogène- diesel- 150 KVA</t>
  </si>
  <si>
    <t>Groupe électrogène- diesel- 180 KVA</t>
  </si>
  <si>
    <t>MATERIEL DE VIBRATION</t>
  </si>
  <si>
    <t>Vibreur de peau externe</t>
  </si>
  <si>
    <t xml:space="preserve">Aiguille vibrante électrique diamètre 60 </t>
  </si>
  <si>
    <t xml:space="preserve">Aiguille électrique vibrante diamètre 70 </t>
  </si>
  <si>
    <t>Aiguille vibrante autonome 220 V diamètre 40</t>
  </si>
  <si>
    <t>Aiguille vibrante autonome 220 V diamètre 50</t>
  </si>
  <si>
    <t>Aiguille vibrante autonome 220 V diamètre 60</t>
  </si>
  <si>
    <t xml:space="preserve">Aiguille vibrante pneumatique diamètre 40 </t>
  </si>
  <si>
    <t xml:space="preserve">Aiguille vibrante pneumatique diamètre 60 </t>
  </si>
  <si>
    <t xml:space="preserve">Aiguille vibrante pneumatique diamètre 70 </t>
  </si>
  <si>
    <t xml:space="preserve">Aiguille vibrante pneumatique diamètre 80 </t>
  </si>
  <si>
    <t>Convertisseur thermique diesel 48V</t>
  </si>
  <si>
    <t>CONTAINERS</t>
  </si>
  <si>
    <t>Container 2.20 m</t>
  </si>
  <si>
    <t>Container 6.00 m</t>
  </si>
  <si>
    <t>TRANSPORT CONTAINER</t>
  </si>
  <si>
    <t>Transport camion avec bras ( par container transporté )</t>
  </si>
  <si>
    <t>BUNGALOW INDIVIDUEL</t>
  </si>
  <si>
    <t>Vestiaire 10 personnes équipé 15 m2</t>
  </si>
  <si>
    <t>Réfectoire 10 personnes équipé 15 m2</t>
  </si>
  <si>
    <t>Sanitaire 40 personnes ( 2 WC + 1 douche )</t>
  </si>
  <si>
    <t>Baraque 2.50 x 2.50 lecture de plans</t>
  </si>
  <si>
    <t>TRANSPORT BUNGALOW INDIVIDUEL</t>
  </si>
  <si>
    <t>Transport camion avec bras ( par bungalow transporté )</t>
  </si>
  <si>
    <t>WC CHIMIQUE</t>
  </si>
  <si>
    <t>WC chimique ( avec chasse d’eau )</t>
  </si>
  <si>
    <t>WC chimique ( avec chasse d’eau + lavabo )</t>
  </si>
  <si>
    <t>TRANSPORT WC CHIMIQUE</t>
  </si>
  <si>
    <t>Transport camionnette</t>
  </si>
  <si>
    <t>CANTONNEMENT / AGENCE</t>
  </si>
  <si>
    <t>Cantonnement équipé 10 ou 20 personnes</t>
  </si>
  <si>
    <t>DEVIS INSTALLATION</t>
  </si>
  <si>
    <t>Agence équipée</t>
  </si>
  <si>
    <t>CLIM bureau</t>
  </si>
  <si>
    <t>Hors pose et dépose</t>
  </si>
  <si>
    <t>Armoire vestiaire double</t>
  </si>
  <si>
    <t>Banc</t>
  </si>
  <si>
    <t>Chaise coque</t>
  </si>
  <si>
    <t>Table réfectoire</t>
  </si>
  <si>
    <t>Table de bureau</t>
  </si>
  <si>
    <t>Fauteuil de bureau</t>
  </si>
  <si>
    <t>DIVERS INSTALL</t>
  </si>
  <si>
    <t>L’unité</t>
  </si>
  <si>
    <t>Passage piétons ( élément de 2.00 m ), repliable</t>
  </si>
  <si>
    <t>Passage piétons ( élément de 4.97 m ), monobloc</t>
  </si>
  <si>
    <t>Roulotte type JCR gaz / élect</t>
  </si>
  <si>
    <t>Roulotte type JCR 600 et 6600 gaz / élect</t>
  </si>
  <si>
    <t>Roulotte type d 459 gaz / élect</t>
  </si>
  <si>
    <t>DIVERS CLOTURES</t>
  </si>
  <si>
    <t>Clôture grillagée type HERAS</t>
  </si>
  <si>
    <t>Clôture opaque</t>
  </si>
  <si>
    <t>Clôture 1m tube ou grillagée</t>
  </si>
  <si>
    <t>NIVEAUX</t>
  </si>
  <si>
    <t>Niveau de chantier</t>
  </si>
  <si>
    <t>Niveau de précision (ou d'ingénieur)</t>
  </si>
  <si>
    <t>Niveau numérique</t>
  </si>
  <si>
    <t>THEODOLITES</t>
  </si>
  <si>
    <t>Théodolite de chantier</t>
  </si>
  <si>
    <t>Station totale TOPCON</t>
  </si>
  <si>
    <t>DISTANCEMETRES</t>
  </si>
  <si>
    <t>LASERS</t>
  </si>
  <si>
    <t>Niveau laser tournant horizontal ou vertical</t>
  </si>
  <si>
    <t>Niveau laser tournant pente quelconque</t>
  </si>
  <si>
    <t>Laser d’alignement pour cana. pente quelconque</t>
  </si>
  <si>
    <t>DIVERS MESURES</t>
  </si>
  <si>
    <t>Pénétromètre type Panda 2</t>
  </si>
  <si>
    <t>Ferroscan</t>
  </si>
  <si>
    <t>Ventose</t>
  </si>
  <si>
    <t>ACCESSOIRES</t>
  </si>
  <si>
    <t>Livraison chantier sous 48H00</t>
  </si>
  <si>
    <t>Livraison chantier par coursier sous 24H00</t>
  </si>
  <si>
    <t>Remise état</t>
  </si>
  <si>
    <t>TELECOMUNICATION</t>
  </si>
  <si>
    <t>Talkie walkie fréquences publiques</t>
  </si>
  <si>
    <t>Station grutier fréquences publiques</t>
  </si>
  <si>
    <t>Station grutier fréquences attribuées</t>
  </si>
  <si>
    <t>Caméra TV</t>
  </si>
  <si>
    <t>Moniteur TV</t>
  </si>
  <si>
    <t>MATERIEL D'ÉPUISEMENT EN EAU</t>
  </si>
  <si>
    <t>Pompe Grindex Midi   280 m3</t>
  </si>
  <si>
    <t>Pompe Grindex Minette  63 m3</t>
  </si>
  <si>
    <t>Pompe de Chantier type Bibo 2066</t>
  </si>
  <si>
    <t>Pompe Grindex Mono 34m3  N°194184</t>
  </si>
  <si>
    <t>Pompe Grindex Mono 34m3  N°194178</t>
  </si>
  <si>
    <t>Pompe à Boue 110 m3</t>
  </si>
  <si>
    <t>Pompe Flygt 2102 Débit 108 m3</t>
  </si>
  <si>
    <t>Pompe Flygt 2066 Débit   66m3</t>
  </si>
  <si>
    <t>Pompe Flygt BS 401 (220 V)  15 M3</t>
  </si>
  <si>
    <t>Pompe Toyo   DP 50 Débit   450 m3</t>
  </si>
  <si>
    <t>Pompe Ready   20 m3</t>
  </si>
  <si>
    <t>Pompe immergée  N°00957</t>
  </si>
  <si>
    <t>Groupe de suppression 6m3/h</t>
  </si>
  <si>
    <t>Refoulement Diamètre 0.75 m</t>
  </si>
  <si>
    <t>En ML</t>
  </si>
  <si>
    <t>Refoulement Diamètre 1.00 m</t>
  </si>
  <si>
    <t>Refoulement Diamètre 1.50 m</t>
  </si>
  <si>
    <t>Refoulement Diamètre  200 et 200 +</t>
  </si>
  <si>
    <t>Pompe pour citerne à G.O.</t>
  </si>
  <si>
    <t>ELINGUES</t>
  </si>
  <si>
    <t>Élingue Câble d'attaches volantes</t>
  </si>
  <si>
    <t xml:space="preserve">Élingue 1t50Ch 1Brin 2m </t>
  </si>
  <si>
    <t xml:space="preserve">Élingue 2t8Ch 2Brins 4m </t>
  </si>
  <si>
    <t xml:space="preserve">Élingue 3t2Ch 2Brins 3m </t>
  </si>
  <si>
    <t xml:space="preserve">Élingue 4t25Ch 2Brins 3m </t>
  </si>
  <si>
    <t xml:space="preserve">Élingue 4t75Ch 2Brins 6m </t>
  </si>
  <si>
    <t xml:space="preserve">Élingue 4t7Ch 4Brins 4m  </t>
  </si>
  <si>
    <t xml:space="preserve">Élingue 5t3Ch 1Brin 1m  </t>
  </si>
  <si>
    <t xml:space="preserve">Élingue 5t4 Chaîne 1 Brin 1m </t>
  </si>
  <si>
    <t xml:space="preserve">Élingue 8tCh 1Brin 1m </t>
  </si>
  <si>
    <t xml:space="preserve">Élingue 12t5 1Brin 1m </t>
  </si>
  <si>
    <t xml:space="preserve">Élingue 7t5Ch 2 Brins 7m  </t>
  </si>
  <si>
    <t xml:space="preserve">Élingue 8tCh 2Brins 5m </t>
  </si>
  <si>
    <t>Élingue 11t2Ch 2Brins 7m</t>
  </si>
  <si>
    <t xml:space="preserve">Élingue 4t7Ch 4Brins 6m </t>
  </si>
  <si>
    <t xml:space="preserve">Élingue 6t7Ch 4Brins 6m  </t>
  </si>
  <si>
    <t xml:space="preserve">Élingue 8tCh 4Brins 6m </t>
  </si>
  <si>
    <t xml:space="preserve">Élingue 11t2Ch 4Brins 6m </t>
  </si>
  <si>
    <t xml:space="preserve">OBSERVATIONS </t>
  </si>
  <si>
    <t>COFFRAGE MODULABLE, DE PREFA</t>
  </si>
  <si>
    <t>Poteau Quattro  ht 2.75m</t>
  </si>
  <si>
    <t>Poteau Quattro  ht 1.25m</t>
  </si>
  <si>
    <t>Poteau Quattro  ht 0.50m</t>
  </si>
  <si>
    <t>Console Clap 2.5t</t>
  </si>
  <si>
    <t>Console Clap 3t</t>
  </si>
  <si>
    <t>Support de coffrage en rive</t>
  </si>
  <si>
    <t>Montant de garde corps HSGP</t>
  </si>
  <si>
    <t>Étai RS 1000 Ouverture 600 x 1000</t>
  </si>
  <si>
    <t>Étai RSS 1     Ouverture 205 x 294</t>
  </si>
  <si>
    <t>Étai RSS 2     Ouverture 291 x 380</t>
  </si>
  <si>
    <t>Étai RSS3     Ouverture 460 x 600</t>
  </si>
  <si>
    <t>Contre-flèche 108 x 140 vis ext.</t>
  </si>
  <si>
    <t>Contre-flèche 108 x 190 vis ext.</t>
  </si>
  <si>
    <t>Échelle</t>
  </si>
  <si>
    <t>Crinoline (2 cercles + 3 montants 1m)</t>
  </si>
  <si>
    <t>Filière SRZ Long : 0.96</t>
  </si>
  <si>
    <t>Filière SRZ Long : 2.42m</t>
  </si>
  <si>
    <t>Éclisse VKZ 0.99</t>
  </si>
  <si>
    <t>Batt. de poutre réglable type A métal.</t>
  </si>
  <si>
    <t>Batt. de poutre réglable joues en CP</t>
  </si>
  <si>
    <t>Plateau coffrant mixte 5.00 x 2.50</t>
  </si>
  <si>
    <t>BAC A MORTIER, MANNEQUIN, TIGE...ETC</t>
  </si>
  <si>
    <t>Benne à Mortier 350L</t>
  </si>
  <si>
    <t>Réceptacle à benne à béton</t>
  </si>
  <si>
    <t>Goulotte à gravas trémie de chargement</t>
  </si>
  <si>
    <t>Goulotte à gravas élément droit</t>
  </si>
  <si>
    <t>Tige Artéon Diam. 23 + Plaque &amp; Écrou</t>
  </si>
  <si>
    <t>Mannequin réglable</t>
  </si>
  <si>
    <t>ÉTAIEMENT ALUCOFFRAGE</t>
  </si>
  <si>
    <t>Alutour Échelle 120</t>
  </si>
  <si>
    <t>Alutour Échelle 180</t>
  </si>
  <si>
    <t>Alutour Tête Réglable</t>
  </si>
  <si>
    <t>Alutour Pied Télescopique 114</t>
  </si>
  <si>
    <t>Alutour Broche + Goupille</t>
  </si>
  <si>
    <t>Alutour Manchon</t>
  </si>
  <si>
    <t>Alutour Chevêtre 120</t>
  </si>
  <si>
    <t>Alutour Boulon T avec Écrou papillon</t>
  </si>
  <si>
    <t>Alutour Croisillon 240 x 060</t>
  </si>
  <si>
    <t>Alutour Croisillon 240 x 120</t>
  </si>
  <si>
    <t>Alutour Croisillon 180 x 060</t>
  </si>
  <si>
    <t>Alutour Croisillon 180 x 120</t>
  </si>
  <si>
    <t>Alutour Croisillon 120 x 060</t>
  </si>
  <si>
    <t>Alutour Croisillon 120 x 120</t>
  </si>
  <si>
    <t>Alutour Planchon 120 x 050</t>
  </si>
  <si>
    <t>Alutour Planchon 180 x 035</t>
  </si>
  <si>
    <t>Alutour Planchon 180 x 050</t>
  </si>
  <si>
    <t>Alutour Planchon 180 x 060 avec Trappe</t>
  </si>
  <si>
    <t>Alutour Planchon 240 x 070 avec Trappe</t>
  </si>
  <si>
    <t>Alutour Échelle d'Accès</t>
  </si>
  <si>
    <t>Alutour Lisse AT 180</t>
  </si>
  <si>
    <t>Alupoutre AB18  Long. 1.80m</t>
  </si>
  <si>
    <t>Alupoutre AB18  Long. 2.10m</t>
  </si>
  <si>
    <t>Alupoutre AB18  Long. 3.00m</t>
  </si>
  <si>
    <t>Alupoutre AB18  Long. 3.60m</t>
  </si>
  <si>
    <t>Alupoutre AB18  Long. 4.80m</t>
  </si>
  <si>
    <t>Alupoutre AB18  Long. 5.10m</t>
  </si>
  <si>
    <t>ÉTAIEMENT RETOTUB</t>
  </si>
  <si>
    <t>Tour RETOTUB Échelle 1.00m</t>
  </si>
  <si>
    <t xml:space="preserve">Tour RETOTUB Échelle 1.50m          </t>
  </si>
  <si>
    <t>Tour RETOTUB Diagonale 1.60 m</t>
  </si>
  <si>
    <t>Tour RETOTUB Vérin de pied réglable</t>
  </si>
  <si>
    <t>Tour RETOTUB Vérin de tête réglable</t>
  </si>
  <si>
    <t>Tour RETOTUB Goupille "S"</t>
  </si>
  <si>
    <t xml:space="preserve">Tour RETOTUB Planchon avec trappe  </t>
  </si>
  <si>
    <t>Tour RETOTUB Planchon sans trappe</t>
  </si>
  <si>
    <t>Tour RETOTUB Garde corps de montage</t>
  </si>
  <si>
    <t>Tour RETOTUB Garde corps 1.60m x 0.75</t>
  </si>
  <si>
    <t>Tour RETOTUB Coulisse + Vérin</t>
  </si>
  <si>
    <t>Tour RETOTUB Plaque de base</t>
  </si>
  <si>
    <t>Tour RETOTUB Chariot de ripage</t>
  </si>
  <si>
    <t>Tour RETOTUB Cadre Sécurité 1.60m x 1.25</t>
  </si>
  <si>
    <t xml:space="preserve">Tour RETOTUB Ensemble Support Coffrage </t>
  </si>
  <si>
    <t>PLATEFORME MOBILE DE TRAVAIL</t>
  </si>
  <si>
    <t>PIR  0.70 - 1.30</t>
  </si>
  <si>
    <t>PIR  0.95 - 1.65</t>
  </si>
  <si>
    <t>PIR  2.50 - 3.50</t>
  </si>
  <si>
    <t>CONSOLE SATECO</t>
  </si>
  <si>
    <t>Console PRM 2F 1100  1.90 x 3.40m</t>
  </si>
  <si>
    <t>Console PRM 2F 1900  2.60 x 4.00m</t>
  </si>
  <si>
    <t>Console PRM 2F 3700  4.00 x 6.60m</t>
  </si>
  <si>
    <t>Console PRM 4F           5.80 x 7.60m</t>
  </si>
  <si>
    <t>Console PRM Forfait</t>
  </si>
  <si>
    <t xml:space="preserve">Angle pour passerelle   </t>
  </si>
  <si>
    <t>Pied de base passerelle</t>
  </si>
  <si>
    <t xml:space="preserve">Attache volante     </t>
  </si>
  <si>
    <t xml:space="preserve">Attache volante réglable     </t>
  </si>
  <si>
    <t xml:space="preserve">Cable de récupération Attache réglable  </t>
  </si>
  <si>
    <t>Ensemble de charge reprise palonnier</t>
  </si>
  <si>
    <t>Ensemble 2 palonniers de levage</t>
  </si>
  <si>
    <t xml:space="preserve">Manivelle de réglage     </t>
  </si>
  <si>
    <t>MATÉRIEL DE SECURITE</t>
  </si>
  <si>
    <t>Extincteur</t>
  </si>
  <si>
    <t>SECUPAV</t>
  </si>
  <si>
    <t>Glissière béton armé intermédiaire</t>
  </si>
  <si>
    <t>Glissière béton armé d'about</t>
  </si>
  <si>
    <t>Sécupav support de départ + tige</t>
  </si>
  <si>
    <t>Sécupav collier double</t>
  </si>
  <si>
    <t>Sécupav attache de sécurité</t>
  </si>
  <si>
    <t>Sécupav barre verticale 2.70</t>
  </si>
  <si>
    <t>CLÔTURE DE CHANTIER</t>
  </si>
  <si>
    <t xml:space="preserve">Clôture Opaque  ht 2.00m long 2.10m   </t>
  </si>
  <si>
    <t>Portillon grillagé</t>
  </si>
  <si>
    <t>Clôture ht 1.10m long 3.50m avec Bardage</t>
  </si>
  <si>
    <t>Plot de Clôture grillagée</t>
  </si>
  <si>
    <t>Attache Clôture</t>
  </si>
  <si>
    <t>Collier anti-levage pour Clôture</t>
  </si>
  <si>
    <t>Collier anti-vandalisme</t>
  </si>
  <si>
    <t>Bracon Clôture  Ht 2m</t>
  </si>
  <si>
    <t>Barrière Parisienne  ht 1.00m Long 1.50m</t>
  </si>
  <si>
    <t>Clôture Opaque  ht 2.00m Long 2.00m</t>
  </si>
  <si>
    <t>Rack à Clôture</t>
  </si>
  <si>
    <t>Lest de Clôture HERAS</t>
  </si>
  <si>
    <t>MATERIEL DE DISTRIBUTION D'ÉNERGIE</t>
  </si>
  <si>
    <t>Armoire de Comptage &lt;= 36 A T/bleu</t>
  </si>
  <si>
    <t>Armoire de Comptage &gt; 36 A T/jaune</t>
  </si>
  <si>
    <t>Armoire de Distribution &gt; 250 A</t>
  </si>
  <si>
    <t>Armoire de Distribution 160 à 250 A</t>
  </si>
  <si>
    <t>Armoire de Distribution 80 à 160 A</t>
  </si>
  <si>
    <t>Armoire de Dérivation</t>
  </si>
  <si>
    <t>Armoire de Pied de Grue</t>
  </si>
  <si>
    <t>Armoire Corps d'État 64 A</t>
  </si>
  <si>
    <t>Armoire Corps État 32 à 40 A</t>
  </si>
  <si>
    <t>Armoire de Cantonnement</t>
  </si>
  <si>
    <t>Armoire de Jonction</t>
  </si>
  <si>
    <t>Coffret d'Éclairage</t>
  </si>
  <si>
    <t>Coffret Portatif d'Étage</t>
  </si>
  <si>
    <t>Coffret Crépusculaire ou Horaire</t>
  </si>
  <si>
    <t>COMPLEMENT ETAIS MULTIPROP</t>
  </si>
  <si>
    <t xml:space="preserve">Etais MProp 250 </t>
  </si>
  <si>
    <t>Etais MProp 350</t>
  </si>
  <si>
    <t>Etais MProp 480</t>
  </si>
  <si>
    <t>Etais MProp 625</t>
  </si>
  <si>
    <t>COMPLEMENT ENGINS</t>
  </si>
  <si>
    <t>Automotrice 30t + grutier</t>
  </si>
  <si>
    <t>Automotrice 70t + grutier</t>
  </si>
  <si>
    <t>Nacelles pose prefas</t>
  </si>
  <si>
    <t>ACHAT LEVAGE</t>
  </si>
  <si>
    <t>Avis sur fondations a proximite d'ouvrages existants</t>
  </si>
  <si>
    <t>Avis sur fondations en liaison avec l'ouvrage a construire</t>
  </si>
  <si>
    <t>Avis sur fondations liees a la presence d'ouvrages en sous-sol</t>
  </si>
  <si>
    <t>Avis sur fondations profondes</t>
  </si>
  <si>
    <t>Avis sur fondations realisees par semelles ou semi profondes</t>
  </si>
  <si>
    <t>Controle de zone interdite et d'interference pour 2 grues, en cours de chantier</t>
  </si>
  <si>
    <t>Controle de zone interdite et d'interference pour 3 grues, en cours de chantier</t>
  </si>
  <si>
    <t>Controle de zone interdite pour 1 grue, en cours de chantier</t>
  </si>
  <si>
    <t>Controle mise/remise en service grue a tour</t>
  </si>
  <si>
    <t>Examen environnemental du site</t>
  </si>
  <si>
    <t>Controle interference - 2 grues</t>
  </si>
  <si>
    <t>Controle interference - 3 grues</t>
  </si>
  <si>
    <t>Controle interference - zone interdite - 1 grue</t>
  </si>
  <si>
    <t>Verification periodique grue a tour</t>
  </si>
  <si>
    <t>ACHAT</t>
  </si>
  <si>
    <t>Cadre platelage</t>
  </si>
  <si>
    <t>Platelage sur cadre</t>
  </si>
  <si>
    <t>Arret coulage bois 0,60</t>
  </si>
  <si>
    <t>Arret coulage bois 0,50</t>
  </si>
  <si>
    <t>Arret coulage bois 0,40</t>
  </si>
  <si>
    <t>Coff. tradi droit &lt; 1,00</t>
  </si>
  <si>
    <t>Coff. carton d 0,50</t>
  </si>
  <si>
    <t>Coff. carton d 0,60</t>
  </si>
  <si>
    <t>Coff. carton 0,50x0,50</t>
  </si>
  <si>
    <t>Coff. carton 0,60x0,60</t>
  </si>
  <si>
    <r>
      <t>Taux EUROS ( 30 jours )</t>
    </r>
    <r>
      <rPr>
        <sz val="9"/>
        <color indexed="10"/>
        <rFont val="Times New Roman"/>
        <family val="1"/>
      </rPr>
      <t xml:space="preserve"> </t>
    </r>
    <r>
      <rPr>
        <b/>
        <sz val="16"/>
        <color indexed="10"/>
        <rFont val="Times New Roman"/>
        <family val="1"/>
      </rPr>
      <t>*</t>
    </r>
  </si>
  <si>
    <r>
      <t>*</t>
    </r>
    <r>
      <rPr>
        <b/>
        <sz val="12"/>
        <color indexed="10"/>
        <rFont val="Times New Roman"/>
        <family val="1"/>
      </rPr>
      <t xml:space="preserve">  </t>
    </r>
    <r>
      <rPr>
        <b/>
        <sz val="10"/>
        <color indexed="10"/>
        <rFont val="Times New Roman"/>
        <family val="1"/>
      </rPr>
      <t>Tarif SCGPM majoré de 13%</t>
    </r>
  </si>
  <si>
    <r>
      <t>POSTE TRANSFO. ABAISSEUR MT/BT ( sans transfo</t>
    </r>
    <r>
      <rPr>
        <b/>
        <u/>
        <sz val="9"/>
        <color indexed="8"/>
        <rFont val="Times New Roman"/>
        <family val="1"/>
      </rPr>
      <t xml:space="preserve"> </t>
    </r>
    <r>
      <rPr>
        <b/>
        <u/>
        <sz val="9"/>
        <color indexed="12"/>
        <rFont val="Times New Roman"/>
        <family val="1"/>
      </rPr>
      <t>)</t>
    </r>
  </si>
  <si>
    <r>
      <t xml:space="preserve">DÉSIGNATION                                                                                                   </t>
    </r>
    <r>
      <rPr>
        <b/>
        <sz val="14"/>
        <color indexed="8"/>
        <rFont val="Times New Roman"/>
        <family val="1"/>
      </rPr>
      <t xml:space="preserve"> </t>
    </r>
    <r>
      <rPr>
        <b/>
        <sz val="12"/>
        <color indexed="12"/>
        <rFont val="Times New Roman"/>
        <family val="1"/>
      </rPr>
      <t>PRIX de LOCATION MATERIEL MALVILLE</t>
    </r>
  </si>
  <si>
    <r>
      <t xml:space="preserve">DÉSIGNATION                                                                                                   </t>
    </r>
    <r>
      <rPr>
        <b/>
        <sz val="14"/>
        <color indexed="8"/>
        <rFont val="Times New Roman"/>
        <family val="1"/>
      </rPr>
      <t xml:space="preserve"> </t>
    </r>
    <r>
      <rPr>
        <b/>
        <sz val="12"/>
        <color indexed="12"/>
        <rFont val="Times New Roman"/>
        <family val="1"/>
      </rPr>
      <t>PRIX de LOCATION MATÉRIEL MALVILLE</t>
    </r>
  </si>
  <si>
    <t>LAVE BENNE A BETON Bac de décantation avec podium pour lavage benne</t>
  </si>
  <si>
    <t>LOCATION GRUES A TOUR 175 / 178</t>
  </si>
  <si>
    <t>Vestiaire + refectoire 6 personnes équipé 15 m2</t>
  </si>
  <si>
    <t>MD 265</t>
  </si>
  <si>
    <t>MD 238</t>
  </si>
  <si>
    <t>MD 208</t>
  </si>
  <si>
    <t>LOCATION GRUES A TOUR MD 238</t>
  </si>
  <si>
    <t>COFFRAGE MODULABLE, DE PREFA Filière SRZ Long : 2.42m</t>
  </si>
  <si>
    <t>COMPLEMENT ETAIS MULTIPROP Etais MProp 350</t>
  </si>
  <si>
    <t>COMPLEMENT ETAIS MULTIPROP Etais MProp 480</t>
  </si>
  <si>
    <t>Tour RETOTUB base 1.50m x 4 pieds</t>
  </si>
  <si>
    <t>Tour RETOTUB module 1.50m supplémentaire</t>
  </si>
  <si>
    <t>Grues</t>
  </si>
  <si>
    <t>COFFRAGE MODULAIRE - G2</t>
  </si>
  <si>
    <t>PALONNIER A PREDALLE 12 points : capacité maxi 3000 kg</t>
  </si>
  <si>
    <t>Tour RETOTUB base 4 pieds -&gt; 3,00m</t>
  </si>
  <si>
    <t>Tour RETOTUB hauteur 1.50m sup.</t>
  </si>
  <si>
    <t>Tour RETOTUB plancher avec accès</t>
  </si>
  <si>
    <t>PH tout niveaux G2</t>
  </si>
  <si>
    <t>Escalier accès base vie en R+1</t>
  </si>
  <si>
    <t>Train sous sol + poteaux</t>
  </si>
  <si>
    <t>Acceleration au RdC</t>
  </si>
  <si>
    <t>COFFRAGE MODULAIRE</t>
  </si>
  <si>
    <t>Coffrage spécifique</t>
  </si>
  <si>
    <t>Coffrage spécifique pose poutres</t>
  </si>
  <si>
    <t>Tour RETOTUB base 4 pieds -&gt; 3,20m</t>
  </si>
  <si>
    <t>__</t>
  </si>
  <si>
    <t>Pose des prédalles</t>
  </si>
  <si>
    <t>Planning plancher par zones</t>
  </si>
  <si>
    <t>Déplacement des banches</t>
  </si>
  <si>
    <t>Appro ferraillage dalles</t>
  </si>
  <si>
    <t>Fermeture banches</t>
  </si>
  <si>
    <t>Coulage verticaux</t>
  </si>
  <si>
    <t>Pose des préfas</t>
  </si>
  <si>
    <t>Principe de diagramme journalier de grue</t>
  </si>
  <si>
    <t>1ere émission sur excel</t>
  </si>
  <si>
    <t>Lundi</t>
  </si>
  <si>
    <t>H</t>
  </si>
  <si>
    <t>Chantier</t>
  </si>
  <si>
    <t>Utilisation de la grue</t>
  </si>
  <si>
    <t>Ferraillage et mannequins banches</t>
  </si>
  <si>
    <t>Déplacements sécurité + coffrage dalle</t>
  </si>
  <si>
    <t>Equipe de dalle hors grue</t>
  </si>
  <si>
    <t>Coulage dalle plot J</t>
  </si>
  <si>
    <t>Réservations et rives sur le plot J</t>
  </si>
  <si>
    <t>Ferraillage plot J+1</t>
  </si>
  <si>
    <t>Coffrage plot J+2</t>
  </si>
  <si>
    <t>Equipe de voiles hors grue</t>
  </si>
  <si>
    <t>Décoffrage</t>
  </si>
  <si>
    <t>Réglage nettoyage tracage</t>
  </si>
  <si>
    <t>Réglage fermeture banches</t>
  </si>
  <si>
    <t>Réglage nettoyage banches</t>
  </si>
  <si>
    <t>_1.</t>
  </si>
  <si>
    <t>Dallage</t>
  </si>
  <si>
    <t>.</t>
  </si>
  <si>
    <t>_1.1.</t>
  </si>
  <si>
    <t>Planning prévisionnel ind D</t>
  </si>
  <si>
    <t>Dialogue compétitif</t>
  </si>
  <si>
    <t xml:space="preserve">    Phase 1 esquisse +</t>
  </si>
  <si>
    <t xml:space="preserve">        Validation MOA</t>
  </si>
  <si>
    <t xml:space="preserve">        Dossier esquisse +</t>
  </si>
  <si>
    <t>_1.1.1.</t>
  </si>
  <si>
    <t>_1.1.2.</t>
  </si>
  <si>
    <t>Noyau central</t>
  </si>
  <si>
    <t>Dalles courantes</t>
  </si>
  <si>
    <t>Dalle couverture</t>
  </si>
  <si>
    <t>Edicules</t>
  </si>
  <si>
    <t>Ventillations</t>
  </si>
  <si>
    <t>Planning Materiel</t>
  </si>
  <si>
    <t>Outils de façades loc</t>
  </si>
  <si>
    <t>Outils de façades achat</t>
  </si>
  <si>
    <t>m4</t>
  </si>
  <si>
    <t>Coffrage spécifiques poteaux façades</t>
  </si>
  <si>
    <t>k</t>
  </si>
  <si>
    <t>m5</t>
  </si>
  <si>
    <t>Coff. carton d 0,35</t>
  </si>
  <si>
    <t>Coff. carton d 0,30</t>
  </si>
  <si>
    <t>Coff. carton d 0,25</t>
  </si>
  <si>
    <t>Dalles PH sur prédalles</t>
  </si>
  <si>
    <t>Tours pose balcons</t>
  </si>
  <si>
    <t>Date</t>
  </si>
  <si>
    <t>Semaine</t>
  </si>
  <si>
    <t>Mois</t>
  </si>
  <si>
    <t>Année</t>
  </si>
  <si>
    <t>m</t>
  </si>
  <si>
    <t>Ind 0</t>
  </si>
  <si>
    <t>A partir du</t>
  </si>
  <si>
    <t>Heure</t>
  </si>
  <si>
    <t>Act#</t>
  </si>
  <si>
    <t>Nom activité</t>
  </si>
  <si>
    <t>Durée</t>
  </si>
  <si>
    <t>Quantité</t>
  </si>
  <si>
    <t>Unité</t>
  </si>
  <si>
    <t>Cadence</t>
  </si>
  <si>
    <t>Début</t>
  </si>
  <si>
    <t>Nbr heure par jour</t>
  </si>
  <si>
    <t>Début journée</t>
  </si>
  <si>
    <t>Pas:</t>
  </si>
  <si>
    <t>Fin</t>
  </si>
  <si>
    <t>WBS</t>
  </si>
  <si>
    <t>U</t>
  </si>
  <si>
    <t>m2</t>
  </si>
  <si>
    <t>Qtt</t>
  </si>
  <si>
    <t>m3</t>
  </si>
  <si>
    <t xml:space="preserve">Lave benne avec podium </t>
  </si>
  <si>
    <t xml:space="preserve">Bac de décantation sans podium </t>
  </si>
  <si>
    <t>COFFRAGES CINTRABLES</t>
  </si>
  <si>
    <t xml:space="preserve">MD 285 B </t>
  </si>
  <si>
    <t>Balisage aérien nocturne</t>
  </si>
  <si>
    <t xml:space="preserve">Projecteur 2.000 W </t>
  </si>
  <si>
    <t xml:space="preserve">Interférences </t>
  </si>
  <si>
    <t>Nacelle évacuation blessés</t>
  </si>
  <si>
    <t xml:space="preserve">Poutrelle bois H = 0.20 - L = 2,45 m </t>
  </si>
  <si>
    <t xml:space="preserve">Poutrelle bois H = 0.20 - L = 3,90 m </t>
  </si>
  <si>
    <t>Escabeau alu 4 marches</t>
  </si>
  <si>
    <t>Escabeau alu 10 marches</t>
  </si>
  <si>
    <t xml:space="preserve">Etai  renforcé : ………….… 1.70 à 2.90 m </t>
  </si>
  <si>
    <t>Etai  renforcé : ………….…  2.30 à 3.80 m</t>
  </si>
  <si>
    <t>Etai Tirant Poussant ……… 3.10 à 5.50 m</t>
  </si>
  <si>
    <t xml:space="preserve">Trépied repliable auto bloquant étai diam. 57, diam 76 </t>
  </si>
  <si>
    <t>Garde corps réservation diamètre 25 à tube</t>
  </si>
  <si>
    <t>Rehausse banche ……   0.625 x 0.50 m</t>
  </si>
  <si>
    <t>Angle intérieur         90°  ...    1.25 + 1,25 x 2.80 m</t>
  </si>
  <si>
    <t>Angle intérieur         90°  ...    1.25 + 1.25 x 1.50 m</t>
  </si>
  <si>
    <t>S.H angle intérieur  90°  ...    1.25 + 1.25 x 1.00 m</t>
  </si>
  <si>
    <t>R.H angle intérieur  90°  ...    1.25 + 1.25 x 0.50 m</t>
  </si>
  <si>
    <t xml:space="preserve">Etai de stabilité au vent ….. N°1    </t>
  </si>
  <si>
    <t xml:space="preserve">Etai de stabilité au vent ….. N°2    </t>
  </si>
  <si>
    <t xml:space="preserve">Etai de stabilité au vent ….. N°3    </t>
  </si>
  <si>
    <t>Etai de stabilité au vent ….. A  2.40 à 3.84 m</t>
  </si>
  <si>
    <t>Etai de stabilité au vent ….. A+B  3.80 à 6.00 m</t>
  </si>
  <si>
    <t>Etai de stabilité au vent ….. A+B+C  5.60 à 7.80 m</t>
  </si>
  <si>
    <t>Compas  d'écartement</t>
  </si>
  <si>
    <t xml:space="preserve">Aiguille vibrante électrique diamètre 40 </t>
  </si>
  <si>
    <t xml:space="preserve">Aiguille vibrante électrique diamètre 50 </t>
  </si>
  <si>
    <t>Convertisseur électrique 48 V</t>
  </si>
  <si>
    <t>Container 3.00 m</t>
  </si>
  <si>
    <t xml:space="preserve">Bureau 6.21 x 2.44 équipé 15 m2 </t>
  </si>
  <si>
    <t>Abri (ouvert) lecture de plans</t>
  </si>
  <si>
    <t>Talkie walkie fréquences attribuées</t>
  </si>
  <si>
    <t>Écrou de serrage</t>
  </si>
  <si>
    <t>Bac à Mortier 1M3</t>
  </si>
  <si>
    <t>Règle Magnétique</t>
  </si>
  <si>
    <t>Sabot Magnétique</t>
  </si>
  <si>
    <t>Tige Artéon Diam. 17 + Plaque &amp; Écrou</t>
  </si>
  <si>
    <t>Serre-joint de maçon</t>
  </si>
  <si>
    <t>Chaise réglable pour plancher et radier</t>
  </si>
  <si>
    <t>PIR  1.30 - 2.50</t>
  </si>
  <si>
    <t>PIR  2.95 - 3.65</t>
  </si>
  <si>
    <t>Clôture grillagée  ht 2.00m long 3.50m</t>
  </si>
  <si>
    <t>Clôture Opaque  ht 2.00m long 3.00m</t>
  </si>
  <si>
    <t>Portail  (doubles vantaux)</t>
  </si>
  <si>
    <t>Arret coulage bois 0,30</t>
  </si>
  <si>
    <t>Arret bois 0,20 maxi</t>
  </si>
  <si>
    <t>Mannequins bois</t>
  </si>
  <si>
    <t>Bois coffrage</t>
  </si>
  <si>
    <t>Ctp coffrage</t>
  </si>
  <si>
    <t>Coff. carton d 0,40</t>
  </si>
  <si>
    <t>MATERIEL</t>
  </si>
  <si>
    <t>Sauf indications : chiffrés sur tarif matériel interne</t>
  </si>
  <si>
    <t>Total (€) :</t>
  </si>
  <si>
    <t>VERTICAUX</t>
  </si>
  <si>
    <t>Sous total :</t>
  </si>
  <si>
    <t>compris 1 sem. montage + 1 sem. démontage</t>
  </si>
  <si>
    <t>P.U (€)</t>
  </si>
  <si>
    <t>Budget (€)</t>
  </si>
  <si>
    <t>Accessoires</t>
  </si>
  <si>
    <t>Pass. PRM AV 1,5 jeux</t>
  </si>
  <si>
    <t>Angle PRM</t>
  </si>
  <si>
    <t>AV PRM supplément.</t>
  </si>
  <si>
    <t>HORIZONTAUX</t>
  </si>
  <si>
    <t>3 sem. montage/démontage + 3 sem. séchage</t>
  </si>
  <si>
    <t>Fourches étais</t>
  </si>
  <si>
    <t>Panier de manutention</t>
  </si>
  <si>
    <t>LEVAGE ET ACCESSOIRES</t>
  </si>
  <si>
    <t>Montage/Démontage + fondations</t>
  </si>
  <si>
    <t>Ens</t>
  </si>
  <si>
    <t>Accessoires comptés par grues</t>
  </si>
  <si>
    <t>Elingues 5.1T à 9.5T 4 brins</t>
  </si>
  <si>
    <t>Elingues 0.5T à 5T 4 brins</t>
  </si>
  <si>
    <t>Benne autovide 1500l</t>
  </si>
  <si>
    <t xml:space="preserve">Fourche à palette avec filet </t>
  </si>
  <si>
    <t>Vestiaire 12 personnes équipé 15 m2</t>
  </si>
  <si>
    <t>Sanitaire 24 personnes ( 2 WC + 1 douche )</t>
  </si>
  <si>
    <t>Réfectoire 12 personnes équipé 15 m2</t>
  </si>
  <si>
    <t xml:space="preserve">Bureau 6.21 x 5.00 équipé 30 m2 </t>
  </si>
  <si>
    <t>Durée (S)</t>
  </si>
  <si>
    <t>Banches en m2</t>
  </si>
  <si>
    <t>Base vie</t>
  </si>
  <si>
    <t>Clôtures et accès</t>
  </si>
  <si>
    <t>Achat</t>
  </si>
  <si>
    <t>1ère émission</t>
  </si>
  <si>
    <t xml:space="preserve"> </t>
  </si>
  <si>
    <t>Voiles courants et architectoniques</t>
  </si>
  <si>
    <t>Ctp coffrage 10mm habillage banches</t>
  </si>
  <si>
    <t>INSTALLATIONS DE CHANTIER</t>
  </si>
  <si>
    <t>SECURITE ET ACCESSOIRES</t>
  </si>
  <si>
    <t>Plot de Clôture grillagée + attache + collier</t>
  </si>
  <si>
    <t>Plateforme ascenseur</t>
  </si>
  <si>
    <t>Sécurité</t>
  </si>
  <si>
    <t>Accessoires coffrages</t>
  </si>
  <si>
    <t>Distribution électricité</t>
  </si>
  <si>
    <t>Pré-liste de matériel, à confirmer par le chantier, pour une livraison le :</t>
  </si>
  <si>
    <t>DÉSIGNATION</t>
  </si>
  <si>
    <t>Taux EUROS ( 30 jours )</t>
  </si>
  <si>
    <t>OBSERVATIONS</t>
  </si>
  <si>
    <t>QUANTITE</t>
  </si>
  <si>
    <t>u/jour</t>
  </si>
  <si>
    <t>u/mois</t>
  </si>
  <si>
    <t>COMPRESSEURS</t>
  </si>
  <si>
    <t>Compresseurs mobiles diesel</t>
  </si>
  <si>
    <t>3500 / 4000 litres: 7 bars</t>
  </si>
  <si>
    <t>Sans outils, location &gt; 1mois</t>
  </si>
  <si>
    <t>4500 / 5600 litres: 7 bars</t>
  </si>
  <si>
    <t>Compresseurs mobiles électrique</t>
  </si>
  <si>
    <t>2000 / 2400 litres: 7 bars</t>
  </si>
  <si>
    <t>3000 / 3200 litres: 7 bars</t>
  </si>
  <si>
    <t>3400 / 4300 litres :7 bars</t>
  </si>
  <si>
    <t>4500 / 5600 litres :7 bars</t>
  </si>
  <si>
    <t>5000 / 5600 litres: 7 bars</t>
  </si>
  <si>
    <t>7000 / 8500 litres: 7 bars</t>
  </si>
  <si>
    <t>ASSECHEUR D'AIR</t>
  </si>
  <si>
    <t>Sécheur air</t>
  </si>
  <si>
    <t>Sur devis</t>
  </si>
  <si>
    <t>CUVES A AIR</t>
  </si>
  <si>
    <t>Capacité   300 litres</t>
  </si>
  <si>
    <t>Capacité   500 litres</t>
  </si>
  <si>
    <t>Capacité 1000 litres</t>
  </si>
  <si>
    <t>CUVES A FUEL</t>
  </si>
  <si>
    <t>500 litres sur roues</t>
  </si>
  <si>
    <t>1000 litres</t>
  </si>
  <si>
    <t xml:space="preserve">Double paroi,avec pistolet </t>
  </si>
  <si>
    <t>2000 litres</t>
  </si>
  <si>
    <t>PORTE CUBI / FUT</t>
  </si>
  <si>
    <t>Porte cubi 1000 litres</t>
  </si>
  <si>
    <t>Porte fût</t>
  </si>
  <si>
    <t>LAVE BENNE A BETON</t>
  </si>
  <si>
    <t>Podium</t>
  </si>
  <si>
    <t>Bac de décantation avec podium pour lavage benne</t>
  </si>
  <si>
    <t>COFFRAGES DIVERS</t>
  </si>
  <si>
    <t>Table à prédalle chauffante ( 7 x 3 m )</t>
  </si>
  <si>
    <t>Moule bi-poutre (larg : 0.60 m, haut: 0.80 m) long 8.00 m</t>
  </si>
  <si>
    <t>Moule bi-poutre (larg : 0.60 m, haut: 0.80 m) long 4.00 m</t>
  </si>
  <si>
    <t>Coffrage circulaire  rayon &gt; 3.00 m</t>
  </si>
  <si>
    <t>LOCATION GRUES A TOUR</t>
  </si>
  <si>
    <t>175 / 178</t>
  </si>
  <si>
    <t xml:space="preserve">cis anémomètre sans répétiteur                                                1 drapeau                          2 panneaux </t>
  </si>
  <si>
    <t>1 drapeau</t>
  </si>
  <si>
    <t>2 panneaux</t>
  </si>
  <si>
    <t>MD 310</t>
  </si>
  <si>
    <t>MD 345</t>
  </si>
  <si>
    <t>MD 365</t>
  </si>
  <si>
    <t xml:space="preserve"> 386 B (GTMR)</t>
  </si>
  <si>
    <t>LOCATION ACCESSOIRES</t>
  </si>
  <si>
    <t>Enregistreur pour anémomètre</t>
  </si>
  <si>
    <t>Panneau auto-éclairé</t>
  </si>
  <si>
    <t>Zone interdite</t>
  </si>
  <si>
    <t>Voie de grue  ( au ml ), sur HEB</t>
  </si>
  <si>
    <t>Voie de grue  ( au ml ), sur caisson</t>
  </si>
  <si>
    <t>Butoir pour voie de grue</t>
  </si>
  <si>
    <t>Report anémomètre</t>
  </si>
  <si>
    <t>Radio commande</t>
  </si>
  <si>
    <t>Cage et accessoires de télescopage</t>
  </si>
  <si>
    <t>MONTAGES / DEMONTAGES</t>
  </si>
  <si>
    <t>Montage</t>
  </si>
  <si>
    <t>Démontage</t>
  </si>
  <si>
    <t>Grues à tour</t>
  </si>
  <si>
    <t>Balisage électrique grue</t>
  </si>
  <si>
    <t>Projecteur 2.000 W additionnel</t>
  </si>
  <si>
    <t>Interférences ( grue sans translation )</t>
  </si>
  <si>
    <t>PRESTATIONS</t>
  </si>
  <si>
    <t>Peinture pour balisage partie tournante de grue</t>
  </si>
  <si>
    <t>Peinture du fût pour balisage (par ml de hauteur)</t>
  </si>
  <si>
    <t>Réception par organisme à charge du chantier</t>
  </si>
  <si>
    <t>Assistance monteur pour réception</t>
  </si>
  <si>
    <t>ASCENSEUR à PERSONNEL</t>
  </si>
  <si>
    <t>BENNES A TERRE</t>
  </si>
  <si>
    <t xml:space="preserve">Autovide avec chaînes et crochet pélican     800-1000litres </t>
  </si>
  <si>
    <t xml:space="preserve">                                                                         1200-1500litres</t>
  </si>
  <si>
    <t>Benne mono-cable à déclic   500-600 / 700-1000 litres</t>
  </si>
  <si>
    <t>PALONNIER A PREDALLE</t>
  </si>
  <si>
    <t xml:space="preserve">  6 points : capacité maxi 3000 kg</t>
  </si>
  <si>
    <t>Hors contrôle</t>
  </si>
  <si>
    <t xml:space="preserve">  8 points : capacité maxi 3000 kg</t>
  </si>
  <si>
    <t>10 points : capacité maxi 3000 kg</t>
  </si>
  <si>
    <t>12 points : capacité maxi 3000 kg</t>
  </si>
  <si>
    <t>16 points : capacité maxi 4000 kg</t>
  </si>
  <si>
    <t>16 points : capacité maxi 7500 kg</t>
  </si>
  <si>
    <t>24 points : capacité maxi 6000 kg</t>
  </si>
  <si>
    <t>DIVERS LEVAGE</t>
  </si>
  <si>
    <t>Fourche à palette avec filet 1500 KG</t>
  </si>
  <si>
    <t>Fourche à palette avec filet 2000 KG</t>
  </si>
  <si>
    <t>Transpalette manuel (2 tonnes)</t>
  </si>
  <si>
    <t>CENTRALES à BETON</t>
  </si>
  <si>
    <t>A rayon raclant 1500 L / 30 m3 H</t>
  </si>
  <si>
    <t>A rayon raclant 1000 L / 25m3 H</t>
  </si>
  <si>
    <t>Plus value pour stockage vertical</t>
  </si>
  <si>
    <t>Silo 50 Tonnes</t>
  </si>
  <si>
    <t>Trémie de stockage agrégats 20 T</t>
  </si>
  <si>
    <t>Trémie de stockage agrégats 40 T</t>
  </si>
  <si>
    <t>GÉNÉRATEUR D'EAU CHAUDE</t>
  </si>
  <si>
    <t>Centrale eau chaude / vapeur 504.000 kcal/h</t>
  </si>
  <si>
    <t>Centrale eau chaude / vapeur 85.000 kcal/h</t>
  </si>
  <si>
    <t>TREMIES D'ATTENTE</t>
  </si>
  <si>
    <t>Trémie d'attente relevable 6 000 Litres</t>
  </si>
  <si>
    <t>Tapis convoyeur pour trémie de stockage</t>
  </si>
  <si>
    <t>BENNES à BETON</t>
  </si>
  <si>
    <t>Benne couchée à volant : 1000 litres</t>
  </si>
  <si>
    <t>Benne couchée à volant : 1250 litres</t>
  </si>
  <si>
    <t>Benne couchée à volant : 1500 litres</t>
  </si>
  <si>
    <t>Benne couchée à manchette : 1500 litres</t>
  </si>
  <si>
    <t>manchette de 3,00 ml</t>
  </si>
  <si>
    <t>Benne couchée à manchette : 2000 litres</t>
  </si>
  <si>
    <t>Benne droite à manchette : 1250 litres</t>
  </si>
  <si>
    <t>Benne droite à manchette : 2000 litres</t>
  </si>
  <si>
    <t>POMPES à BETON</t>
  </si>
  <si>
    <t>POUTRELLE BOIS H : 200mm</t>
  </si>
  <si>
    <t>Poutrelle bois H = 0.20 - L = 2,90 m</t>
  </si>
  <si>
    <t xml:space="preserve">Poutrelle bois H = 0.20 - L = 3,60 m </t>
  </si>
  <si>
    <t xml:space="preserve">Poutrelle bois H = 0.20 - L = 4,50 m </t>
  </si>
  <si>
    <t>POUTRELLE COMPOSITE</t>
  </si>
  <si>
    <t>Poutrelle composite H = 0.16 - L = 2,40 m</t>
  </si>
  <si>
    <t>Poutrelle composite H = 0.16 - L = 3,60 m</t>
  </si>
  <si>
    <t>Poutrelle composite H = 0.16 - L =4 ,80 m</t>
  </si>
  <si>
    <t>ACCESSOIRES POUTRELLES</t>
  </si>
  <si>
    <t>Clips ‘’ CLIC CLAC ‘’</t>
  </si>
  <si>
    <t>Crapaud de fixation</t>
  </si>
  <si>
    <t>Coulisseau de poutre ( poutrelle sur champ ou à plat), diam 25 / 40</t>
  </si>
  <si>
    <t>ESCABEAU ALU</t>
  </si>
  <si>
    <t>Escabeau alu 3 marches</t>
  </si>
  <si>
    <t>Escabeau alu 5 marches</t>
  </si>
  <si>
    <t>Escabeau alu 6 marches</t>
  </si>
  <si>
    <t>Escabeau alu 7 marches</t>
  </si>
  <si>
    <t>Escabeau alu 8 marches</t>
  </si>
  <si>
    <t>Escabeau alu 9 marches</t>
  </si>
  <si>
    <t>ESCABEAU SPÉCIAL BANCHES</t>
  </si>
  <si>
    <t>Escabeau spécial banche 5 marches</t>
  </si>
  <si>
    <t>Escabeau spécial banche 7 marches</t>
  </si>
  <si>
    <t>DIVERS ACCES</t>
  </si>
  <si>
    <t xml:space="preserve">Mini escabeau Long: 0.60, larg : 0.40, Ht : 0.47 </t>
  </si>
  <si>
    <t>Appareil à cercler</t>
  </si>
  <si>
    <t>Chape de maintien</t>
  </si>
  <si>
    <t>Dévidoir pour bobine standard</t>
  </si>
  <si>
    <t>Bobine ( lien plastique )</t>
  </si>
  <si>
    <t>ÉTAI STANDARD DIAM.57</t>
  </si>
  <si>
    <t>Étrésillon :………………….. 0.60 à 0.80 m</t>
  </si>
  <si>
    <t>Charge utile 1.5 t</t>
  </si>
  <si>
    <t>Étrésillon : …..……………... 0.80 à 1.20 m</t>
  </si>
  <si>
    <t>Étrésillon : …………………..1.00 à 1.60 m</t>
  </si>
  <si>
    <t>Étrésillon : …………………..1.20 à 2.00 m</t>
  </si>
  <si>
    <t>Charge utile 1.4 t</t>
  </si>
  <si>
    <t>ÉTAI STANDARD DIAM. 76</t>
  </si>
  <si>
    <t>Etai : ………………………  2.40 à 4.10 m</t>
  </si>
  <si>
    <t>Etai : ………………………  3.10 à 5.50 m</t>
  </si>
  <si>
    <t>ÉTAI FORTE CHARGE SL</t>
  </si>
  <si>
    <t xml:space="preserve">SL22 </t>
  </si>
  <si>
    <t>SL40</t>
  </si>
  <si>
    <t>ÉTAI TIRANT POUSSANT DIAM.57</t>
  </si>
  <si>
    <t>Etai Tirant Poussant ……… 1.00 à 1.60 m</t>
  </si>
  <si>
    <t>Charge utile 1.0 t</t>
  </si>
  <si>
    <t>Etai Tirant Poussant ……… 1.50 à 2.60 m</t>
  </si>
  <si>
    <t>Etai Tirant Poussant ……… 1.70 à 2.90 m</t>
  </si>
  <si>
    <t>Etai Tirant Poussant ……… 2.00 à 3.40 m</t>
  </si>
  <si>
    <t>ÉTAI TIRANT POUSSANT DIAM.76</t>
  </si>
  <si>
    <t>Charge utile 2.0 t</t>
  </si>
  <si>
    <t>Etai Tirant Poussant ……… 6.20 à 8.10 m</t>
  </si>
  <si>
    <t>ACCESSOIRES ÉTAIS</t>
  </si>
  <si>
    <t>Sabot articulé pour étai diam. 76</t>
  </si>
  <si>
    <t>Sabot articulé pour étai super B</t>
  </si>
  <si>
    <t>Trépied fixe à clavette  étai diam. 57 , diam 76</t>
  </si>
  <si>
    <t xml:space="preserve">Trépied repliable auto bloquant étai diam. 101, super B </t>
  </si>
  <si>
    <t>GARDE CORPS</t>
  </si>
  <si>
    <t>Garde corps réservation diamètre 25 à planche</t>
  </si>
  <si>
    <t>Garde corps réservation diamètre 40 à planche</t>
  </si>
  <si>
    <t>Garde corps réservation diamètre 40 à tube</t>
  </si>
  <si>
    <t>Garde corps 2 positions montant à planche</t>
  </si>
  <si>
    <t>Garde corps 2 positions montant à tube</t>
  </si>
  <si>
    <t>Garde corps d’angle réservation diamètre 25 à tube</t>
  </si>
  <si>
    <t>Garde corps universel à planche</t>
  </si>
  <si>
    <t xml:space="preserve">Garde corps universel à tube </t>
  </si>
  <si>
    <t>Mini garde corps à tube diam. 40</t>
  </si>
  <si>
    <t xml:space="preserve">Garde corps trépieds à planche pour prédalle </t>
  </si>
  <si>
    <t>Barrière extensible sans plinthe 0.70 à 1.30 m</t>
  </si>
  <si>
    <t>Barrière extensible sans plinthe 1.10 à 1.80 m</t>
  </si>
  <si>
    <t>Barrière extensible sans plinthe 1.70 à 2.50 m</t>
  </si>
  <si>
    <t>Lisse de baie extensible à tétons 0.70 à 1.30m</t>
  </si>
  <si>
    <t>Lisse de baie extensible à tétons 1.70 à 2.50m</t>
  </si>
  <si>
    <t>TOUR ESCALIER SIMPLE PASSAGE</t>
  </si>
  <si>
    <t>Tour escalier hauteur   3.00 m, larg : 0.58 m</t>
  </si>
  <si>
    <t>Tour escalier hauteur   4.50 m, larg : 0.58 m</t>
  </si>
  <si>
    <t>Tour escalier hauteur   6.00 m, larg : 0.58 m</t>
  </si>
  <si>
    <t>Tour escalier hauteur   7.50 m, larg : 0.58 m</t>
  </si>
  <si>
    <t>Tour escalier hauteur 10.50 m, larg : 0.58 m</t>
  </si>
  <si>
    <t>Tour escalier hauteur 13.50 m, larg : 0.58 m</t>
  </si>
  <si>
    <t>Tour escalier hauteur 18.00 m, larg : 0.58 m</t>
  </si>
  <si>
    <t>Escalier double passage</t>
  </si>
  <si>
    <t>ÉCHAFAUDAGE  ALU</t>
  </si>
  <si>
    <t>Echafaudage  ht plancher 1.50 m ( ht  travail + 2.00 m )</t>
  </si>
  <si>
    <t>Echafaudage  ht plancher 2.40 m ( ht  travail + 2.00 m )</t>
  </si>
  <si>
    <t>Echafaudage  ht plancher 3.30 m ( ht  travail + 2.00 m )</t>
  </si>
  <si>
    <t>Echafaudage  ht plancher 4.20 m ( ht  travail + 2.00 m )</t>
  </si>
  <si>
    <t>Echafaudage  ht plancher 5.10 m ( ht  travail + 2.00 m )</t>
  </si>
  <si>
    <t>Echafaudage  ht plancher 6.00 m ( ht  travail + 2.00 m )</t>
  </si>
  <si>
    <t>m2/mois</t>
  </si>
  <si>
    <t xml:space="preserve">BANCHES T10-2000 :HUSSOR </t>
  </si>
  <si>
    <t>HUSSOR</t>
  </si>
  <si>
    <t xml:space="preserve">Banche ………………   2.40 x 2.80 m </t>
  </si>
  <si>
    <t>*</t>
  </si>
  <si>
    <t>avec tiges et barrettes</t>
  </si>
  <si>
    <t>Banche ………………   1.20 x 2.80 m</t>
  </si>
  <si>
    <t>Banche ………………   0.90 x 2.80 m</t>
  </si>
  <si>
    <t>Banche………………..  0.60 x 2.80 m</t>
  </si>
  <si>
    <t>Banche………………..  0.40 x 2.80 m</t>
  </si>
  <si>
    <t>Remblais autour de la fosse</t>
  </si>
  <si>
    <t>Terrassement à -4.00/-5.00</t>
  </si>
  <si>
    <t>Terrassement et plateforme</t>
  </si>
</sst>
</file>

<file path=xl/styles.xml><?xml version="1.0" encoding="utf-8"?>
<styleSheet xmlns="http://schemas.openxmlformats.org/spreadsheetml/2006/main">
  <numFmts count="12">
    <numFmt numFmtId="164" formatCode="mmm"/>
    <numFmt numFmtId="165" formatCode="0.0"/>
    <numFmt numFmtId="166" formatCode="d/m;@"/>
    <numFmt numFmtId="167" formatCode="h:mm;@"/>
    <numFmt numFmtId="168" formatCode="dd/mm/yy;@"/>
    <numFmt numFmtId="169" formatCode="mmmm"/>
    <numFmt numFmtId="170" formatCode="_-* #,##0.00[$€]_-;\-* #,##0.00[$€]_-;_-* &quot;-&quot;??[$€]_-;_-@_-"/>
    <numFmt numFmtId="171" formatCode="0_)"/>
    <numFmt numFmtId="172" formatCode="General_)"/>
    <numFmt numFmtId="173" formatCode="#,##0\ ;[Red]\-#,##0\ "/>
    <numFmt numFmtId="174" formatCode="&quot;&quot;;&quot;&quot;;&quot;&quot;;"/>
    <numFmt numFmtId="175" formatCode="[$-40C]mmmmm;@"/>
  </numFmts>
  <fonts count="110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8"/>
      <name val="Arial"/>
      <family val="2"/>
    </font>
    <font>
      <i/>
      <sz val="8"/>
      <name val="Arial"/>
      <family val="2"/>
    </font>
    <font>
      <i/>
      <sz val="8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sz val="6"/>
      <color indexed="8"/>
      <name val="Arial"/>
      <family val="2"/>
    </font>
    <font>
      <b/>
      <sz val="9"/>
      <color indexed="8"/>
      <name val="Times New Roman"/>
      <family val="1"/>
    </font>
    <font>
      <b/>
      <sz val="9"/>
      <color indexed="20"/>
      <name val="Arial"/>
      <family val="2"/>
    </font>
    <font>
      <b/>
      <u/>
      <sz val="9"/>
      <color indexed="12"/>
      <name val="Times New Roman"/>
      <family val="1"/>
    </font>
    <font>
      <sz val="9"/>
      <color indexed="8"/>
      <name val="Times New Roman"/>
      <family val="1"/>
    </font>
    <font>
      <sz val="9"/>
      <color indexed="8"/>
      <name val="Arial"/>
      <family val="2"/>
    </font>
    <font>
      <b/>
      <sz val="9"/>
      <color indexed="12"/>
      <name val="Times New Roman"/>
      <family val="1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b/>
      <sz val="9"/>
      <color indexed="18"/>
      <name val="Arial"/>
      <family val="2"/>
    </font>
    <font>
      <b/>
      <sz val="8"/>
      <color indexed="18"/>
      <name val="Arial"/>
      <family val="2"/>
    </font>
    <font>
      <b/>
      <sz val="9"/>
      <color indexed="8"/>
      <name val="Arial"/>
      <family val="2"/>
    </font>
    <font>
      <sz val="9"/>
      <color indexed="20"/>
      <name val="Arial"/>
      <family val="2"/>
    </font>
    <font>
      <sz val="9"/>
      <name val="Times New Roman"/>
      <family val="1"/>
    </font>
    <font>
      <sz val="8"/>
      <name val="Times New Roman"/>
      <family val="1"/>
    </font>
    <font>
      <b/>
      <sz val="9"/>
      <color indexed="10"/>
      <name val="Times New Roman"/>
      <family val="1"/>
    </font>
    <font>
      <sz val="8"/>
      <color indexed="8"/>
      <name val="Times New Roman"/>
      <family val="1"/>
    </font>
    <font>
      <b/>
      <sz val="8"/>
      <color indexed="20"/>
      <name val="Arial"/>
      <family val="2"/>
    </font>
    <font>
      <b/>
      <sz val="9"/>
      <color indexed="20"/>
      <name val="Times New Roman"/>
      <family val="1"/>
    </font>
    <font>
      <b/>
      <sz val="9"/>
      <color indexed="18"/>
      <name val="Arial"/>
      <family val="2"/>
    </font>
    <font>
      <b/>
      <sz val="9"/>
      <color indexed="10"/>
      <name val="Arial"/>
      <family val="2"/>
    </font>
    <font>
      <b/>
      <sz val="8"/>
      <color indexed="18"/>
      <name val="Arial"/>
      <family val="2"/>
    </font>
    <font>
      <sz val="9"/>
      <color indexed="10"/>
      <name val="Times New Roman"/>
      <family val="1"/>
    </font>
    <font>
      <sz val="10"/>
      <color indexed="10"/>
      <name val="Arial"/>
      <family val="2"/>
    </font>
    <font>
      <b/>
      <sz val="8"/>
      <color indexed="12"/>
      <name val="Times New Roman"/>
      <family val="1"/>
    </font>
    <font>
      <b/>
      <sz val="8"/>
      <color indexed="12"/>
      <name val="Arial"/>
      <family val="2"/>
    </font>
    <font>
      <sz val="8"/>
      <color indexed="18"/>
      <name val="Arial"/>
      <family val="2"/>
    </font>
    <font>
      <sz val="10"/>
      <color indexed="18"/>
      <name val="Arial"/>
      <family val="2"/>
    </font>
    <font>
      <sz val="9"/>
      <color indexed="18"/>
      <name val="Times New Roman"/>
      <family val="1"/>
    </font>
    <font>
      <sz val="10"/>
      <color indexed="18"/>
      <name val="Arial"/>
      <family val="2"/>
    </font>
    <font>
      <b/>
      <sz val="9"/>
      <color indexed="62"/>
      <name val="Arial"/>
      <family val="2"/>
    </font>
    <font>
      <b/>
      <sz val="16"/>
      <color indexed="10"/>
      <name val="Times New Roman"/>
      <family val="1"/>
    </font>
    <font>
      <b/>
      <sz val="10"/>
      <color indexed="12"/>
      <name val="Arial"/>
      <family val="2"/>
    </font>
    <font>
      <b/>
      <sz val="12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6"/>
      <color indexed="10"/>
      <name val="Arial"/>
      <family val="2"/>
    </font>
    <font>
      <sz val="8"/>
      <color indexed="18"/>
      <name val="Arial"/>
      <family val="2"/>
    </font>
    <font>
      <sz val="8"/>
      <color indexed="18"/>
      <name val="Times New Roman"/>
      <family val="1"/>
    </font>
    <font>
      <b/>
      <u/>
      <sz val="9"/>
      <color indexed="8"/>
      <name val="Times New Roman"/>
      <family val="1"/>
    </font>
    <font>
      <b/>
      <sz val="9"/>
      <color indexed="1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12"/>
      <name val="Times New Roman"/>
      <family val="1"/>
    </font>
    <font>
      <sz val="10"/>
      <name val="Helv"/>
    </font>
    <font>
      <sz val="8"/>
      <color indexed="8"/>
      <name val="Comic Sans MS"/>
      <family val="2"/>
    </font>
    <font>
      <sz val="8"/>
      <color indexed="9"/>
      <name val="Comic Sans MS"/>
      <family val="2"/>
    </font>
    <font>
      <sz val="8"/>
      <color indexed="8"/>
      <name val="Arial"/>
      <family val="2"/>
    </font>
    <font>
      <sz val="10"/>
      <name val="Times New Roman"/>
      <family val="1"/>
    </font>
    <font>
      <b/>
      <sz val="9"/>
      <color indexed="8"/>
      <name val="Arial"/>
      <family val="2"/>
    </font>
    <font>
      <sz val="10"/>
      <color indexed="8"/>
      <name val="Arial"/>
      <family val="2"/>
    </font>
    <font>
      <b/>
      <sz val="8"/>
      <color indexed="8"/>
      <name val="Arial Narrow"/>
      <family val="2"/>
    </font>
    <font>
      <sz val="8"/>
      <color indexed="10"/>
      <name val="Comic Sans MS"/>
      <family val="2"/>
    </font>
    <font>
      <b/>
      <sz val="8"/>
      <color indexed="10"/>
      <name val="Comic Sans MS"/>
      <family val="2"/>
    </font>
    <font>
      <sz val="10"/>
      <color indexed="8"/>
      <name val="Arial Rounded MT Bold"/>
      <family val="2"/>
    </font>
    <font>
      <sz val="11"/>
      <color indexed="8"/>
      <name val="Arial"/>
      <family val="2"/>
    </font>
    <font>
      <sz val="10"/>
      <color indexed="8"/>
      <name val="Arial Narrow"/>
      <family val="2"/>
    </font>
    <font>
      <b/>
      <sz val="12"/>
      <name val="Times New Roman"/>
      <family val="1"/>
    </font>
    <font>
      <sz val="9"/>
      <color indexed="10"/>
      <name val="Arial Narrow"/>
      <family val="2"/>
    </font>
    <font>
      <b/>
      <sz val="10"/>
      <color indexed="8"/>
      <name val="Arial"/>
      <family val="2"/>
    </font>
    <font>
      <b/>
      <i/>
      <sz val="11"/>
      <color indexed="8"/>
      <name val="Arial"/>
      <family val="2"/>
    </font>
    <font>
      <b/>
      <u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name val="Arial"/>
      <family val="2"/>
    </font>
    <font>
      <sz val="8"/>
      <color indexed="8"/>
      <name val="Arial Narrow"/>
      <family val="2"/>
    </font>
    <font>
      <sz val="7"/>
      <color indexed="8"/>
      <name val="Arial"/>
      <family val="2"/>
    </font>
    <font>
      <sz val="8"/>
      <color indexed="62"/>
      <name val="Comic Sans MS"/>
      <family val="2"/>
    </font>
    <font>
      <sz val="9"/>
      <name val="Helv"/>
    </font>
    <font>
      <sz val="10"/>
      <name val="Geneva"/>
    </font>
    <font>
      <sz val="8"/>
      <color indexed="20"/>
      <name val="Comic Sans MS"/>
      <family val="2"/>
    </font>
    <font>
      <i/>
      <sz val="10"/>
      <name val="Helv"/>
    </font>
    <font>
      <sz val="7"/>
      <color indexed="8"/>
      <name val="Arial Narrow"/>
      <family val="2"/>
    </font>
    <font>
      <i/>
      <u/>
      <sz val="8"/>
      <color indexed="8"/>
      <name val="Arial"/>
      <family val="2"/>
    </font>
    <font>
      <sz val="12"/>
      <color indexed="8"/>
      <name val="Arial"/>
      <family val="2"/>
    </font>
    <font>
      <sz val="8"/>
      <name val="Helv"/>
    </font>
    <font>
      <b/>
      <i/>
      <sz val="8"/>
      <color indexed="14"/>
      <name val="Arial"/>
      <family val="2"/>
    </font>
    <font>
      <b/>
      <sz val="11"/>
      <color indexed="8"/>
      <name val="Arial"/>
      <family val="2"/>
    </font>
    <font>
      <sz val="8"/>
      <color indexed="19"/>
      <name val="Comic Sans MS"/>
      <family val="2"/>
    </font>
    <font>
      <b/>
      <sz val="8"/>
      <color indexed="10"/>
      <name val="Arial"/>
      <family val="2"/>
    </font>
    <font>
      <b/>
      <sz val="10"/>
      <name val="Geneva"/>
    </font>
    <font>
      <b/>
      <sz val="8"/>
      <color indexed="17"/>
      <name val="Arial"/>
      <family val="2"/>
    </font>
    <font>
      <sz val="8"/>
      <color indexed="17"/>
      <name val="Comic Sans MS"/>
      <family val="2"/>
    </font>
    <font>
      <b/>
      <sz val="8"/>
      <color indexed="63"/>
      <name val="Comic Sans MS"/>
      <family val="2"/>
    </font>
    <font>
      <b/>
      <u/>
      <sz val="10"/>
      <name val="Times New Roman"/>
      <family val="1"/>
    </font>
    <font>
      <sz val="12"/>
      <name val="Arial MT"/>
    </font>
    <font>
      <b/>
      <u/>
      <sz val="12"/>
      <name val="Arial MT"/>
    </font>
    <font>
      <i/>
      <sz val="8"/>
      <color indexed="23"/>
      <name val="Comic Sans MS"/>
      <family val="2"/>
    </font>
    <font>
      <b/>
      <sz val="18"/>
      <color indexed="62"/>
      <name val="Cambria"/>
      <family val="2"/>
    </font>
    <font>
      <b/>
      <u/>
      <sz val="9"/>
      <name val="Helv"/>
    </font>
    <font>
      <b/>
      <sz val="15"/>
      <color indexed="62"/>
      <name val="Comic Sans MS"/>
      <family val="2"/>
    </font>
    <font>
      <b/>
      <sz val="13"/>
      <color indexed="62"/>
      <name val="Comic Sans MS"/>
      <family val="2"/>
    </font>
    <font>
      <b/>
      <sz val="11"/>
      <color indexed="62"/>
      <name val="Comic Sans MS"/>
      <family val="2"/>
    </font>
    <font>
      <b/>
      <sz val="11"/>
      <name val="Arial"/>
      <family val="2"/>
    </font>
    <font>
      <b/>
      <sz val="8"/>
      <color indexed="9"/>
      <name val="Comic Sans MS"/>
      <family val="2"/>
    </font>
    <font>
      <b/>
      <sz val="9"/>
      <name val="Arial"/>
      <family val="2"/>
    </font>
    <font>
      <b/>
      <sz val="22"/>
      <name val="Arial"/>
      <family val="2"/>
    </font>
    <font>
      <b/>
      <sz val="2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2"/>
        <bgColor indexed="11"/>
      </patternFill>
    </fill>
    <fill>
      <patternFill patternType="solid">
        <fgColor indexed="22"/>
        <bgColor indexed="64"/>
      </patternFill>
    </fill>
    <fill>
      <patternFill patternType="gray0625"/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4"/>
        <bgColor indexed="64"/>
      </patternFill>
    </fill>
  </fills>
  <borders count="34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 style="thick">
        <color indexed="8"/>
      </right>
      <top style="thick">
        <color indexed="64"/>
      </top>
      <bottom/>
      <diagonal/>
    </border>
    <border>
      <left/>
      <right style="thick">
        <color indexed="8"/>
      </right>
      <top style="thick">
        <color indexed="64"/>
      </top>
      <bottom/>
      <diagonal/>
    </border>
    <border>
      <left style="thick">
        <color indexed="8"/>
      </left>
      <right style="thick">
        <color indexed="8"/>
      </right>
      <top/>
      <bottom style="thick">
        <color indexed="8"/>
      </bottom>
      <diagonal/>
    </border>
    <border>
      <left/>
      <right style="medium">
        <color indexed="8"/>
      </right>
      <top style="medium">
        <color indexed="8"/>
      </top>
      <bottom style="thick">
        <color indexed="8"/>
      </bottom>
      <diagonal/>
    </border>
    <border>
      <left/>
      <right/>
      <top style="medium">
        <color indexed="8"/>
      </top>
      <bottom style="thick">
        <color indexed="8"/>
      </bottom>
      <diagonal/>
    </border>
    <border>
      <left style="medium">
        <color indexed="8"/>
      </left>
      <right/>
      <top style="medium">
        <color indexed="8"/>
      </top>
      <bottom style="thick">
        <color indexed="8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 style="thick">
        <color indexed="8"/>
      </left>
      <right style="thick">
        <color indexed="8"/>
      </right>
      <top/>
      <bottom/>
      <diagonal/>
    </border>
    <border>
      <left style="thick">
        <color indexed="8"/>
      </left>
      <right/>
      <top/>
      <bottom/>
      <diagonal/>
    </border>
    <border>
      <left style="thick">
        <color indexed="8"/>
      </left>
      <right style="thick">
        <color indexed="8"/>
      </right>
      <top style="hair">
        <color indexed="8"/>
      </top>
      <bottom/>
      <diagonal/>
    </border>
    <border>
      <left style="thick">
        <color indexed="8"/>
      </left>
      <right style="thick">
        <color indexed="8"/>
      </right>
      <top/>
      <bottom style="hair">
        <color indexed="8"/>
      </bottom>
      <diagonal/>
    </border>
    <border>
      <left style="thick">
        <color indexed="8"/>
      </left>
      <right style="thick">
        <color indexed="8"/>
      </right>
      <top style="hair">
        <color indexed="8"/>
      </top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thick">
        <color indexed="8"/>
      </right>
      <top style="hair">
        <color indexed="8"/>
      </top>
      <bottom style="hair">
        <color indexed="8"/>
      </bottom>
      <diagonal/>
    </border>
    <border>
      <left style="thick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8"/>
      </left>
      <right style="thick">
        <color indexed="8"/>
      </right>
      <top/>
      <bottom/>
      <diagonal/>
    </border>
    <border>
      <left/>
      <right style="thick">
        <color indexed="8"/>
      </right>
      <top style="hair">
        <color indexed="8"/>
      </top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/>
      <diagonal/>
    </border>
    <border>
      <left/>
      <right/>
      <top style="hair">
        <color indexed="8"/>
      </top>
      <bottom/>
      <diagonal/>
    </border>
    <border>
      <left style="medium">
        <color indexed="8"/>
      </left>
      <right style="thick">
        <color indexed="8"/>
      </right>
      <top style="hair">
        <color indexed="8"/>
      </top>
      <bottom/>
      <diagonal/>
    </border>
    <border>
      <left style="thick">
        <color indexed="8"/>
      </left>
      <right/>
      <top style="hair">
        <color indexed="8"/>
      </top>
      <bottom/>
      <diagonal/>
    </border>
    <border>
      <left/>
      <right style="thick">
        <color indexed="8"/>
      </right>
      <top style="hair">
        <color indexed="8"/>
      </top>
      <bottom/>
      <diagonal/>
    </border>
    <border>
      <left/>
      <right style="medium">
        <color indexed="8"/>
      </right>
      <top/>
      <bottom style="hair">
        <color indexed="8"/>
      </bottom>
      <diagonal/>
    </border>
    <border>
      <left style="medium">
        <color indexed="8"/>
      </left>
      <right style="thick">
        <color indexed="8"/>
      </right>
      <top/>
      <bottom style="hair">
        <color indexed="8"/>
      </bottom>
      <diagonal/>
    </border>
    <border>
      <left style="thick">
        <color indexed="8"/>
      </left>
      <right/>
      <top/>
      <bottom style="hair">
        <color indexed="8"/>
      </bottom>
      <diagonal/>
    </border>
    <border>
      <left/>
      <right style="thick">
        <color indexed="8"/>
      </right>
      <top/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/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ck">
        <color indexed="8"/>
      </left>
      <right style="thick">
        <color indexed="8"/>
      </right>
      <top/>
      <bottom style="thick">
        <color indexed="64"/>
      </bottom>
      <diagonal/>
    </border>
    <border>
      <left/>
      <right style="thick">
        <color indexed="8"/>
      </right>
      <top/>
      <bottom style="thick">
        <color indexed="64"/>
      </bottom>
      <diagonal/>
    </border>
    <border>
      <left/>
      <right style="medium">
        <color indexed="8"/>
      </right>
      <top/>
      <bottom style="thick">
        <color indexed="64"/>
      </bottom>
      <diagonal/>
    </border>
    <border>
      <left style="medium">
        <color indexed="8"/>
      </left>
      <right style="thick">
        <color indexed="8"/>
      </right>
      <top/>
      <bottom style="thick">
        <color indexed="64"/>
      </bottom>
      <diagonal/>
    </border>
    <border>
      <left style="thick">
        <color indexed="8"/>
      </left>
      <right/>
      <top/>
      <bottom style="thick">
        <color indexed="64"/>
      </bottom>
      <diagonal/>
    </border>
    <border>
      <left/>
      <right style="thick">
        <color indexed="8"/>
      </right>
      <top/>
      <bottom/>
      <diagonal/>
    </border>
    <border>
      <left style="medium">
        <color indexed="8"/>
      </left>
      <right style="thick">
        <color indexed="8"/>
      </right>
      <top style="medium">
        <color indexed="8"/>
      </top>
      <bottom style="thick">
        <color indexed="8"/>
      </bottom>
      <diagonal/>
    </border>
    <border>
      <left style="medium">
        <color indexed="64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/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thick">
        <color indexed="8"/>
      </left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 style="medium">
        <color indexed="8"/>
      </right>
      <top/>
      <bottom/>
      <diagonal/>
    </border>
    <border>
      <left style="thick">
        <color indexed="8"/>
      </left>
      <right style="medium">
        <color indexed="8"/>
      </right>
      <top style="hair">
        <color indexed="8"/>
      </top>
      <bottom/>
      <diagonal/>
    </border>
    <border>
      <left style="thick">
        <color indexed="8"/>
      </left>
      <right style="medium">
        <color indexed="8"/>
      </right>
      <top/>
      <bottom style="hair">
        <color indexed="8"/>
      </bottom>
      <diagonal/>
    </border>
    <border>
      <left style="thick">
        <color indexed="8"/>
      </left>
      <right style="thick">
        <color indexed="8"/>
      </right>
      <top style="hair">
        <color indexed="8"/>
      </top>
      <bottom style="thick">
        <color indexed="64"/>
      </bottom>
      <diagonal/>
    </border>
    <border>
      <left/>
      <right style="thick">
        <color indexed="8"/>
      </right>
      <top style="hair">
        <color indexed="8"/>
      </top>
      <bottom style="thick">
        <color indexed="64"/>
      </bottom>
      <diagonal/>
    </border>
    <border>
      <left/>
      <right style="medium">
        <color indexed="8"/>
      </right>
      <top style="hair">
        <color indexed="8"/>
      </top>
      <bottom style="thick">
        <color indexed="64"/>
      </bottom>
      <diagonal/>
    </border>
    <border>
      <left/>
      <right/>
      <top style="hair">
        <color indexed="8"/>
      </top>
      <bottom style="thick">
        <color indexed="64"/>
      </bottom>
      <diagonal/>
    </border>
    <border>
      <left style="medium">
        <color indexed="8"/>
      </left>
      <right style="thick">
        <color indexed="8"/>
      </right>
      <top style="hair">
        <color indexed="8"/>
      </top>
      <bottom style="thick">
        <color indexed="64"/>
      </bottom>
      <diagonal/>
    </border>
    <border>
      <left style="thick">
        <color indexed="8"/>
      </left>
      <right/>
      <top style="hair">
        <color indexed="8"/>
      </top>
      <bottom style="thick">
        <color indexed="64"/>
      </bottom>
      <diagonal/>
    </border>
    <border>
      <left style="thick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ck">
        <color indexed="8"/>
      </left>
      <right style="medium">
        <color indexed="8"/>
      </right>
      <top style="thick">
        <color indexed="8"/>
      </top>
      <bottom/>
      <diagonal/>
    </border>
    <border>
      <left style="thick">
        <color indexed="8"/>
      </left>
      <right style="thick">
        <color indexed="8"/>
      </right>
      <top style="hair">
        <color indexed="8"/>
      </top>
      <bottom style="thick">
        <color indexed="8"/>
      </bottom>
      <diagonal/>
    </border>
    <border>
      <left/>
      <right style="thick">
        <color indexed="8"/>
      </right>
      <top style="hair">
        <color indexed="8"/>
      </top>
      <bottom style="thick">
        <color indexed="8"/>
      </bottom>
      <diagonal/>
    </border>
    <border>
      <left/>
      <right style="medium">
        <color indexed="8"/>
      </right>
      <top style="hair">
        <color indexed="8"/>
      </top>
      <bottom style="thick">
        <color indexed="8"/>
      </bottom>
      <diagonal/>
    </border>
    <border>
      <left/>
      <right/>
      <top style="hair">
        <color indexed="8"/>
      </top>
      <bottom style="thick">
        <color indexed="8"/>
      </bottom>
      <diagonal/>
    </border>
    <border>
      <left style="medium">
        <color indexed="8"/>
      </left>
      <right style="thick">
        <color indexed="8"/>
      </right>
      <top style="hair">
        <color indexed="8"/>
      </top>
      <bottom style="thick">
        <color indexed="8"/>
      </bottom>
      <diagonal/>
    </border>
    <border>
      <left style="thick">
        <color indexed="8"/>
      </left>
      <right/>
      <top style="hair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thick">
        <color indexed="64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 style="thick">
        <color indexed="8"/>
      </top>
      <bottom/>
      <diagonal/>
    </border>
    <border>
      <left style="medium">
        <color indexed="8"/>
      </left>
      <right style="thick">
        <color indexed="8"/>
      </right>
      <top style="thick">
        <color indexed="8"/>
      </top>
      <bottom/>
      <diagonal/>
    </border>
    <border>
      <left style="medium">
        <color indexed="8"/>
      </left>
      <right/>
      <top/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/>
      <diagonal/>
    </border>
    <border>
      <left style="thick">
        <color indexed="8"/>
      </left>
      <right/>
      <top/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 style="medium">
        <color indexed="8"/>
      </left>
      <right/>
      <top/>
      <bottom style="thick">
        <color indexed="8"/>
      </bottom>
      <diagonal/>
    </border>
    <border>
      <left style="medium">
        <color indexed="8"/>
      </left>
      <right style="thick">
        <color indexed="8"/>
      </right>
      <top/>
      <bottom style="thick">
        <color indexed="8"/>
      </bottom>
      <diagonal/>
    </border>
    <border>
      <left style="medium">
        <color indexed="8"/>
      </left>
      <right/>
      <top style="hair">
        <color indexed="8"/>
      </top>
      <bottom style="thick">
        <color indexed="8"/>
      </bottom>
      <diagonal/>
    </border>
    <border>
      <left/>
      <right/>
      <top/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9"/>
      </bottom>
      <diagonal/>
    </border>
    <border>
      <left style="hair">
        <color indexed="64"/>
      </left>
      <right/>
      <top style="thin">
        <color indexed="64"/>
      </top>
      <bottom style="hair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9"/>
      </bottom>
      <diagonal/>
    </border>
    <border>
      <left/>
      <right/>
      <top style="thin">
        <color indexed="64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 style="hair">
        <color indexed="9"/>
      </bottom>
      <diagonal/>
    </border>
    <border>
      <left style="hair">
        <color indexed="64"/>
      </left>
      <right/>
      <top/>
      <bottom style="hair">
        <color indexed="9"/>
      </bottom>
      <diagonal/>
    </border>
    <border>
      <left style="thin">
        <color indexed="64"/>
      </left>
      <right/>
      <top style="hair">
        <color indexed="9"/>
      </top>
      <bottom style="hair">
        <color indexed="9"/>
      </bottom>
      <diagonal/>
    </border>
    <border>
      <left/>
      <right/>
      <top style="hair">
        <color indexed="9"/>
      </top>
      <bottom style="hair">
        <color indexed="9"/>
      </bottom>
      <diagonal/>
    </border>
    <border>
      <left style="hair">
        <color indexed="64"/>
      </left>
      <right/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hair">
        <color indexed="9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hair">
        <color indexed="9"/>
      </bottom>
      <diagonal/>
    </border>
    <border>
      <left style="hair">
        <color indexed="64"/>
      </left>
      <right style="thin">
        <color indexed="64"/>
      </right>
      <top style="hair">
        <color indexed="9"/>
      </top>
      <bottom style="hair">
        <color indexed="9"/>
      </bottom>
      <diagonal/>
    </border>
    <border>
      <left style="hair">
        <color indexed="64"/>
      </left>
      <right/>
      <top style="thick">
        <color indexed="17"/>
      </top>
      <bottom style="hair">
        <color indexed="9"/>
      </bottom>
      <diagonal/>
    </border>
    <border>
      <left style="hair">
        <color indexed="64"/>
      </left>
      <right/>
      <top style="thick">
        <color indexed="32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hair">
        <color indexed="9"/>
      </bottom>
      <diagonal/>
    </border>
    <border>
      <left style="dashed">
        <color indexed="64"/>
      </left>
      <right/>
      <top style="thin">
        <color indexed="64"/>
      </top>
      <bottom style="hair">
        <color indexed="9"/>
      </bottom>
      <diagonal/>
    </border>
    <border>
      <left style="dashed">
        <color indexed="64"/>
      </left>
      <right/>
      <top style="hair">
        <color indexed="9"/>
      </top>
      <bottom style="hair">
        <color indexed="9"/>
      </bottom>
      <diagonal/>
    </border>
    <border>
      <left style="hair">
        <color indexed="64"/>
      </left>
      <right/>
      <top style="thick">
        <color indexed="53"/>
      </top>
      <bottom style="hair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9"/>
      </bottom>
      <diagonal/>
    </border>
    <border>
      <left style="thin">
        <color indexed="64"/>
      </left>
      <right style="thin">
        <color indexed="64"/>
      </right>
      <top style="hair">
        <color indexed="9"/>
      </top>
      <bottom style="hair">
        <color indexed="9"/>
      </bottom>
      <diagonal/>
    </border>
    <border>
      <left style="hair">
        <color indexed="64"/>
      </left>
      <right/>
      <top style="thick">
        <color indexed="43"/>
      </top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hair">
        <color indexed="9"/>
      </bottom>
      <diagonal/>
    </border>
    <border>
      <left style="hair">
        <color indexed="64"/>
      </left>
      <right/>
      <top style="thick">
        <color indexed="29"/>
      </top>
      <bottom style="hair">
        <color indexed="9"/>
      </bottom>
      <diagonal/>
    </border>
    <border>
      <left style="hair">
        <color indexed="64"/>
      </left>
      <right style="thin">
        <color indexed="64"/>
      </right>
      <top style="thick">
        <color indexed="53"/>
      </top>
      <bottom style="hair">
        <color indexed="9"/>
      </bottom>
      <diagonal/>
    </border>
    <border>
      <left style="hair">
        <color indexed="64"/>
      </left>
      <right style="thin">
        <color indexed="64"/>
      </right>
      <top style="hair">
        <color indexed="9"/>
      </top>
      <bottom style="thick">
        <color indexed="32"/>
      </bottom>
      <diagonal/>
    </border>
    <border>
      <left style="thin">
        <color indexed="64"/>
      </left>
      <right/>
      <top style="thick">
        <color indexed="17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49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25"/>
      </bottom>
      <diagonal/>
    </border>
    <border>
      <left style="hair">
        <color indexed="64"/>
      </left>
      <right style="dashed">
        <color indexed="64"/>
      </right>
      <top style="thick">
        <color indexed="25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17"/>
      </bottom>
      <diagonal/>
    </border>
    <border>
      <left style="hair">
        <color indexed="64"/>
      </left>
      <right style="dashed">
        <color indexed="64"/>
      </right>
      <top style="thick">
        <color indexed="17"/>
      </top>
      <bottom style="hair">
        <color indexed="9"/>
      </bottom>
      <diagonal/>
    </border>
    <border>
      <left style="thin">
        <color indexed="64"/>
      </left>
      <right/>
      <top style="hair">
        <color indexed="9"/>
      </top>
      <bottom style="thick">
        <color indexed="53"/>
      </bottom>
      <diagonal/>
    </border>
    <border>
      <left style="thin">
        <color indexed="64"/>
      </left>
      <right/>
      <top style="hair">
        <color indexed="9"/>
      </top>
      <bottom style="thick">
        <color indexed="17"/>
      </bottom>
      <diagonal/>
    </border>
    <border>
      <left style="hair">
        <color indexed="64"/>
      </left>
      <right/>
      <top style="hair">
        <color indexed="9"/>
      </top>
      <bottom style="thick">
        <color indexed="53"/>
      </bottom>
      <diagonal/>
    </border>
    <border>
      <left style="hair">
        <color indexed="64"/>
      </left>
      <right/>
      <top style="hair">
        <color indexed="9"/>
      </top>
      <bottom style="thick">
        <color indexed="17"/>
      </bottom>
      <diagonal/>
    </border>
    <border>
      <left style="hair">
        <color indexed="64"/>
      </left>
      <right/>
      <top style="hair">
        <color indexed="9"/>
      </top>
      <bottom style="thick">
        <color indexed="49"/>
      </bottom>
      <diagonal/>
    </border>
    <border>
      <left style="hair">
        <color indexed="64"/>
      </left>
      <right/>
      <top style="hair">
        <color indexed="9"/>
      </top>
      <bottom style="thick">
        <color indexed="25"/>
      </bottom>
      <diagonal/>
    </border>
    <border>
      <left style="hair">
        <color indexed="64"/>
      </left>
      <right/>
      <top style="thick">
        <color indexed="25"/>
      </top>
      <bottom style="hair">
        <color indexed="9"/>
      </bottom>
      <diagonal/>
    </border>
    <border>
      <left style="dashed">
        <color indexed="64"/>
      </left>
      <right/>
      <top style="hair">
        <color indexed="9"/>
      </top>
      <bottom style="thick">
        <color indexed="25"/>
      </bottom>
      <diagonal/>
    </border>
    <border>
      <left style="dashed">
        <color indexed="64"/>
      </left>
      <right/>
      <top style="thick">
        <color indexed="25"/>
      </top>
      <bottom style="hair">
        <color indexed="9"/>
      </bottom>
      <diagonal/>
    </border>
    <border>
      <left style="dashed">
        <color indexed="64"/>
      </left>
      <right/>
      <top style="hair">
        <color indexed="9"/>
      </top>
      <bottom style="thick">
        <color indexed="53"/>
      </bottom>
      <diagonal/>
    </border>
    <border>
      <left style="dashed">
        <color indexed="64"/>
      </left>
      <right/>
      <top style="thick">
        <color indexed="53"/>
      </top>
      <bottom style="hair">
        <color indexed="9"/>
      </bottom>
      <diagonal/>
    </border>
    <border>
      <left style="dashed">
        <color indexed="64"/>
      </left>
      <right/>
      <top style="hair">
        <color indexed="9"/>
      </top>
      <bottom style="thick">
        <color indexed="17"/>
      </bottom>
      <diagonal/>
    </border>
    <border>
      <left style="dashed">
        <color indexed="64"/>
      </left>
      <right/>
      <top style="thick">
        <color indexed="17"/>
      </top>
      <bottom style="hair">
        <color indexed="9"/>
      </bottom>
      <diagonal/>
    </border>
    <border>
      <left style="dashed">
        <color indexed="64"/>
      </left>
      <right/>
      <top style="hair">
        <color indexed="9"/>
      </top>
      <bottom style="thick">
        <color indexed="49"/>
      </bottom>
      <diagonal/>
    </border>
    <border>
      <left style="hair">
        <color indexed="64"/>
      </left>
      <right/>
      <top style="hair">
        <color indexed="9"/>
      </top>
      <bottom style="thick">
        <color indexed="21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53"/>
      </bottom>
      <diagonal/>
    </border>
    <border>
      <left style="dashed">
        <color indexed="64"/>
      </left>
      <right/>
      <top/>
      <bottom style="thick">
        <color indexed="53"/>
      </bottom>
      <diagonal/>
    </border>
    <border>
      <left style="hair">
        <color indexed="64"/>
      </left>
      <right/>
      <top/>
      <bottom style="thick">
        <color indexed="49"/>
      </bottom>
      <diagonal/>
    </border>
    <border>
      <left style="hair">
        <color indexed="64"/>
      </left>
      <right style="dashed">
        <color indexed="64"/>
      </right>
      <top/>
      <bottom style="thick">
        <color indexed="49"/>
      </bottom>
      <diagonal/>
    </border>
    <border>
      <left style="dashed">
        <color indexed="64"/>
      </left>
      <right/>
      <top/>
      <bottom style="thick">
        <color indexed="49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47"/>
      </bottom>
      <diagonal/>
    </border>
    <border>
      <left style="hair">
        <color indexed="64"/>
      </left>
      <right style="dashed">
        <color indexed="64"/>
      </right>
      <top style="thick">
        <color indexed="49"/>
      </top>
      <bottom style="thick">
        <color indexed="47"/>
      </bottom>
      <diagonal/>
    </border>
    <border>
      <left style="hair">
        <color indexed="64"/>
      </left>
      <right/>
      <top/>
      <bottom style="thick">
        <color indexed="21"/>
      </bottom>
      <diagonal/>
    </border>
    <border>
      <left style="hair">
        <color indexed="64"/>
      </left>
      <right/>
      <top style="thick">
        <color indexed="21"/>
      </top>
      <bottom style="thick">
        <color indexed="53"/>
      </bottom>
      <diagonal/>
    </border>
    <border>
      <left style="hair">
        <color indexed="64"/>
      </left>
      <right/>
      <top/>
      <bottom style="thick">
        <color indexed="25"/>
      </bottom>
      <diagonal/>
    </border>
    <border>
      <left style="hair">
        <color indexed="64"/>
      </left>
      <right style="dashed">
        <color indexed="64"/>
      </right>
      <top/>
      <bottom style="thick">
        <color indexed="25"/>
      </bottom>
      <diagonal/>
    </border>
    <border>
      <left style="dashed">
        <color indexed="64"/>
      </left>
      <right/>
      <top/>
      <bottom style="thick">
        <color indexed="25"/>
      </bottom>
      <diagonal/>
    </border>
    <border>
      <left style="hair">
        <color indexed="64"/>
      </left>
      <right/>
      <top/>
      <bottom style="thick">
        <color indexed="53"/>
      </bottom>
      <diagonal/>
    </border>
    <border>
      <left style="hair">
        <color indexed="64"/>
      </left>
      <right/>
      <top style="hair">
        <color indexed="9"/>
      </top>
      <bottom style="thick">
        <color indexed="11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11"/>
      </bottom>
      <diagonal/>
    </border>
    <border>
      <left style="dashed">
        <color indexed="64"/>
      </left>
      <right/>
      <top style="hair">
        <color indexed="9"/>
      </top>
      <bottom style="thick">
        <color indexed="11"/>
      </bottom>
      <diagonal/>
    </border>
    <border>
      <left style="dashed">
        <color indexed="64"/>
      </left>
      <right/>
      <top/>
      <bottom style="thick">
        <color indexed="29"/>
      </bottom>
      <diagonal/>
    </border>
    <border>
      <left style="hair">
        <color indexed="64"/>
      </left>
      <right/>
      <top/>
      <bottom style="thick">
        <color indexed="29"/>
      </bottom>
      <diagonal/>
    </border>
    <border>
      <left style="hair">
        <color indexed="64"/>
      </left>
      <right style="dashed">
        <color indexed="64"/>
      </right>
      <top/>
      <bottom style="thick">
        <color indexed="29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51"/>
      </bottom>
      <diagonal/>
    </border>
    <border>
      <left style="hair">
        <color indexed="64"/>
      </left>
      <right style="dashed">
        <color indexed="64"/>
      </right>
      <top style="thick">
        <color indexed="25"/>
      </top>
      <bottom style="thick">
        <color indexed="51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50"/>
      </bottom>
      <diagonal/>
    </border>
    <border>
      <left style="hair">
        <color indexed="64"/>
      </left>
      <right style="dashed">
        <color indexed="64"/>
      </right>
      <top style="thick">
        <color indexed="49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thick">
        <color indexed="11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thick">
        <color indexed="29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thick">
        <color indexed="32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thick">
        <color indexed="53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thick">
        <color indexed="33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thick">
        <color indexed="50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 style="thick">
        <color indexed="51"/>
      </top>
      <bottom style="hair">
        <color indexed="9"/>
      </bottom>
      <diagonal/>
    </border>
    <border>
      <left style="thin">
        <color indexed="64"/>
      </left>
      <right/>
      <top style="thick">
        <color indexed="53"/>
      </top>
      <bottom style="hair">
        <color indexed="9"/>
      </bottom>
      <diagonal/>
    </border>
    <border>
      <left style="hair">
        <color indexed="64"/>
      </left>
      <right/>
      <top style="thick">
        <color indexed="49"/>
      </top>
      <bottom style="hair">
        <color indexed="9"/>
      </bottom>
      <diagonal/>
    </border>
    <border>
      <left style="dashed">
        <color indexed="64"/>
      </left>
      <right/>
      <top style="thick">
        <color indexed="49"/>
      </top>
      <bottom style="hair">
        <color indexed="9"/>
      </bottom>
      <diagonal/>
    </border>
    <border>
      <left style="dashed">
        <color indexed="64"/>
      </left>
      <right/>
      <top style="thick">
        <color indexed="29"/>
      </top>
      <bottom style="hair">
        <color indexed="9"/>
      </bottom>
      <diagonal/>
    </border>
    <border>
      <left style="dashed">
        <color indexed="64"/>
      </left>
      <right/>
      <top style="thick">
        <color indexed="32"/>
      </top>
      <bottom style="hair">
        <color indexed="9"/>
      </bottom>
      <diagonal/>
    </border>
    <border>
      <left style="hair">
        <color indexed="64"/>
      </left>
      <right/>
      <top style="thick">
        <color indexed="11"/>
      </top>
      <bottom style="hair">
        <color indexed="9"/>
      </bottom>
      <diagonal/>
    </border>
    <border>
      <left style="dashed">
        <color indexed="64"/>
      </left>
      <right/>
      <top style="thick">
        <color indexed="11"/>
      </top>
      <bottom style="hair">
        <color indexed="9"/>
      </bottom>
      <diagonal/>
    </border>
    <border>
      <left style="dashed">
        <color indexed="64"/>
      </left>
      <right/>
      <top style="thick">
        <color indexed="50"/>
      </top>
      <bottom style="hair">
        <color indexed="9"/>
      </bottom>
      <diagonal/>
    </border>
    <border>
      <left style="hair">
        <color indexed="64"/>
      </left>
      <right/>
      <top style="thick">
        <color indexed="51"/>
      </top>
      <bottom style="hair">
        <color indexed="9"/>
      </bottom>
      <diagonal/>
    </border>
    <border>
      <left style="dashed">
        <color indexed="64"/>
      </left>
      <right/>
      <top style="thick">
        <color indexed="51"/>
      </top>
      <bottom style="hair">
        <color indexed="9"/>
      </bottom>
      <diagonal/>
    </border>
    <border>
      <left style="dashed">
        <color indexed="64"/>
      </left>
      <right/>
      <top style="hair">
        <color indexed="9"/>
      </top>
      <bottom style="thick">
        <color indexed="47"/>
      </bottom>
      <diagonal/>
    </border>
    <border>
      <left style="hair">
        <color indexed="64"/>
      </left>
      <right/>
      <top style="hair">
        <color indexed="9"/>
      </top>
      <bottom style="thick">
        <color indexed="47"/>
      </bottom>
      <diagonal/>
    </border>
    <border>
      <left style="hair">
        <color indexed="64"/>
      </left>
      <right/>
      <top style="thick">
        <color indexed="49"/>
      </top>
      <bottom style="thick">
        <color indexed="47"/>
      </bottom>
      <diagonal/>
    </border>
    <border>
      <left style="dashed">
        <color indexed="64"/>
      </left>
      <right/>
      <top style="thick">
        <color indexed="49"/>
      </top>
      <bottom style="thick">
        <color indexed="47"/>
      </bottom>
      <diagonal/>
    </border>
    <border>
      <left style="hair">
        <color indexed="64"/>
      </left>
      <right/>
      <top style="hair">
        <color indexed="9"/>
      </top>
      <bottom style="thick">
        <color indexed="29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29"/>
      </bottom>
      <diagonal/>
    </border>
    <border>
      <left style="dashed">
        <color indexed="64"/>
      </left>
      <right/>
      <top style="hair">
        <color indexed="9"/>
      </top>
      <bottom style="thick">
        <color indexed="29"/>
      </bottom>
      <diagonal/>
    </border>
    <border>
      <left style="hair">
        <color indexed="64"/>
      </left>
      <right/>
      <top style="hair">
        <color indexed="9"/>
      </top>
      <bottom style="thick">
        <color indexed="32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32"/>
      </bottom>
      <diagonal/>
    </border>
    <border>
      <left style="dashed">
        <color indexed="64"/>
      </left>
      <right/>
      <top style="hair">
        <color indexed="9"/>
      </top>
      <bottom style="thick">
        <color indexed="32"/>
      </bottom>
      <diagonal/>
    </border>
    <border>
      <left style="hair">
        <color indexed="64"/>
      </left>
      <right/>
      <top style="thick">
        <color indexed="49"/>
      </top>
      <bottom style="thick">
        <color indexed="32"/>
      </bottom>
      <diagonal/>
    </border>
    <border>
      <left style="hair">
        <color indexed="64"/>
      </left>
      <right style="dashed">
        <color indexed="64"/>
      </right>
      <top style="thick">
        <color indexed="49"/>
      </top>
      <bottom style="thick">
        <color indexed="32"/>
      </bottom>
      <diagonal/>
    </border>
    <border>
      <left style="dashed">
        <color indexed="64"/>
      </left>
      <right/>
      <top style="thick">
        <color indexed="49"/>
      </top>
      <bottom style="thick">
        <color indexed="32"/>
      </bottom>
      <diagonal/>
    </border>
    <border>
      <left style="dashed">
        <color indexed="64"/>
      </left>
      <right/>
      <top style="hair">
        <color indexed="9"/>
      </top>
      <bottom style="thick">
        <color indexed="33"/>
      </bottom>
      <diagonal/>
    </border>
    <border>
      <left style="hair">
        <color indexed="64"/>
      </left>
      <right/>
      <top style="hair">
        <color indexed="9"/>
      </top>
      <bottom style="thick">
        <color indexed="33"/>
      </bottom>
      <diagonal/>
    </border>
    <border>
      <left style="hair">
        <color indexed="64"/>
      </left>
      <right/>
      <top style="hair">
        <color indexed="9"/>
      </top>
      <bottom style="thick">
        <color indexed="43"/>
      </bottom>
      <diagonal/>
    </border>
    <border>
      <left style="dashed">
        <color indexed="64"/>
      </left>
      <right/>
      <top style="hair">
        <color indexed="9"/>
      </top>
      <bottom style="thick">
        <color indexed="50"/>
      </bottom>
      <diagonal/>
    </border>
    <border>
      <left style="hair">
        <color indexed="64"/>
      </left>
      <right/>
      <top style="hair">
        <color indexed="9"/>
      </top>
      <bottom style="thick">
        <color indexed="51"/>
      </bottom>
      <diagonal/>
    </border>
    <border>
      <left style="dashed">
        <color indexed="64"/>
      </left>
      <right/>
      <top style="hair">
        <color indexed="9"/>
      </top>
      <bottom style="thick">
        <color indexed="51"/>
      </bottom>
      <diagonal/>
    </border>
    <border>
      <left style="hair">
        <color indexed="64"/>
      </left>
      <right/>
      <top style="thick">
        <color indexed="25"/>
      </top>
      <bottom style="thick">
        <color indexed="51"/>
      </bottom>
      <diagonal/>
    </border>
    <border>
      <left style="dashed">
        <color indexed="64"/>
      </left>
      <right/>
      <top style="thick">
        <color indexed="25"/>
      </top>
      <bottom style="thick">
        <color indexed="51"/>
      </bottom>
      <diagonal/>
    </border>
    <border>
      <left style="hair">
        <color indexed="64"/>
      </left>
      <right style="dashed">
        <color indexed="64"/>
      </right>
      <top style="hair">
        <color indexed="9"/>
      </top>
      <bottom style="thick">
        <color indexed="33"/>
      </bottom>
      <diagonal/>
    </border>
    <border>
      <left style="thin">
        <color indexed="64"/>
      </left>
      <right/>
      <top style="thick">
        <color indexed="60"/>
      </top>
      <bottom style="hair">
        <color indexed="9"/>
      </bottom>
      <diagonal/>
    </border>
    <border>
      <left style="thin">
        <color indexed="64"/>
      </left>
      <right/>
      <top style="thick">
        <color indexed="51"/>
      </top>
      <bottom style="hair">
        <color indexed="9"/>
      </bottom>
      <diagonal/>
    </border>
    <border>
      <left style="hair">
        <color indexed="64"/>
      </left>
      <right/>
      <top style="thick">
        <color indexed="60"/>
      </top>
      <bottom style="hair">
        <color indexed="9"/>
      </bottom>
      <diagonal/>
    </border>
    <border>
      <left style="hair">
        <color indexed="64"/>
      </left>
      <right style="hair">
        <color indexed="64"/>
      </right>
      <top style="hair">
        <color indexed="9"/>
      </top>
      <bottom style="hair">
        <color indexed="9"/>
      </bottom>
      <diagonal/>
    </border>
    <border>
      <left style="hair">
        <color indexed="64"/>
      </left>
      <right style="thin">
        <color indexed="64"/>
      </right>
      <top style="hair">
        <color indexed="9"/>
      </top>
      <bottom style="thick">
        <color indexed="21"/>
      </bottom>
      <diagonal/>
    </border>
    <border>
      <left style="hair">
        <color indexed="64"/>
      </left>
      <right style="thin">
        <color indexed="64"/>
      </right>
      <top style="hair">
        <color indexed="9"/>
      </top>
      <bottom style="thick">
        <color indexed="49"/>
      </bottom>
      <diagonal/>
    </border>
    <border>
      <left style="hair">
        <color indexed="64"/>
      </left>
      <right style="thin">
        <color indexed="64"/>
      </right>
      <top style="thick">
        <color indexed="49"/>
      </top>
      <bottom style="thick">
        <color indexed="49"/>
      </bottom>
      <diagonal/>
    </border>
    <border>
      <left style="hair">
        <color indexed="64"/>
      </left>
      <right/>
      <top style="hair">
        <color indexed="9"/>
      </top>
      <bottom style="thick">
        <color indexed="60"/>
      </bottom>
      <diagonal/>
    </border>
    <border>
      <left style="hair">
        <color indexed="64"/>
      </left>
      <right style="thin">
        <color indexed="64"/>
      </right>
      <top style="hair">
        <color indexed="9"/>
      </top>
      <bottom style="thick">
        <color indexed="60"/>
      </bottom>
      <diagonal/>
    </border>
    <border>
      <left style="thin">
        <color indexed="64"/>
      </left>
      <right/>
      <top style="hair">
        <color indexed="9"/>
      </top>
      <bottom style="thick">
        <color indexed="60"/>
      </bottom>
      <diagonal/>
    </border>
    <border>
      <left style="hair">
        <color indexed="64"/>
      </left>
      <right style="thin">
        <color indexed="64"/>
      </right>
      <top style="thick">
        <color indexed="60"/>
      </top>
      <bottom style="hair">
        <color indexed="9"/>
      </bottom>
      <diagonal/>
    </border>
    <border>
      <left style="thin">
        <color indexed="64"/>
      </left>
      <right/>
      <top style="hair">
        <color indexed="9"/>
      </top>
      <bottom style="thick">
        <color indexed="51"/>
      </bottom>
      <diagonal/>
    </border>
    <border>
      <left style="hair">
        <color indexed="64"/>
      </left>
      <right style="thin">
        <color indexed="64"/>
      </right>
      <top style="hair">
        <color indexed="9"/>
      </top>
      <bottom style="thick">
        <color indexed="51"/>
      </bottom>
      <diagonal/>
    </border>
    <border>
      <left style="hair">
        <color indexed="64"/>
      </left>
      <right style="thin">
        <color indexed="64"/>
      </right>
      <top style="thick">
        <color indexed="51"/>
      </top>
      <bottom style="hair">
        <color indexed="9"/>
      </bottom>
      <diagonal/>
    </border>
    <border>
      <left style="thin">
        <color indexed="64"/>
      </left>
      <right/>
      <top/>
      <bottom style="hair">
        <color indexed="9"/>
      </bottom>
      <diagonal/>
    </border>
    <border>
      <left style="hair">
        <color indexed="64"/>
      </left>
      <right style="thin">
        <color indexed="64"/>
      </right>
      <top/>
      <bottom style="hair">
        <color indexed="9"/>
      </bottom>
      <diagonal/>
    </border>
    <border>
      <left style="hair">
        <color indexed="64"/>
      </left>
      <right style="thin">
        <color indexed="64"/>
      </right>
      <top style="thick">
        <color indexed="25"/>
      </top>
      <bottom style="hair">
        <color indexed="9"/>
      </bottom>
      <diagonal/>
    </border>
    <border>
      <left/>
      <right/>
      <top style="hair">
        <color indexed="9"/>
      </top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hair">
        <color indexed="9"/>
      </top>
      <bottom style="thick">
        <color indexed="25"/>
      </bottom>
      <diagonal/>
    </border>
    <border>
      <left style="hair">
        <color indexed="64"/>
      </left>
      <right style="hair">
        <color indexed="64"/>
      </right>
      <top style="hair">
        <color indexed="9"/>
      </top>
      <bottom style="thick">
        <color indexed="25"/>
      </bottom>
      <diagonal/>
    </border>
    <border>
      <left style="thin">
        <color indexed="64"/>
      </left>
      <right style="hair">
        <color indexed="64"/>
      </right>
      <top style="hair">
        <color indexed="9"/>
      </top>
      <bottom style="thick">
        <color indexed="25"/>
      </bottom>
      <diagonal/>
    </border>
    <border>
      <left style="hair">
        <color indexed="64"/>
      </left>
      <right style="thin">
        <color indexed="64"/>
      </right>
      <top/>
      <bottom style="thick">
        <color indexed="53"/>
      </bottom>
      <diagonal/>
    </border>
    <border>
      <left style="thin">
        <color indexed="64"/>
      </left>
      <right/>
      <top/>
      <bottom style="thick">
        <color indexed="53"/>
      </bottom>
      <diagonal/>
    </border>
    <border>
      <left style="hair">
        <color indexed="64"/>
      </left>
      <right style="thin">
        <color indexed="64"/>
      </right>
      <top style="hair">
        <color indexed="9"/>
      </top>
      <bottom style="thick">
        <color indexed="53"/>
      </bottom>
      <diagonal/>
    </border>
    <border>
      <left style="hair">
        <color indexed="64"/>
      </left>
      <right style="hair">
        <color indexed="64"/>
      </right>
      <top style="hair">
        <color indexed="9"/>
      </top>
      <bottom style="thick">
        <color indexed="53"/>
      </bottom>
      <diagonal/>
    </border>
    <border>
      <left style="hair">
        <color indexed="64"/>
      </left>
      <right style="hair">
        <color indexed="64"/>
      </right>
      <top style="thick">
        <color indexed="25"/>
      </top>
      <bottom style="hair">
        <color indexed="9"/>
      </bottom>
      <diagonal/>
    </border>
    <border>
      <left style="hair">
        <color indexed="64"/>
      </left>
      <right style="hair">
        <color indexed="64"/>
      </right>
      <top style="thick">
        <color indexed="25"/>
      </top>
      <bottom style="thick">
        <color indexed="53"/>
      </bottom>
      <diagonal/>
    </border>
    <border>
      <left style="hair">
        <color indexed="64"/>
      </left>
      <right style="thin">
        <color indexed="64"/>
      </right>
      <top style="thick">
        <color indexed="25"/>
      </top>
      <bottom style="thick">
        <color indexed="53"/>
      </bottom>
      <diagonal/>
    </border>
    <border>
      <left style="thin">
        <color indexed="64"/>
      </left>
      <right style="hair">
        <color indexed="64"/>
      </right>
      <top style="thick">
        <color indexed="25"/>
      </top>
      <bottom style="thick">
        <color indexed="53"/>
      </bottom>
      <diagonal/>
    </border>
    <border>
      <left style="thin">
        <color indexed="64"/>
      </left>
      <right style="hair">
        <color indexed="64"/>
      </right>
      <top style="thick">
        <color indexed="25"/>
      </top>
      <bottom style="hair">
        <color indexed="9"/>
      </bottom>
      <diagonal/>
    </border>
    <border>
      <left style="hair">
        <color indexed="64"/>
      </left>
      <right style="hair">
        <color indexed="64"/>
      </right>
      <top/>
      <bottom style="thick">
        <color indexed="53"/>
      </bottom>
      <diagonal/>
    </border>
    <border>
      <left style="hair">
        <color indexed="64"/>
      </left>
      <right style="hair">
        <color indexed="64"/>
      </right>
      <top style="hair">
        <color indexed="9"/>
      </top>
      <bottom style="thick">
        <color indexed="32"/>
      </bottom>
      <diagonal/>
    </border>
    <border>
      <left style="thin">
        <color indexed="64"/>
      </left>
      <right style="hair">
        <color indexed="64"/>
      </right>
      <top style="hair">
        <color indexed="9"/>
      </top>
      <bottom style="thick">
        <color indexed="32"/>
      </bottom>
      <diagonal/>
    </border>
    <border>
      <left style="hair">
        <color indexed="64"/>
      </left>
      <right style="thin">
        <color indexed="64"/>
      </right>
      <top style="hair">
        <color indexed="9"/>
      </top>
      <bottom style="thick">
        <color indexed="17"/>
      </bottom>
      <diagonal/>
    </border>
    <border>
      <left style="hair">
        <color indexed="64"/>
      </left>
      <right style="hair">
        <color indexed="64"/>
      </right>
      <top/>
      <bottom style="thick">
        <color indexed="25"/>
      </bottom>
      <diagonal/>
    </border>
    <border>
      <left style="thin">
        <color indexed="64"/>
      </left>
      <right style="hair">
        <color indexed="64"/>
      </right>
      <top/>
      <bottom style="hair">
        <color indexed="9"/>
      </bottom>
      <diagonal/>
    </border>
    <border>
      <left style="hair">
        <color indexed="64"/>
      </left>
      <right style="hair">
        <color indexed="64"/>
      </right>
      <top/>
      <bottom style="hair">
        <color indexed="9"/>
      </bottom>
      <diagonal/>
    </border>
    <border>
      <left style="thin">
        <color indexed="64"/>
      </left>
      <right style="thin">
        <color indexed="64"/>
      </right>
      <top style="hair">
        <color indexed="9"/>
      </top>
      <bottom style="thick">
        <color indexed="25"/>
      </bottom>
      <diagonal/>
    </border>
    <border>
      <left style="hair">
        <color indexed="64"/>
      </left>
      <right style="hair">
        <color indexed="64"/>
      </right>
      <top style="hair">
        <color indexed="9"/>
      </top>
      <bottom style="thick">
        <color indexed="17"/>
      </bottom>
      <diagonal/>
    </border>
    <border>
      <left style="hair">
        <color indexed="64"/>
      </left>
      <right style="hair">
        <color indexed="64"/>
      </right>
      <top style="hair">
        <color indexed="9"/>
      </top>
      <bottom style="thick">
        <color indexed="21"/>
      </bottom>
      <diagonal/>
    </border>
    <border>
      <left style="thin">
        <color indexed="64"/>
      </left>
      <right style="hair">
        <color indexed="64"/>
      </right>
      <top style="hair">
        <color indexed="9"/>
      </top>
      <bottom style="thick">
        <color indexed="21"/>
      </bottom>
      <diagonal/>
    </border>
    <border>
      <left style="thin">
        <color indexed="64"/>
      </left>
      <right/>
      <top style="hair">
        <color indexed="9"/>
      </top>
      <bottom style="thick">
        <color indexed="21"/>
      </bottom>
      <diagonal/>
    </border>
    <border>
      <left style="hair">
        <color indexed="64"/>
      </left>
      <right/>
      <top style="thick">
        <color indexed="21"/>
      </top>
      <bottom style="thick">
        <color indexed="21"/>
      </bottom>
      <diagonal/>
    </border>
    <border>
      <left style="hair">
        <color indexed="64"/>
      </left>
      <right style="thin">
        <color indexed="64"/>
      </right>
      <top style="thick">
        <color indexed="21"/>
      </top>
      <bottom style="thick">
        <color indexed="21"/>
      </bottom>
      <diagonal/>
    </border>
    <border>
      <left style="thin">
        <color indexed="64"/>
      </left>
      <right/>
      <top style="thick">
        <color indexed="21"/>
      </top>
      <bottom style="thick">
        <color indexed="21"/>
      </bottom>
      <diagonal/>
    </border>
    <border>
      <left style="hair">
        <color indexed="64"/>
      </left>
      <right style="hair">
        <color indexed="64"/>
      </right>
      <top style="thick">
        <color indexed="21"/>
      </top>
      <bottom style="thick">
        <color indexed="21"/>
      </bottom>
      <diagonal/>
    </border>
    <border>
      <left style="hair">
        <color indexed="64"/>
      </left>
      <right style="hair">
        <color indexed="64"/>
      </right>
      <top style="thick">
        <color indexed="21"/>
      </top>
      <bottom style="thick">
        <color indexed="49"/>
      </bottom>
      <diagonal/>
    </border>
    <border>
      <left style="hair">
        <color indexed="64"/>
      </left>
      <right style="thin">
        <color indexed="64"/>
      </right>
      <top style="thick">
        <color indexed="21"/>
      </top>
      <bottom style="thick">
        <color indexed="49"/>
      </bottom>
      <diagonal/>
    </border>
    <border>
      <left style="thin">
        <color indexed="64"/>
      </left>
      <right style="hair">
        <color indexed="64"/>
      </right>
      <top style="thick">
        <color indexed="21"/>
      </top>
      <bottom style="thick">
        <color indexed="49"/>
      </bottom>
      <diagonal/>
    </border>
    <border>
      <left style="thin">
        <color indexed="64"/>
      </left>
      <right style="hair">
        <color indexed="64"/>
      </right>
      <top style="hair">
        <color indexed="9"/>
      </top>
      <bottom style="thick">
        <color indexed="49"/>
      </bottom>
      <diagonal/>
    </border>
    <border>
      <left style="hair">
        <color indexed="64"/>
      </left>
      <right style="hair">
        <color indexed="64"/>
      </right>
      <top style="hair">
        <color indexed="9"/>
      </top>
      <bottom style="thick">
        <color indexed="49"/>
      </bottom>
      <diagonal/>
    </border>
    <border>
      <left style="thin">
        <color indexed="64"/>
      </left>
      <right style="hair">
        <color indexed="64"/>
      </right>
      <top style="thick">
        <color indexed="49"/>
      </top>
      <bottom style="thick">
        <color indexed="49"/>
      </bottom>
      <diagonal/>
    </border>
    <border>
      <left style="hair">
        <color indexed="64"/>
      </left>
      <right style="hair">
        <color indexed="64"/>
      </right>
      <top style="thick">
        <color indexed="49"/>
      </top>
      <bottom style="thick">
        <color indexed="49"/>
      </bottom>
      <diagonal/>
    </border>
    <border>
      <left style="hair">
        <color indexed="64"/>
      </left>
      <right style="hair">
        <color indexed="64"/>
      </right>
      <top/>
      <bottom style="thick">
        <color indexed="10"/>
      </bottom>
      <diagonal/>
    </border>
    <border>
      <left style="thin">
        <color indexed="64"/>
      </left>
      <right style="hair">
        <color indexed="64"/>
      </right>
      <top/>
      <bottom style="thick">
        <color indexed="53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/>
      <bottom/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/>
      <bottom/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hair">
        <color indexed="9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hair">
        <color indexed="9"/>
      </bottom>
      <diagonal/>
    </border>
    <border>
      <left/>
      <right style="thin">
        <color indexed="22"/>
      </right>
      <top style="hair">
        <color indexed="9"/>
      </top>
      <bottom style="hair">
        <color indexed="9"/>
      </bottom>
      <diagonal/>
    </border>
    <border>
      <left style="thin">
        <color indexed="22"/>
      </left>
      <right style="thin">
        <color indexed="64"/>
      </right>
      <top style="hair">
        <color indexed="9"/>
      </top>
      <bottom style="hair">
        <color indexed="9"/>
      </bottom>
      <diagonal/>
    </border>
    <border>
      <left style="hair">
        <color indexed="64"/>
      </left>
      <right style="dashed">
        <color indexed="64"/>
      </right>
      <top/>
      <bottom style="hair">
        <color indexed="9"/>
      </bottom>
      <diagonal/>
    </border>
    <border>
      <left style="dashed">
        <color indexed="64"/>
      </left>
      <right/>
      <top/>
      <bottom style="hair">
        <color indexed="9"/>
      </bottom>
      <diagonal/>
    </border>
    <border>
      <left style="dashed">
        <color indexed="64"/>
      </left>
      <right style="thin">
        <color indexed="64"/>
      </right>
      <top/>
      <bottom style="hair">
        <color indexed="9"/>
      </bottom>
      <diagonal/>
    </border>
    <border>
      <left style="thin">
        <color indexed="64"/>
      </left>
      <right style="dashed">
        <color indexed="64"/>
      </right>
      <top/>
      <bottom style="hair">
        <color indexed="9"/>
      </bottom>
      <diagonal/>
    </border>
    <border>
      <left style="dashed">
        <color indexed="64"/>
      </left>
      <right style="hair">
        <color indexed="64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/>
      <bottom style="thick">
        <color indexed="10"/>
      </bottom>
      <diagonal/>
    </border>
    <border>
      <left style="hair">
        <color indexed="64"/>
      </left>
      <right style="dashed">
        <color indexed="64"/>
      </right>
      <top/>
      <bottom style="thick">
        <color indexed="10"/>
      </bottom>
      <diagonal/>
    </border>
    <border>
      <left style="dashed">
        <color indexed="64"/>
      </left>
      <right style="hair">
        <color indexed="64"/>
      </right>
      <top/>
      <bottom style="thick">
        <color indexed="10"/>
      </bottom>
      <diagonal/>
    </border>
    <border>
      <left style="hair">
        <color indexed="64"/>
      </left>
      <right style="thin">
        <color indexed="64"/>
      </right>
      <top/>
      <bottom style="thick">
        <color indexed="10"/>
      </bottom>
      <diagonal/>
    </border>
    <border>
      <left style="hair">
        <color indexed="64"/>
      </left>
      <right style="dashed">
        <color indexed="64"/>
      </right>
      <top/>
      <bottom style="thick">
        <color indexed="43"/>
      </bottom>
      <diagonal/>
    </border>
    <border>
      <left style="dashed">
        <color indexed="64"/>
      </left>
      <right style="hair">
        <color indexed="64"/>
      </right>
      <top/>
      <bottom style="thick">
        <color indexed="43"/>
      </bottom>
      <diagonal/>
    </border>
    <border>
      <left style="hair">
        <color indexed="64"/>
      </left>
      <right style="hair">
        <color indexed="64"/>
      </right>
      <top/>
      <bottom style="thick">
        <color indexed="43"/>
      </bottom>
      <diagonal/>
    </border>
    <border>
      <left style="hair">
        <color indexed="64"/>
      </left>
      <right style="hair">
        <color indexed="64"/>
      </right>
      <top/>
      <bottom style="thick">
        <color indexed="22"/>
      </bottom>
      <diagonal/>
    </border>
    <border>
      <left style="hair">
        <color indexed="64"/>
      </left>
      <right style="dashed">
        <color indexed="64"/>
      </right>
      <top/>
      <bottom style="thick">
        <color indexed="22"/>
      </bottom>
      <diagonal/>
    </border>
    <border>
      <left style="dashed">
        <color indexed="64"/>
      </left>
      <right style="hair">
        <color indexed="64"/>
      </right>
      <top/>
      <bottom style="thick">
        <color indexed="22"/>
      </bottom>
      <diagonal/>
    </border>
    <border>
      <left style="hair">
        <color indexed="64"/>
      </left>
      <right style="thin">
        <color indexed="64"/>
      </right>
      <top/>
      <bottom style="thick">
        <color indexed="22"/>
      </bottom>
      <diagonal/>
    </border>
    <border>
      <left style="thin">
        <color indexed="64"/>
      </left>
      <right style="hair">
        <color indexed="64"/>
      </right>
      <top/>
      <bottom style="thick">
        <color indexed="22"/>
      </bottom>
      <diagonal/>
    </border>
    <border>
      <left/>
      <right style="thick">
        <color indexed="64"/>
      </right>
      <top style="thick">
        <color indexed="8"/>
      </top>
      <bottom/>
      <diagonal/>
    </border>
    <border>
      <left style="thick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ck">
        <color indexed="64"/>
      </right>
      <top/>
      <bottom style="medium">
        <color indexed="8"/>
      </bottom>
      <diagonal/>
    </border>
    <border>
      <left/>
      <right/>
      <top style="thick">
        <color indexed="64"/>
      </top>
      <bottom/>
      <diagonal/>
    </border>
    <border>
      <left style="thick">
        <color indexed="8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8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 style="medium">
        <color indexed="64"/>
      </left>
      <right/>
      <top style="thick">
        <color indexed="8"/>
      </top>
      <bottom/>
      <diagonal/>
    </border>
    <border>
      <left style="thick">
        <color indexed="8"/>
      </left>
      <right style="medium">
        <color indexed="64"/>
      </right>
      <top style="thick">
        <color indexed="8"/>
      </top>
      <bottom/>
      <diagonal/>
    </border>
    <border>
      <left style="medium">
        <color indexed="8"/>
      </left>
      <right style="medium">
        <color indexed="8"/>
      </right>
      <top style="thick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64"/>
      </left>
      <right style="medium">
        <color indexed="8"/>
      </right>
      <top style="thick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hair">
        <color indexed="8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8"/>
      </left>
      <right/>
      <top style="thick">
        <color indexed="64"/>
      </top>
      <bottom style="medium">
        <color indexed="8"/>
      </bottom>
      <diagonal/>
    </border>
    <border>
      <left/>
      <right/>
      <top style="thick">
        <color indexed="64"/>
      </top>
      <bottom style="medium">
        <color indexed="8"/>
      </bottom>
      <diagonal/>
    </border>
  </borders>
  <cellStyleXfs count="109">
    <xf numFmtId="0" fontId="0" fillId="0" borderId="0"/>
    <xf numFmtId="172" fontId="57" fillId="0" borderId="0">
      <alignment horizontal="left"/>
    </xf>
    <xf numFmtId="2" fontId="57" fillId="0" borderId="0">
      <alignment horizontal="center"/>
    </xf>
    <xf numFmtId="0" fontId="58" fillId="2" borderId="0" applyNumberFormat="0" applyBorder="0" applyAlignment="0" applyProtection="0"/>
    <xf numFmtId="0" fontId="58" fillId="3" borderId="0" applyNumberFormat="0" applyBorder="0" applyAlignment="0" applyProtection="0"/>
    <xf numFmtId="0" fontId="58" fillId="4" borderId="0" applyNumberFormat="0" applyBorder="0" applyAlignment="0" applyProtection="0"/>
    <xf numFmtId="0" fontId="58" fillId="5" borderId="0" applyNumberFormat="0" applyBorder="0" applyAlignment="0" applyProtection="0"/>
    <xf numFmtId="0" fontId="58" fillId="6" borderId="0" applyNumberFormat="0" applyBorder="0" applyAlignment="0" applyProtection="0"/>
    <xf numFmtId="0" fontId="58" fillId="4" borderId="0" applyNumberFormat="0" applyBorder="0" applyAlignment="0" applyProtection="0"/>
    <xf numFmtId="0" fontId="58" fillId="6" borderId="0" applyNumberFormat="0" applyBorder="0" applyAlignment="0" applyProtection="0"/>
    <xf numFmtId="0" fontId="58" fillId="3" borderId="0" applyNumberFormat="0" applyBorder="0" applyAlignment="0" applyProtection="0"/>
    <xf numFmtId="0" fontId="58" fillId="7" borderId="0" applyNumberFormat="0" applyBorder="0" applyAlignment="0" applyProtection="0"/>
    <xf numFmtId="0" fontId="58" fillId="8" borderId="0" applyNumberFormat="0" applyBorder="0" applyAlignment="0" applyProtection="0"/>
    <xf numFmtId="0" fontId="58" fillId="6" borderId="0" applyNumberFormat="0" applyBorder="0" applyAlignment="0" applyProtection="0"/>
    <xf numFmtId="0" fontId="58" fillId="4" borderId="0" applyNumberFormat="0" applyBorder="0" applyAlignment="0" applyProtection="0"/>
    <xf numFmtId="0" fontId="59" fillId="6" borderId="0" applyNumberFormat="0" applyBorder="0" applyAlignment="0" applyProtection="0"/>
    <xf numFmtId="0" fontId="59" fillId="9" borderId="0" applyNumberFormat="0" applyBorder="0" applyAlignment="0" applyProtection="0"/>
    <xf numFmtId="0" fontId="59" fillId="10" borderId="0" applyNumberFormat="0" applyBorder="0" applyAlignment="0" applyProtection="0"/>
    <xf numFmtId="0" fontId="59" fillId="8" borderId="0" applyNumberFormat="0" applyBorder="0" applyAlignment="0" applyProtection="0"/>
    <xf numFmtId="0" fontId="59" fillId="6" borderId="0" applyNumberFormat="0" applyBorder="0" applyAlignment="0" applyProtection="0"/>
    <xf numFmtId="0" fontId="59" fillId="3" borderId="0" applyNumberFormat="0" applyBorder="0" applyAlignment="0" applyProtection="0"/>
    <xf numFmtId="0" fontId="59" fillId="11" borderId="0" applyNumberFormat="0" applyBorder="0" applyAlignment="0" applyProtection="0"/>
    <xf numFmtId="0" fontId="59" fillId="9" borderId="0" applyNumberFormat="0" applyBorder="0" applyAlignment="0" applyProtection="0"/>
    <xf numFmtId="0" fontId="59" fillId="10" borderId="0" applyNumberFormat="0" applyBorder="0" applyAlignment="0" applyProtection="0"/>
    <xf numFmtId="0" fontId="59" fillId="12" borderId="0" applyNumberFormat="0" applyBorder="0" applyAlignment="0" applyProtection="0"/>
    <xf numFmtId="0" fontId="59" fillId="13" borderId="0" applyNumberFormat="0" applyBorder="0" applyAlignment="0" applyProtection="0"/>
    <xf numFmtId="0" fontId="59" fillId="14" borderId="0" applyNumberFormat="0" applyBorder="0" applyAlignment="0" applyProtection="0"/>
    <xf numFmtId="0" fontId="60" fillId="15" borderId="0">
      <alignment horizontal="left" vertical="top" wrapText="1"/>
    </xf>
    <xf numFmtId="0" fontId="61" fillId="0" borderId="0" applyNumberFormat="0" applyFill="0" applyBorder="0" applyProtection="0">
      <alignment vertical="top" wrapText="1"/>
    </xf>
    <xf numFmtId="0" fontId="62" fillId="15" borderId="0">
      <alignment horizontal="left" vertical="top" wrapText="1"/>
    </xf>
    <xf numFmtId="0" fontId="63" fillId="15" borderId="0">
      <alignment horizontal="left" vertical="top" wrapText="1"/>
    </xf>
    <xf numFmtId="0" fontId="63" fillId="15" borderId="0">
      <alignment horizontal="left" vertical="top" wrapText="1"/>
    </xf>
    <xf numFmtId="0" fontId="63" fillId="15" borderId="0">
      <alignment horizontal="left" vertical="top" wrapText="1"/>
    </xf>
    <xf numFmtId="0" fontId="63" fillId="15" borderId="0">
      <alignment horizontal="left" vertical="top" wrapText="1"/>
    </xf>
    <xf numFmtId="0" fontId="63" fillId="15" borderId="0">
      <alignment horizontal="left" vertical="top" wrapText="1"/>
    </xf>
    <xf numFmtId="49" fontId="64" fillId="15" borderId="0">
      <alignment horizontal="left" vertical="top" wrapText="1"/>
    </xf>
    <xf numFmtId="0" fontId="65" fillId="0" borderId="0" applyNumberFormat="0" applyFill="0" applyBorder="0" applyAlignment="0" applyProtection="0"/>
    <xf numFmtId="0" fontId="66" fillId="15" borderId="1" applyNumberFormat="0" applyAlignment="0" applyProtection="0"/>
    <xf numFmtId="0" fontId="65" fillId="0" borderId="2" applyNumberFormat="0" applyFill="0" applyAlignment="0" applyProtection="0"/>
    <xf numFmtId="0" fontId="67" fillId="15" borderId="0">
      <alignment horizontal="left" vertical="top" wrapText="1"/>
    </xf>
    <xf numFmtId="0" fontId="68" fillId="15" borderId="0">
      <alignment horizontal="left" vertical="top" wrapText="1"/>
    </xf>
    <xf numFmtId="0" fontId="69" fillId="15" borderId="0">
      <alignment horizontal="left" vertical="top" wrapText="1"/>
    </xf>
    <xf numFmtId="0" fontId="69" fillId="15" borderId="0">
      <alignment horizontal="left" vertical="top" wrapText="1"/>
    </xf>
    <xf numFmtId="0" fontId="63" fillId="15" borderId="0">
      <alignment horizontal="left" vertical="top" wrapText="1"/>
    </xf>
    <xf numFmtId="0" fontId="70" fillId="0" borderId="3" applyNumberFormat="0" applyFill="0" applyBorder="0" applyAlignment="0" applyProtection="0"/>
    <xf numFmtId="0" fontId="63" fillId="15" borderId="0">
      <alignment horizontal="left" vertical="top" wrapText="1"/>
    </xf>
    <xf numFmtId="0" fontId="63" fillId="15" borderId="0">
      <alignment horizontal="left" vertical="top" wrapText="1"/>
    </xf>
    <xf numFmtId="0" fontId="71" fillId="15" borderId="0">
      <alignment horizontal="left" vertical="top" wrapText="1"/>
    </xf>
    <xf numFmtId="0" fontId="63" fillId="15" borderId="0">
      <alignment horizontal="left" vertical="top" wrapText="1"/>
    </xf>
    <xf numFmtId="0" fontId="63" fillId="15" borderId="0">
      <alignment horizontal="left" vertical="top" wrapText="1"/>
    </xf>
    <xf numFmtId="0" fontId="63" fillId="15" borderId="0">
      <alignment horizontal="left" vertical="top" wrapText="1"/>
    </xf>
    <xf numFmtId="0" fontId="72" fillId="15" borderId="4">
      <alignment horizontal="left" vertical="top" wrapText="1"/>
    </xf>
    <xf numFmtId="0" fontId="63" fillId="15" borderId="0">
      <alignment horizontal="left" vertical="top" wrapText="1"/>
    </xf>
    <xf numFmtId="0" fontId="63" fillId="15" borderId="0">
      <alignment horizontal="left" vertical="top" wrapText="1"/>
    </xf>
    <xf numFmtId="0" fontId="63" fillId="15" borderId="0">
      <alignment horizontal="left" vertical="top" wrapText="1"/>
    </xf>
    <xf numFmtId="49" fontId="73" fillId="15" borderId="0">
      <alignment horizontal="left" vertical="top" wrapText="1"/>
    </xf>
    <xf numFmtId="49" fontId="74" fillId="15" borderId="0">
      <alignment horizontal="left" vertical="top" wrapText="1"/>
    </xf>
    <xf numFmtId="49" fontId="72" fillId="15" borderId="0">
      <alignment horizontal="left" vertical="top" wrapText="1"/>
    </xf>
    <xf numFmtId="49" fontId="75" fillId="15" borderId="0">
      <alignment horizontal="left" vertical="top" wrapText="1"/>
    </xf>
    <xf numFmtId="49" fontId="75" fillId="15" borderId="0">
      <alignment horizontal="left" vertical="top" wrapText="1"/>
    </xf>
    <xf numFmtId="0" fontId="76" fillId="4" borderId="5" applyNumberFormat="0" applyFont="0" applyAlignment="0" applyProtection="0"/>
    <xf numFmtId="0" fontId="77" fillId="15" borderId="0">
      <alignment horizontal="left" vertical="top" wrapText="1" indent="1"/>
    </xf>
    <xf numFmtId="0" fontId="77" fillId="15" borderId="0">
      <alignment horizontal="left" vertical="top" wrapText="1" indent="1"/>
    </xf>
    <xf numFmtId="0" fontId="77" fillId="15" borderId="0">
      <alignment horizontal="left" vertical="top" wrapText="1" indent="1"/>
    </xf>
    <xf numFmtId="49" fontId="78" fillId="15" borderId="0">
      <alignment vertical="top" wrapText="1"/>
    </xf>
    <xf numFmtId="0" fontId="79" fillId="7" borderId="1" applyNumberFormat="0" applyAlignment="0" applyProtection="0"/>
    <xf numFmtId="0" fontId="80" fillId="0" borderId="6"/>
    <xf numFmtId="170" fontId="81" fillId="0" borderId="0" applyFont="0" applyFill="0" applyBorder="0" applyAlignment="0" applyProtection="0"/>
    <xf numFmtId="0" fontId="63" fillId="15" borderId="0">
      <alignment horizontal="left" vertical="top"/>
    </xf>
    <xf numFmtId="0" fontId="82" fillId="16" borderId="0" applyNumberFormat="0" applyBorder="0" applyAlignment="0" applyProtection="0"/>
    <xf numFmtId="0" fontId="78" fillId="15" borderId="0">
      <alignment horizontal="left" vertical="top"/>
    </xf>
    <xf numFmtId="0" fontId="83" fillId="0" borderId="7">
      <alignment vertical="center" wrapText="1"/>
    </xf>
    <xf numFmtId="174" fontId="2" fillId="0" borderId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60" fillId="15" borderId="0">
      <alignment horizontal="left" vertical="top" wrapText="1"/>
    </xf>
    <xf numFmtId="0" fontId="60" fillId="15" borderId="0">
      <alignment horizontal="left" vertical="top" wrapText="1"/>
    </xf>
    <xf numFmtId="0" fontId="60" fillId="15" borderId="0">
      <alignment horizontal="left" vertical="top" wrapText="1"/>
    </xf>
    <xf numFmtId="0" fontId="84" fillId="15" borderId="0">
      <alignment horizontal="left" vertical="top" wrapText="1"/>
    </xf>
    <xf numFmtId="0" fontId="85" fillId="15" borderId="0">
      <alignment horizontal="left" vertical="top" wrapText="1"/>
    </xf>
    <xf numFmtId="49" fontId="86" fillId="15" borderId="0">
      <alignment horizontal="left" vertical="top"/>
    </xf>
    <xf numFmtId="173" fontId="61" fillId="0" borderId="8" applyFont="0" applyFill="0" applyBorder="0" applyAlignment="0" applyProtection="0">
      <protection locked="0"/>
    </xf>
    <xf numFmtId="0" fontId="87" fillId="0" borderId="0">
      <protection locked="0"/>
    </xf>
    <xf numFmtId="0" fontId="88" fillId="17" borderId="9" applyNumberFormat="0" applyBorder="0" applyAlignment="0" applyProtection="0">
      <alignment horizontal="center"/>
    </xf>
    <xf numFmtId="0" fontId="89" fillId="0" borderId="10">
      <alignment horizontal="center"/>
    </xf>
    <xf numFmtId="0" fontId="90" fillId="7" borderId="0" applyNumberFormat="0" applyBorder="0" applyAlignment="0" applyProtection="0"/>
    <xf numFmtId="0" fontId="5" fillId="0" borderId="0"/>
    <xf numFmtId="0" fontId="76" fillId="0" borderId="0"/>
    <xf numFmtId="0" fontId="91" fillId="17" borderId="11" applyNumberFormat="0" applyAlignment="0"/>
    <xf numFmtId="0" fontId="40" fillId="0" borderId="0">
      <alignment horizontal="right"/>
      <protection locked="0"/>
    </xf>
    <xf numFmtId="0" fontId="1" fillId="18" borderId="12"/>
    <xf numFmtId="0" fontId="92" fillId="19" borderId="10" applyBorder="0"/>
    <xf numFmtId="0" fontId="93" fillId="18" borderId="8" applyNumberFormat="0" applyBorder="0" applyAlignment="0">
      <alignment horizontal="right"/>
      <protection locked="0"/>
    </xf>
    <xf numFmtId="0" fontId="94" fillId="6" borderId="0" applyNumberFormat="0" applyBorder="0" applyAlignment="0" applyProtection="0"/>
    <xf numFmtId="0" fontId="95" fillId="15" borderId="13" applyNumberFormat="0" applyAlignment="0" applyProtection="0"/>
    <xf numFmtId="0" fontId="96" fillId="0" borderId="14" applyNumberFormat="0" applyFill="0" applyBorder="0" applyAlignment="0" applyProtection="0"/>
    <xf numFmtId="171" fontId="97" fillId="0" borderId="15">
      <alignment horizontal="left"/>
    </xf>
    <xf numFmtId="171" fontId="98" fillId="0" borderId="14">
      <alignment horizontal="left"/>
    </xf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6"/>
    <xf numFmtId="0" fontId="86" fillId="15" borderId="0">
      <alignment horizontal="left" vertical="top"/>
    </xf>
    <xf numFmtId="0" fontId="102" fillId="0" borderId="16" applyNumberFormat="0" applyFill="0" applyAlignment="0" applyProtection="0"/>
    <xf numFmtId="0" fontId="103" fillId="0" borderId="17" applyNumberFormat="0" applyFill="0" applyAlignment="0" applyProtection="0"/>
    <xf numFmtId="0" fontId="104" fillId="0" borderId="18" applyNumberFormat="0" applyFill="0" applyAlignment="0" applyProtection="0"/>
    <xf numFmtId="0" fontId="104" fillId="0" borderId="0" applyNumberFormat="0" applyFill="0" applyBorder="0" applyAlignment="0" applyProtection="0"/>
    <xf numFmtId="0" fontId="9" fillId="0" borderId="10" applyNumberFormat="0" applyProtection="0">
      <alignment horizontal="left"/>
    </xf>
    <xf numFmtId="0" fontId="105" fillId="0" borderId="0" applyFill="0" applyBorder="0" applyAlignment="0" applyProtection="0">
      <protection locked="0"/>
    </xf>
    <xf numFmtId="0" fontId="92" fillId="1" borderId="15" applyBorder="0"/>
    <xf numFmtId="0" fontId="106" fillId="20" borderId="19" applyNumberFormat="0" applyAlignment="0" applyProtection="0"/>
  </cellStyleXfs>
  <cellXfs count="1150">
    <xf numFmtId="0" fontId="0" fillId="0" borderId="0" xfId="0"/>
    <xf numFmtId="0" fontId="2" fillId="0" borderId="20" xfId="0" applyFont="1" applyBorder="1"/>
    <xf numFmtId="0" fontId="2" fillId="0" borderId="14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0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3" xfId="0" applyFont="1" applyBorder="1"/>
    <xf numFmtId="0" fontId="2" fillId="0" borderId="10" xfId="0" applyFont="1" applyBorder="1"/>
    <xf numFmtId="0" fontId="2" fillId="0" borderId="28" xfId="0" applyFont="1" applyBorder="1"/>
    <xf numFmtId="12" fontId="2" fillId="0" borderId="25" xfId="0" applyNumberFormat="1" applyFont="1" applyBorder="1"/>
    <xf numFmtId="0" fontId="2" fillId="0" borderId="25" xfId="0" applyFont="1" applyFill="1" applyBorder="1"/>
    <xf numFmtId="0" fontId="2" fillId="0" borderId="29" xfId="0" applyFont="1" applyBorder="1"/>
    <xf numFmtId="0" fontId="1" fillId="0" borderId="15" xfId="0" applyFont="1" applyBorder="1"/>
    <xf numFmtId="14" fontId="2" fillId="0" borderId="28" xfId="0" applyNumberFormat="1" applyFont="1" applyBorder="1"/>
    <xf numFmtId="0" fontId="2" fillId="0" borderId="30" xfId="0" applyFont="1" applyBorder="1"/>
    <xf numFmtId="0" fontId="5" fillId="0" borderId="15" xfId="0" applyFont="1" applyBorder="1"/>
    <xf numFmtId="0" fontId="5" fillId="0" borderId="14" xfId="0" applyFont="1" applyBorder="1"/>
    <xf numFmtId="0" fontId="5" fillId="0" borderId="21" xfId="0" applyFont="1" applyBorder="1"/>
    <xf numFmtId="0" fontId="1" fillId="0" borderId="14" xfId="0" applyFont="1" applyBorder="1"/>
    <xf numFmtId="0" fontId="1" fillId="0" borderId="21" xfId="0" applyFont="1" applyBorder="1"/>
    <xf numFmtId="0" fontId="2" fillId="0" borderId="3" xfId="0" applyFont="1" applyFill="1" applyBorder="1"/>
    <xf numFmtId="0" fontId="2" fillId="0" borderId="31" xfId="0" applyFont="1" applyFill="1" applyBorder="1"/>
    <xf numFmtId="0" fontId="2" fillId="0" borderId="32" xfId="0" applyFont="1" applyFill="1" applyBorder="1"/>
    <xf numFmtId="0" fontId="2" fillId="0" borderId="27" xfId="0" applyFont="1" applyFill="1" applyBorder="1"/>
    <xf numFmtId="0" fontId="2" fillId="0" borderId="0" xfId="0" applyFont="1" applyFill="1" applyBorder="1"/>
    <xf numFmtId="0" fontId="2" fillId="0" borderId="22" xfId="0" applyFont="1" applyFill="1" applyBorder="1"/>
    <xf numFmtId="0" fontId="2" fillId="0" borderId="21" xfId="0" applyFont="1" applyFill="1" applyBorder="1"/>
    <xf numFmtId="0" fontId="2" fillId="0" borderId="30" xfId="0" applyNumberFormat="1" applyFont="1" applyBorder="1"/>
    <xf numFmtId="0" fontId="2" fillId="0" borderId="14" xfId="0" applyFont="1" applyFill="1" applyBorder="1"/>
    <xf numFmtId="0" fontId="9" fillId="0" borderId="15" xfId="0" applyFont="1" applyBorder="1"/>
    <xf numFmtId="0" fontId="8" fillId="0" borderId="15" xfId="0" applyFont="1" applyBorder="1"/>
    <xf numFmtId="0" fontId="9" fillId="0" borderId="0" xfId="0" applyFont="1" applyBorder="1"/>
    <xf numFmtId="15" fontId="9" fillId="0" borderId="0" xfId="0" applyNumberFormat="1" applyFont="1" applyBorder="1" applyAlignment="1">
      <alignment horizontal="center"/>
    </xf>
    <xf numFmtId="0" fontId="0" fillId="0" borderId="0" xfId="0" applyBorder="1"/>
    <xf numFmtId="0" fontId="15" fillId="0" borderId="33" xfId="0" applyFont="1" applyBorder="1" applyAlignment="1">
      <alignment horizontal="center" vertical="top" wrapText="1"/>
    </xf>
    <xf numFmtId="0" fontId="16" fillId="0" borderId="34" xfId="0" applyFont="1" applyBorder="1" applyAlignment="1">
      <alignment horizontal="center" vertical="center" wrapText="1"/>
    </xf>
    <xf numFmtId="0" fontId="16" fillId="0" borderId="35" xfId="0" applyFont="1" applyBorder="1" applyAlignment="1">
      <alignment horizontal="center" vertical="center" wrapText="1"/>
    </xf>
    <xf numFmtId="0" fontId="0" fillId="0" borderId="36" xfId="0" applyBorder="1" applyAlignment="1">
      <alignment vertical="top" wrapText="1"/>
    </xf>
    <xf numFmtId="0" fontId="0" fillId="0" borderId="36" xfId="0" applyBorder="1" applyAlignment="1">
      <alignment horizontal="center" vertical="center" wrapText="1"/>
    </xf>
    <xf numFmtId="0" fontId="16" fillId="0" borderId="37" xfId="0" applyFont="1" applyBorder="1" applyAlignment="1">
      <alignment horizontal="center" vertical="top" wrapText="1"/>
    </xf>
    <xf numFmtId="0" fontId="16" fillId="0" borderId="38" xfId="0" applyFont="1" applyBorder="1" applyAlignment="1">
      <alignment horizontal="center" vertical="top" wrapText="1"/>
    </xf>
    <xf numFmtId="0" fontId="16" fillId="0" borderId="39" xfId="0" applyFont="1" applyBorder="1" applyAlignment="1">
      <alignment horizontal="center" vertical="top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17" fillId="21" borderId="44" xfId="0" applyFont="1" applyFill="1" applyBorder="1" applyAlignment="1">
      <alignment horizontal="center" vertical="top" wrapText="1"/>
    </xf>
    <xf numFmtId="0" fontId="19" fillId="21" borderId="45" xfId="0" applyFont="1" applyFill="1" applyBorder="1" applyAlignment="1">
      <alignment horizontal="center" vertical="center" wrapText="1"/>
    </xf>
    <xf numFmtId="0" fontId="0" fillId="0" borderId="44" xfId="0" applyBorder="1" applyAlignment="1">
      <alignment horizontal="center"/>
    </xf>
    <xf numFmtId="0" fontId="20" fillId="21" borderId="46" xfId="0" applyFont="1" applyFill="1" applyBorder="1" applyAlignment="1">
      <alignment horizontal="right" vertical="top" wrapText="1"/>
    </xf>
    <xf numFmtId="0" fontId="20" fillId="21" borderId="47" xfId="0" applyFont="1" applyFill="1" applyBorder="1" applyAlignment="1">
      <alignment horizontal="right" vertical="top" wrapText="1"/>
    </xf>
    <xf numFmtId="0" fontId="20" fillId="0" borderId="48" xfId="0" applyFont="1" applyBorder="1" applyAlignment="1">
      <alignment horizontal="center" vertical="top" wrapText="1"/>
    </xf>
    <xf numFmtId="0" fontId="24" fillId="0" borderId="48" xfId="0" applyFont="1" applyBorder="1" applyAlignment="1">
      <alignment vertical="top" wrapText="1"/>
    </xf>
    <xf numFmtId="2" fontId="22" fillId="0" borderId="49" xfId="0" applyNumberFormat="1" applyFont="1" applyBorder="1" applyAlignment="1">
      <alignment horizontal="right" vertical="top" wrapText="1"/>
    </xf>
    <xf numFmtId="2" fontId="22" fillId="0" borderId="32" xfId="0" applyNumberFormat="1" applyFont="1" applyBorder="1" applyAlignment="1">
      <alignment horizontal="right" vertical="top" wrapText="1"/>
    </xf>
    <xf numFmtId="2" fontId="24" fillId="0" borderId="50" xfId="0" applyNumberFormat="1" applyFont="1" applyBorder="1" applyAlignment="1">
      <alignment horizontal="right" vertical="top" wrapText="1"/>
    </xf>
    <xf numFmtId="2" fontId="25" fillId="0" borderId="51" xfId="0" applyNumberFormat="1" applyFont="1" applyBorder="1" applyAlignment="1">
      <alignment horizontal="center" vertical="top" wrapText="1"/>
    </xf>
    <xf numFmtId="0" fontId="26" fillId="0" borderId="48" xfId="0" applyFont="1" applyBorder="1" applyAlignment="1">
      <alignment horizontal="center" vertical="top" wrapText="1"/>
    </xf>
    <xf numFmtId="0" fontId="17" fillId="0" borderId="48" xfId="0" applyFont="1" applyBorder="1" applyAlignment="1">
      <alignment vertical="top" wrapText="1"/>
    </xf>
    <xf numFmtId="2" fontId="24" fillId="0" borderId="49" xfId="0" applyNumberFormat="1" applyFont="1" applyBorder="1" applyAlignment="1">
      <alignment horizontal="right" vertical="top" wrapText="1"/>
    </xf>
    <xf numFmtId="0" fontId="17" fillId="0" borderId="48" xfId="0" applyFont="1" applyBorder="1" applyAlignment="1">
      <alignment horizontal="center" vertical="top" wrapText="1"/>
    </xf>
    <xf numFmtId="0" fontId="24" fillId="0" borderId="49" xfId="0" applyFont="1" applyBorder="1" applyAlignment="1">
      <alignment horizontal="right" vertical="top" wrapText="1"/>
    </xf>
    <xf numFmtId="0" fontId="27" fillId="21" borderId="46" xfId="0" applyFont="1" applyFill="1" applyBorder="1" applyAlignment="1">
      <alignment horizontal="center" vertical="top" wrapText="1"/>
    </xf>
    <xf numFmtId="2" fontId="24" fillId="21" borderId="52" xfId="0" applyNumberFormat="1" applyFont="1" applyFill="1" applyBorder="1" applyAlignment="1">
      <alignment horizontal="right" vertical="top" wrapText="1"/>
    </xf>
    <xf numFmtId="0" fontId="27" fillId="21" borderId="47" xfId="0" applyFont="1" applyFill="1" applyBorder="1" applyAlignment="1">
      <alignment horizontal="center" vertical="top" wrapText="1"/>
    </xf>
    <xf numFmtId="0" fontId="27" fillId="0" borderId="48" xfId="0" applyFont="1" applyBorder="1" applyAlignment="1">
      <alignment horizontal="center" vertical="top" wrapText="1"/>
    </xf>
    <xf numFmtId="2" fontId="22" fillId="0" borderId="32" xfId="0" applyNumberFormat="1" applyFont="1" applyFill="1" applyBorder="1" applyAlignment="1">
      <alignment horizontal="right" vertical="top" wrapText="1"/>
    </xf>
    <xf numFmtId="0" fontId="17" fillId="21" borderId="47" xfId="0" applyFont="1" applyFill="1" applyBorder="1" applyAlignment="1">
      <alignment horizontal="center" vertical="top" wrapText="1"/>
    </xf>
    <xf numFmtId="2" fontId="25" fillId="0" borderId="51" xfId="0" applyNumberFormat="1" applyFont="1" applyBorder="1" applyAlignment="1">
      <alignment horizontal="right" vertical="top" wrapText="1"/>
    </xf>
    <xf numFmtId="2" fontId="25" fillId="0" borderId="32" xfId="0" applyNumberFormat="1" applyFont="1" applyBorder="1" applyAlignment="1">
      <alignment horizontal="right" vertical="top" wrapText="1"/>
    </xf>
    <xf numFmtId="0" fontId="31" fillId="0" borderId="53" xfId="0" applyFont="1" applyBorder="1" applyAlignment="1">
      <alignment horizontal="center" vertical="top" wrapText="1"/>
    </xf>
    <xf numFmtId="0" fontId="31" fillId="0" borderId="32" xfId="0" applyFont="1" applyBorder="1" applyAlignment="1">
      <alignment horizontal="center" vertical="top" wrapText="1"/>
    </xf>
    <xf numFmtId="0" fontId="32" fillId="0" borderId="53" xfId="0" applyFont="1" applyBorder="1" applyAlignment="1">
      <alignment horizontal="center" vertical="top" wrapText="1"/>
    </xf>
    <xf numFmtId="0" fontId="32" fillId="0" borderId="32" xfId="0" applyFont="1" applyBorder="1" applyAlignment="1">
      <alignment horizontal="center" vertical="top" wrapText="1"/>
    </xf>
    <xf numFmtId="0" fontId="19" fillId="0" borderId="48" xfId="0" applyFont="1" applyBorder="1" applyAlignment="1">
      <alignment vertical="top" wrapText="1"/>
    </xf>
    <xf numFmtId="0" fontId="33" fillId="21" borderId="46" xfId="0" applyFont="1" applyFill="1" applyBorder="1" applyAlignment="1">
      <alignment horizontal="center" vertical="top" wrapText="1"/>
    </xf>
    <xf numFmtId="0" fontId="17" fillId="0" borderId="47" xfId="0" applyFont="1" applyBorder="1" applyAlignment="1">
      <alignment horizontal="center" vertical="top" wrapText="1"/>
    </xf>
    <xf numFmtId="0" fontId="34" fillId="0" borderId="48" xfId="0" applyFont="1" applyBorder="1" applyAlignment="1">
      <alignment horizontal="left" vertical="center" wrapText="1"/>
    </xf>
    <xf numFmtId="0" fontId="0" fillId="0" borderId="51" xfId="0" applyBorder="1" applyAlignment="1">
      <alignment vertical="top" wrapText="1"/>
    </xf>
    <xf numFmtId="0" fontId="0" fillId="0" borderId="32" xfId="0" applyBorder="1" applyAlignment="1">
      <alignment vertical="top" wrapText="1"/>
    </xf>
    <xf numFmtId="0" fontId="0" fillId="0" borderId="53" xfId="0" applyBorder="1" applyAlignment="1">
      <alignment vertical="top" wrapText="1"/>
    </xf>
    <xf numFmtId="0" fontId="17" fillId="21" borderId="46" xfId="0" applyFont="1" applyFill="1" applyBorder="1" applyAlignment="1">
      <alignment horizontal="center" vertical="top" wrapText="1"/>
    </xf>
    <xf numFmtId="0" fontId="26" fillId="21" borderId="47" xfId="0" applyFont="1" applyFill="1" applyBorder="1" applyAlignment="1">
      <alignment horizontal="center" vertical="top" wrapText="1"/>
    </xf>
    <xf numFmtId="0" fontId="25" fillId="0" borderId="53" xfId="0" applyFont="1" applyBorder="1" applyAlignment="1">
      <alignment horizontal="center" vertical="top" wrapText="1"/>
    </xf>
    <xf numFmtId="0" fontId="25" fillId="0" borderId="32" xfId="0" applyFont="1" applyBorder="1" applyAlignment="1">
      <alignment horizontal="center" vertical="top" wrapText="1"/>
    </xf>
    <xf numFmtId="0" fontId="26" fillId="21" borderId="46" xfId="0" applyFont="1" applyFill="1" applyBorder="1" applyAlignment="1">
      <alignment horizontal="center" vertical="top" wrapText="1"/>
    </xf>
    <xf numFmtId="0" fontId="24" fillId="21" borderId="54" xfId="0" applyFont="1" applyFill="1" applyBorder="1" applyAlignment="1">
      <alignment horizontal="right" vertical="top" wrapText="1"/>
    </xf>
    <xf numFmtId="2" fontId="22" fillId="21" borderId="55" xfId="0" applyNumberFormat="1" applyFont="1" applyFill="1" applyBorder="1" applyAlignment="1">
      <alignment horizontal="right" vertical="top" wrapText="1"/>
    </xf>
    <xf numFmtId="2" fontId="24" fillId="21" borderId="56" xfId="0" applyNumberFormat="1" applyFont="1" applyFill="1" applyBorder="1" applyAlignment="1">
      <alignment horizontal="right" vertical="top" wrapText="1"/>
    </xf>
    <xf numFmtId="2" fontId="25" fillId="21" borderId="57" xfId="0" applyNumberFormat="1" applyFont="1" applyFill="1" applyBorder="1" applyAlignment="1">
      <alignment horizontal="right" vertical="top" wrapText="1"/>
    </xf>
    <xf numFmtId="2" fontId="25" fillId="21" borderId="55" xfId="0" applyNumberFormat="1" applyFont="1" applyFill="1" applyBorder="1" applyAlignment="1">
      <alignment horizontal="right" vertical="top" wrapText="1"/>
    </xf>
    <xf numFmtId="0" fontId="25" fillId="21" borderId="58" xfId="0" applyFont="1" applyFill="1" applyBorder="1" applyAlignment="1">
      <alignment horizontal="center" vertical="top" wrapText="1"/>
    </xf>
    <xf numFmtId="0" fontId="25" fillId="21" borderId="55" xfId="0" applyFont="1" applyFill="1" applyBorder="1" applyAlignment="1">
      <alignment horizontal="center" vertical="top" wrapText="1"/>
    </xf>
    <xf numFmtId="0" fontId="24" fillId="21" borderId="59" xfId="0" applyFont="1" applyFill="1" applyBorder="1" applyAlignment="1">
      <alignment horizontal="right" vertical="top" wrapText="1"/>
    </xf>
    <xf numFmtId="2" fontId="22" fillId="21" borderId="31" xfId="0" applyNumberFormat="1" applyFont="1" applyFill="1" applyBorder="1" applyAlignment="1">
      <alignment horizontal="right" vertical="top" wrapText="1"/>
    </xf>
    <xf numFmtId="2" fontId="24" fillId="21" borderId="60" xfId="0" applyNumberFormat="1" applyFont="1" applyFill="1" applyBorder="1" applyAlignment="1">
      <alignment horizontal="right" vertical="top" wrapText="1"/>
    </xf>
    <xf numFmtId="2" fontId="25" fillId="21" borderId="61" xfId="0" applyNumberFormat="1" applyFont="1" applyFill="1" applyBorder="1" applyAlignment="1">
      <alignment horizontal="right" vertical="top" wrapText="1"/>
    </xf>
    <xf numFmtId="2" fontId="25" fillId="21" borderId="31" xfId="0" applyNumberFormat="1" applyFont="1" applyFill="1" applyBorder="1" applyAlignment="1">
      <alignment horizontal="right" vertical="top" wrapText="1"/>
    </xf>
    <xf numFmtId="0" fontId="32" fillId="21" borderId="62" xfId="0" applyFont="1" applyFill="1" applyBorder="1" applyAlignment="1">
      <alignment horizontal="center" vertical="top" wrapText="1"/>
    </xf>
    <xf numFmtId="0" fontId="32" fillId="21" borderId="31" xfId="0" applyFont="1" applyFill="1" applyBorder="1" applyAlignment="1">
      <alignment horizontal="center" vertical="top" wrapText="1"/>
    </xf>
    <xf numFmtId="0" fontId="24" fillId="0" borderId="47" xfId="0" applyFont="1" applyBorder="1" applyAlignment="1">
      <alignment horizontal="left" vertical="center" wrapText="1"/>
    </xf>
    <xf numFmtId="0" fontId="22" fillId="0" borderId="49" xfId="0" applyFont="1" applyBorder="1" applyAlignment="1">
      <alignment horizontal="right" vertical="top" wrapText="1"/>
    </xf>
    <xf numFmtId="0" fontId="26" fillId="0" borderId="46" xfId="0" applyFont="1" applyBorder="1" applyAlignment="1">
      <alignment horizontal="center" vertical="top" wrapText="1"/>
    </xf>
    <xf numFmtId="2" fontId="22" fillId="0" borderId="63" xfId="0" applyNumberFormat="1" applyFont="1" applyBorder="1" applyAlignment="1">
      <alignment horizontal="right" vertical="top" wrapText="1"/>
    </xf>
    <xf numFmtId="2" fontId="24" fillId="0" borderId="56" xfId="0" applyNumberFormat="1" applyFont="1" applyBorder="1" applyAlignment="1">
      <alignment horizontal="right" vertical="top" wrapText="1"/>
    </xf>
    <xf numFmtId="0" fontId="26" fillId="0" borderId="47" xfId="0" applyFont="1" applyBorder="1" applyAlignment="1">
      <alignment horizontal="center" vertical="top" wrapText="1"/>
    </xf>
    <xf numFmtId="0" fontId="24" fillId="0" borderId="53" xfId="0" applyFont="1" applyBorder="1" applyAlignment="1">
      <alignment vertical="top" wrapText="1"/>
    </xf>
    <xf numFmtId="2" fontId="30" fillId="0" borderId="32" xfId="0" applyNumberFormat="1" applyFont="1" applyBorder="1" applyAlignment="1">
      <alignment horizontal="center" vertical="top" wrapText="1"/>
    </xf>
    <xf numFmtId="0" fontId="0" fillId="0" borderId="64" xfId="0" applyBorder="1" applyAlignment="1">
      <alignment vertical="top" wrapText="1"/>
    </xf>
    <xf numFmtId="0" fontId="26" fillId="0" borderId="65" xfId="0" applyFont="1" applyBorder="1" applyAlignment="1">
      <alignment horizontal="center" vertical="top" wrapText="1"/>
    </xf>
    <xf numFmtId="0" fontId="24" fillId="0" borderId="66" xfId="0" applyFont="1" applyBorder="1" applyAlignment="1">
      <alignment vertical="top" wrapText="1"/>
    </xf>
    <xf numFmtId="0" fontId="24" fillId="0" borderId="67" xfId="0" applyFont="1" applyBorder="1" applyAlignment="1">
      <alignment horizontal="right" vertical="top" wrapText="1"/>
    </xf>
    <xf numFmtId="2" fontId="24" fillId="0" borderId="41" xfId="0" applyNumberFormat="1" applyFont="1" applyBorder="1" applyAlignment="1">
      <alignment horizontal="right" vertical="top" wrapText="1"/>
    </xf>
    <xf numFmtId="2" fontId="24" fillId="0" borderId="68" xfId="0" applyNumberFormat="1" applyFont="1" applyBorder="1" applyAlignment="1">
      <alignment horizontal="right" vertical="top" wrapText="1"/>
    </xf>
    <xf numFmtId="2" fontId="25" fillId="0" borderId="69" xfId="0" applyNumberFormat="1" applyFont="1" applyBorder="1" applyAlignment="1">
      <alignment horizontal="right" vertical="top" wrapText="1"/>
    </xf>
    <xf numFmtId="2" fontId="25" fillId="0" borderId="41" xfId="0" applyNumberFormat="1" applyFont="1" applyBorder="1" applyAlignment="1">
      <alignment horizontal="right" vertical="top" wrapText="1"/>
    </xf>
    <xf numFmtId="0" fontId="25" fillId="0" borderId="66" xfId="0" applyFont="1" applyBorder="1" applyAlignment="1">
      <alignment horizontal="center" vertical="top" wrapText="1"/>
    </xf>
    <xf numFmtId="0" fontId="25" fillId="0" borderId="41" xfId="0" applyFont="1" applyBorder="1" applyAlignment="1">
      <alignment horizontal="center" vertical="top" wrapText="1"/>
    </xf>
    <xf numFmtId="0" fontId="0" fillId="0" borderId="44" xfId="0" applyBorder="1" applyAlignment="1">
      <alignment vertical="top" wrapText="1"/>
    </xf>
    <xf numFmtId="0" fontId="0" fillId="0" borderId="0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16" fillId="0" borderId="71" xfId="0" applyFont="1" applyBorder="1" applyAlignment="1">
      <alignment horizontal="center" vertical="top" wrapText="1"/>
    </xf>
    <xf numFmtId="0" fontId="17" fillId="0" borderId="46" xfId="0" applyFont="1" applyBorder="1" applyAlignment="1">
      <alignment horizontal="center" vertical="top" wrapText="1"/>
    </xf>
    <xf numFmtId="0" fontId="34" fillId="0" borderId="46" xfId="0" applyFont="1" applyBorder="1" applyAlignment="1">
      <alignment horizontal="left" vertical="center" wrapText="1"/>
    </xf>
    <xf numFmtId="2" fontId="35" fillId="0" borderId="72" xfId="0" applyNumberFormat="1" applyFont="1" applyBorder="1" applyAlignment="1">
      <alignment horizontal="right" vertical="top" wrapText="1"/>
    </xf>
    <xf numFmtId="0" fontId="0" fillId="0" borderId="58" xfId="0" applyBorder="1" applyAlignment="1">
      <alignment wrapText="1"/>
    </xf>
    <xf numFmtId="0" fontId="36" fillId="0" borderId="45" xfId="0" applyFont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top" wrapText="1"/>
    </xf>
    <xf numFmtId="0" fontId="36" fillId="0" borderId="70" xfId="0" applyFont="1" applyBorder="1" applyAlignment="1">
      <alignment horizontal="center" vertical="top" wrapText="1"/>
    </xf>
    <xf numFmtId="0" fontId="34" fillId="0" borderId="48" xfId="0" applyFont="1" applyBorder="1" applyAlignment="1">
      <alignment horizontal="left" vertical="top" wrapText="1"/>
    </xf>
    <xf numFmtId="2" fontId="22" fillId="0" borderId="73" xfId="0" applyNumberFormat="1" applyFont="1" applyBorder="1" applyAlignment="1">
      <alignment horizontal="right" vertical="top" wrapText="1"/>
    </xf>
    <xf numFmtId="2" fontId="22" fillId="0" borderId="72" xfId="0" applyNumberFormat="1" applyFont="1" applyBorder="1" applyAlignment="1">
      <alignment horizontal="right" vertical="top" wrapText="1"/>
    </xf>
    <xf numFmtId="2" fontId="24" fillId="0" borderId="53" xfId="0" applyNumberFormat="1" applyFont="1" applyBorder="1" applyAlignment="1">
      <alignment horizontal="right" vertical="top" wrapText="1"/>
    </xf>
    <xf numFmtId="0" fontId="19" fillId="21" borderId="60" xfId="0" applyFont="1" applyFill="1" applyBorder="1" applyAlignment="1">
      <alignment horizontal="center" vertical="top" wrapText="1"/>
    </xf>
    <xf numFmtId="0" fontId="34" fillId="0" borderId="48" xfId="0" applyFont="1" applyBorder="1" applyAlignment="1">
      <alignment vertical="top" wrapText="1"/>
    </xf>
    <xf numFmtId="0" fontId="0" fillId="0" borderId="45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70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61" xfId="0" applyBorder="1" applyAlignment="1">
      <alignment horizontal="center" vertical="top" wrapText="1"/>
    </xf>
    <xf numFmtId="0" fontId="0" fillId="0" borderId="31" xfId="0" applyBorder="1" applyAlignment="1">
      <alignment horizontal="center" vertical="top" wrapText="1"/>
    </xf>
    <xf numFmtId="0" fontId="0" fillId="0" borderId="62" xfId="0" applyBorder="1" applyAlignment="1">
      <alignment horizontal="center" vertical="top" wrapText="1"/>
    </xf>
    <xf numFmtId="0" fontId="37" fillId="0" borderId="73" xfId="0" applyFont="1" applyBorder="1" applyAlignment="1">
      <alignment horizontal="right" vertical="top" wrapText="1"/>
    </xf>
    <xf numFmtId="2" fontId="37" fillId="0" borderId="49" xfId="0" applyNumberFormat="1" applyFont="1" applyBorder="1" applyAlignment="1">
      <alignment horizontal="right" vertical="top" wrapText="1"/>
    </xf>
    <xf numFmtId="2" fontId="24" fillId="0" borderId="51" xfId="0" applyNumberFormat="1" applyFont="1" applyBorder="1" applyAlignment="1">
      <alignment horizontal="right" vertical="top" wrapText="1"/>
    </xf>
    <xf numFmtId="2" fontId="24" fillId="0" borderId="32" xfId="0" applyNumberFormat="1" applyFont="1" applyBorder="1" applyAlignment="1">
      <alignment horizontal="right" vertical="top" wrapText="1"/>
    </xf>
    <xf numFmtId="0" fontId="17" fillId="0" borderId="53" xfId="0" applyFont="1" applyBorder="1" applyAlignment="1">
      <alignment horizontal="center" vertical="top" wrapText="1"/>
    </xf>
    <xf numFmtId="0" fontId="17" fillId="0" borderId="32" xfId="0" applyFont="1" applyBorder="1" applyAlignment="1">
      <alignment horizontal="center" vertical="top" wrapText="1"/>
    </xf>
    <xf numFmtId="0" fontId="34" fillId="0" borderId="51" xfId="0" applyFont="1" applyBorder="1" applyAlignment="1">
      <alignment horizontal="left" vertical="top" wrapText="1"/>
    </xf>
    <xf numFmtId="2" fontId="22" fillId="0" borderId="74" xfId="0" applyNumberFormat="1" applyFont="1" applyBorder="1" applyAlignment="1">
      <alignment horizontal="right" vertical="top" wrapText="1"/>
    </xf>
    <xf numFmtId="2" fontId="24" fillId="0" borderId="52" xfId="0" applyNumberFormat="1" applyFont="1" applyBorder="1" applyAlignment="1">
      <alignment horizontal="right" vertical="top" wrapText="1"/>
    </xf>
    <xf numFmtId="2" fontId="24" fillId="0" borderId="45" xfId="0" applyNumberFormat="1" applyFont="1" applyBorder="1" applyAlignment="1">
      <alignment horizontal="right" vertical="top" wrapText="1"/>
    </xf>
    <xf numFmtId="0" fontId="24" fillId="0" borderId="32" xfId="0" applyFont="1" applyBorder="1" applyAlignment="1">
      <alignment vertical="top" wrapText="1"/>
    </xf>
    <xf numFmtId="2" fontId="28" fillId="0" borderId="53" xfId="0" applyNumberFormat="1" applyFont="1" applyBorder="1" applyAlignment="1">
      <alignment horizontal="right" vertical="top" wrapText="1"/>
    </xf>
    <xf numFmtId="2" fontId="28" fillId="0" borderId="51" xfId="0" applyNumberFormat="1" applyFont="1" applyBorder="1" applyAlignment="1">
      <alignment horizontal="right" vertical="top" wrapText="1"/>
    </xf>
    <xf numFmtId="2" fontId="28" fillId="0" borderId="32" xfId="0" applyNumberFormat="1" applyFont="1" applyBorder="1" applyAlignment="1">
      <alignment horizontal="right" vertical="top" wrapText="1"/>
    </xf>
    <xf numFmtId="0" fontId="19" fillId="0" borderId="53" xfId="0" applyFont="1" applyBorder="1" applyAlignment="1">
      <alignment horizontal="center" vertical="top" wrapText="1"/>
    </xf>
    <xf numFmtId="0" fontId="19" fillId="0" borderId="32" xfId="0" applyFont="1" applyBorder="1" applyAlignment="1">
      <alignment horizontal="center" vertical="top" wrapText="1"/>
    </xf>
    <xf numFmtId="0" fontId="24" fillId="0" borderId="48" xfId="0" applyFont="1" applyBorder="1" applyAlignment="1">
      <alignment horizontal="left" vertical="top" wrapText="1"/>
    </xf>
    <xf numFmtId="0" fontId="33" fillId="0" borderId="48" xfId="0" applyFont="1" applyBorder="1" applyAlignment="1">
      <alignment horizontal="center" vertical="top" wrapText="1"/>
    </xf>
    <xf numFmtId="0" fontId="24" fillId="0" borderId="53" xfId="0" applyFont="1" applyBorder="1" applyAlignment="1">
      <alignment horizontal="center" vertical="top" wrapText="1"/>
    </xf>
    <xf numFmtId="0" fontId="24" fillId="0" borderId="32" xfId="0" applyFont="1" applyBorder="1" applyAlignment="1">
      <alignment horizontal="center" vertical="top" wrapText="1"/>
    </xf>
    <xf numFmtId="2" fontId="24" fillId="0" borderId="49" xfId="0" applyNumberFormat="1" applyFont="1" applyBorder="1" applyAlignment="1">
      <alignment horizontal="center" vertical="top" wrapText="1"/>
    </xf>
    <xf numFmtId="0" fontId="19" fillId="0" borderId="48" xfId="0" applyFont="1" applyBorder="1" applyAlignment="1">
      <alignment horizontal="right" vertical="top" wrapText="1"/>
    </xf>
    <xf numFmtId="0" fontId="19" fillId="0" borderId="73" xfId="0" applyFont="1" applyBorder="1" applyAlignment="1">
      <alignment horizontal="right" vertical="top" wrapText="1"/>
    </xf>
    <xf numFmtId="0" fontId="19" fillId="0" borderId="49" xfId="0" applyFont="1" applyBorder="1" applyAlignment="1">
      <alignment horizontal="right" vertical="top" wrapText="1"/>
    </xf>
    <xf numFmtId="0" fontId="24" fillId="0" borderId="51" xfId="0" applyFont="1" applyBorder="1" applyAlignment="1">
      <alignment vertical="top" wrapText="1"/>
    </xf>
    <xf numFmtId="2" fontId="24" fillId="0" borderId="67" xfId="0" applyNumberFormat="1" applyFont="1" applyBorder="1" applyAlignment="1">
      <alignment horizontal="right" vertical="top" wrapText="1"/>
    </xf>
    <xf numFmtId="2" fontId="24" fillId="0" borderId="66" xfId="0" applyNumberFormat="1" applyFont="1" applyBorder="1" applyAlignment="1">
      <alignment horizontal="right" vertical="top" wrapText="1"/>
    </xf>
    <xf numFmtId="2" fontId="24" fillId="0" borderId="69" xfId="0" applyNumberFormat="1" applyFont="1" applyBorder="1" applyAlignment="1">
      <alignment horizontal="right" vertical="top" wrapText="1"/>
    </xf>
    <xf numFmtId="0" fontId="24" fillId="0" borderId="66" xfId="0" applyFont="1" applyBorder="1" applyAlignment="1">
      <alignment horizontal="center" vertical="top" wrapText="1"/>
    </xf>
    <xf numFmtId="0" fontId="24" fillId="0" borderId="41" xfId="0" applyFont="1" applyBorder="1" applyAlignment="1">
      <alignment horizontal="center" vertical="top" wrapText="1"/>
    </xf>
    <xf numFmtId="0" fontId="19" fillId="21" borderId="75" xfId="0" applyFont="1" applyFill="1" applyBorder="1" applyAlignment="1">
      <alignment horizontal="center" vertical="center" wrapText="1"/>
    </xf>
    <xf numFmtId="0" fontId="19" fillId="21" borderId="76" xfId="0" applyFont="1" applyFill="1" applyBorder="1" applyAlignment="1">
      <alignment horizontal="center" vertical="center" wrapText="1"/>
    </xf>
    <xf numFmtId="0" fontId="19" fillId="21" borderId="77" xfId="0" applyFont="1" applyFill="1" applyBorder="1" applyAlignment="1">
      <alignment horizontal="right" vertical="top" wrapText="1"/>
    </xf>
    <xf numFmtId="0" fontId="19" fillId="21" borderId="76" xfId="0" applyFont="1" applyFill="1" applyBorder="1" applyAlignment="1">
      <alignment horizontal="right" vertical="top" wrapText="1"/>
    </xf>
    <xf numFmtId="0" fontId="19" fillId="21" borderId="0" xfId="0" applyFont="1" applyFill="1" applyBorder="1" applyAlignment="1">
      <alignment horizontal="center" vertical="center" wrapText="1"/>
    </xf>
    <xf numFmtId="0" fontId="19" fillId="21" borderId="70" xfId="0" applyFont="1" applyFill="1" applyBorder="1" applyAlignment="1">
      <alignment horizontal="right" vertical="top" wrapText="1"/>
    </xf>
    <xf numFmtId="0" fontId="19" fillId="21" borderId="0" xfId="0" applyFont="1" applyFill="1" applyBorder="1" applyAlignment="1">
      <alignment horizontal="right" vertical="top" wrapText="1"/>
    </xf>
    <xf numFmtId="0" fontId="20" fillId="0" borderId="48" xfId="0" applyFont="1" applyBorder="1" applyAlignment="1">
      <alignment horizontal="right" vertical="top" wrapText="1"/>
    </xf>
    <xf numFmtId="2" fontId="22" fillId="0" borderId="50" xfId="0" applyNumberFormat="1" applyFont="1" applyBorder="1" applyAlignment="1">
      <alignment horizontal="right" vertical="top" wrapText="1"/>
    </xf>
    <xf numFmtId="2" fontId="22" fillId="0" borderId="51" xfId="0" applyNumberFormat="1" applyFont="1" applyBorder="1" applyAlignment="1">
      <alignment horizontal="right" vertical="top" wrapText="1"/>
    </xf>
    <xf numFmtId="0" fontId="24" fillId="0" borderId="32" xfId="0" applyFont="1" applyBorder="1" applyAlignment="1">
      <alignment horizontal="right" vertical="top" wrapText="1"/>
    </xf>
    <xf numFmtId="2" fontId="24" fillId="21" borderId="45" xfId="0" applyNumberFormat="1" applyFont="1" applyFill="1" applyBorder="1" applyAlignment="1">
      <alignment horizontal="right" vertical="top" wrapText="1"/>
    </xf>
    <xf numFmtId="2" fontId="24" fillId="21" borderId="0" xfId="0" applyNumberFormat="1" applyFont="1" applyFill="1" applyBorder="1" applyAlignment="1">
      <alignment horizontal="right" vertical="top" wrapText="1"/>
    </xf>
    <xf numFmtId="0" fontId="17" fillId="21" borderId="70" xfId="0" applyFont="1" applyFill="1" applyBorder="1" applyAlignment="1">
      <alignment horizontal="center" vertical="top" wrapText="1"/>
    </xf>
    <xf numFmtId="0" fontId="17" fillId="21" borderId="0" xfId="0" applyFont="1" applyFill="1" applyBorder="1" applyAlignment="1">
      <alignment horizontal="center" vertical="top" wrapText="1"/>
    </xf>
    <xf numFmtId="0" fontId="27" fillId="22" borderId="46" xfId="0" applyFont="1" applyFill="1" applyBorder="1" applyAlignment="1">
      <alignment horizontal="center" vertical="top" wrapText="1"/>
    </xf>
    <xf numFmtId="2" fontId="24" fillId="22" borderId="45" xfId="0" applyNumberFormat="1" applyFont="1" applyFill="1" applyBorder="1" applyAlignment="1">
      <alignment horizontal="right" vertical="top" wrapText="1"/>
    </xf>
    <xf numFmtId="2" fontId="24" fillId="22" borderId="0" xfId="0" applyNumberFormat="1" applyFont="1" applyFill="1" applyBorder="1" applyAlignment="1">
      <alignment horizontal="right" vertical="top" wrapText="1"/>
    </xf>
    <xf numFmtId="0" fontId="17" fillId="22" borderId="70" xfId="0" applyFont="1" applyFill="1" applyBorder="1" applyAlignment="1">
      <alignment horizontal="center" vertical="top" wrapText="1"/>
    </xf>
    <xf numFmtId="0" fontId="17" fillId="22" borderId="0" xfId="0" applyFont="1" applyFill="1" applyBorder="1" applyAlignment="1">
      <alignment horizontal="center" vertical="top" wrapText="1"/>
    </xf>
    <xf numFmtId="0" fontId="0" fillId="22" borderId="0" xfId="0" applyFill="1"/>
    <xf numFmtId="0" fontId="27" fillId="22" borderId="47" xfId="0" applyFont="1" applyFill="1" applyBorder="1" applyAlignment="1">
      <alignment horizontal="center" vertical="top" wrapText="1"/>
    </xf>
    <xf numFmtId="0" fontId="19" fillId="21" borderId="78" xfId="0" applyFont="1" applyFill="1" applyBorder="1" applyAlignment="1">
      <alignment horizontal="right" vertical="top" wrapText="1"/>
    </xf>
    <xf numFmtId="2" fontId="3" fillId="0" borderId="50" xfId="73" applyNumberFormat="1" applyBorder="1" applyAlignment="1" applyProtection="1">
      <alignment horizontal="right" vertical="top" wrapText="1"/>
    </xf>
    <xf numFmtId="0" fontId="19" fillId="21" borderId="70" xfId="0" applyFont="1" applyFill="1" applyBorder="1" applyAlignment="1">
      <alignment horizontal="center" vertical="top" wrapText="1"/>
    </xf>
    <xf numFmtId="0" fontId="19" fillId="21" borderId="0" xfId="0" applyFont="1" applyFill="1" applyBorder="1" applyAlignment="1">
      <alignment horizontal="center" vertical="top" wrapText="1"/>
    </xf>
    <xf numFmtId="0" fontId="37" fillId="0" borderId="49" xfId="0" applyFont="1" applyBorder="1" applyAlignment="1">
      <alignment horizontal="right" vertical="top" wrapText="1"/>
    </xf>
    <xf numFmtId="0" fontId="37" fillId="0" borderId="32" xfId="0" applyFont="1" applyBorder="1" applyAlignment="1">
      <alignment horizontal="right" vertical="top" wrapText="1"/>
    </xf>
    <xf numFmtId="0" fontId="33" fillId="21" borderId="47" xfId="0" applyFont="1" applyFill="1" applyBorder="1" applyAlignment="1">
      <alignment horizontal="center" vertical="top" wrapText="1"/>
    </xf>
    <xf numFmtId="0" fontId="22" fillId="0" borderId="32" xfId="0" applyFont="1" applyBorder="1" applyAlignment="1">
      <alignment horizontal="right" vertical="top" wrapText="1"/>
    </xf>
    <xf numFmtId="2" fontId="24" fillId="0" borderId="0" xfId="0" applyNumberFormat="1" applyFont="1" applyBorder="1" applyAlignment="1">
      <alignment horizontal="right" vertical="top" wrapText="1"/>
    </xf>
    <xf numFmtId="0" fontId="24" fillId="0" borderId="70" xfId="0" applyFont="1" applyBorder="1" applyAlignment="1">
      <alignment horizontal="center" vertical="top" wrapText="1"/>
    </xf>
    <xf numFmtId="0" fontId="24" fillId="0" borderId="0" xfId="0" applyFont="1" applyBorder="1" applyAlignment="1">
      <alignment horizontal="center" vertical="top" wrapText="1"/>
    </xf>
    <xf numFmtId="0" fontId="24" fillId="21" borderId="70" xfId="0" applyFont="1" applyFill="1" applyBorder="1" applyAlignment="1">
      <alignment horizontal="center" vertical="top" wrapText="1"/>
    </xf>
    <xf numFmtId="0" fontId="24" fillId="21" borderId="0" xfId="0" applyFont="1" applyFill="1" applyBorder="1" applyAlignment="1">
      <alignment horizontal="center" vertical="top" wrapText="1"/>
    </xf>
    <xf numFmtId="0" fontId="41" fillId="0" borderId="32" xfId="0" applyFont="1" applyBorder="1" applyAlignment="1">
      <alignment horizontal="center" vertical="top" wrapText="1"/>
    </xf>
    <xf numFmtId="0" fontId="41" fillId="0" borderId="53" xfId="0" applyFont="1" applyBorder="1" applyAlignment="1">
      <alignment horizontal="center" vertical="top" wrapText="1"/>
    </xf>
    <xf numFmtId="0" fontId="24" fillId="21" borderId="79" xfId="0" applyFont="1" applyFill="1" applyBorder="1" applyAlignment="1">
      <alignment horizontal="right" vertical="top" wrapText="1"/>
    </xf>
    <xf numFmtId="2" fontId="24" fillId="21" borderId="57" xfId="0" applyNumberFormat="1" applyFont="1" applyFill="1" applyBorder="1" applyAlignment="1">
      <alignment horizontal="right" vertical="top" wrapText="1"/>
    </xf>
    <xf numFmtId="2" fontId="24" fillId="21" borderId="55" xfId="0" applyNumberFormat="1" applyFont="1" applyFill="1" applyBorder="1" applyAlignment="1">
      <alignment horizontal="right" vertical="top" wrapText="1"/>
    </xf>
    <xf numFmtId="0" fontId="24" fillId="21" borderId="58" xfId="0" applyFont="1" applyFill="1" applyBorder="1" applyAlignment="1">
      <alignment horizontal="center" vertical="top" wrapText="1"/>
    </xf>
    <xf numFmtId="0" fontId="24" fillId="21" borderId="55" xfId="0" applyFont="1" applyFill="1" applyBorder="1" applyAlignment="1">
      <alignment horizontal="center" vertical="top" wrapText="1"/>
    </xf>
    <xf numFmtId="0" fontId="24" fillId="21" borderId="80" xfId="0" applyFont="1" applyFill="1" applyBorder="1" applyAlignment="1">
      <alignment horizontal="right" vertical="top" wrapText="1"/>
    </xf>
    <xf numFmtId="2" fontId="24" fillId="21" borderId="61" xfId="0" applyNumberFormat="1" applyFont="1" applyFill="1" applyBorder="1" applyAlignment="1">
      <alignment horizontal="right" vertical="top" wrapText="1"/>
    </xf>
    <xf numFmtId="2" fontId="24" fillId="21" borderId="31" xfId="0" applyNumberFormat="1" applyFont="1" applyFill="1" applyBorder="1" applyAlignment="1">
      <alignment horizontal="right" vertical="top" wrapText="1"/>
    </xf>
    <xf numFmtId="0" fontId="17" fillId="21" borderId="62" xfId="0" applyFont="1" applyFill="1" applyBorder="1" applyAlignment="1">
      <alignment horizontal="center" vertical="top" wrapText="1"/>
    </xf>
    <xf numFmtId="0" fontId="17" fillId="21" borderId="31" xfId="0" applyFont="1" applyFill="1" applyBorder="1" applyAlignment="1">
      <alignment horizontal="center" vertical="top" wrapText="1"/>
    </xf>
    <xf numFmtId="0" fontId="0" fillId="0" borderId="53" xfId="0" applyBorder="1" applyAlignment="1">
      <alignment horizontal="center" vertical="center" wrapText="1"/>
    </xf>
    <xf numFmtId="0" fontId="26" fillId="0" borderId="81" xfId="0" applyFont="1" applyBorder="1" applyAlignment="1">
      <alignment horizontal="center" vertical="top" wrapText="1"/>
    </xf>
    <xf numFmtId="0" fontId="24" fillId="0" borderId="82" xfId="0" applyFont="1" applyBorder="1" applyAlignment="1">
      <alignment vertical="top" wrapText="1"/>
    </xf>
    <xf numFmtId="0" fontId="24" fillId="0" borderId="83" xfId="0" applyFont="1" applyBorder="1" applyAlignment="1">
      <alignment horizontal="right" vertical="top" wrapText="1"/>
    </xf>
    <xf numFmtId="2" fontId="24" fillId="0" borderId="84" xfId="0" applyNumberFormat="1" applyFont="1" applyBorder="1" applyAlignment="1">
      <alignment horizontal="right" vertical="top" wrapText="1"/>
    </xf>
    <xf numFmtId="2" fontId="24" fillId="0" borderId="85" xfId="0" applyNumberFormat="1" applyFont="1" applyBorder="1" applyAlignment="1">
      <alignment horizontal="right" vertical="top" wrapText="1"/>
    </xf>
    <xf numFmtId="2" fontId="24" fillId="0" borderId="86" xfId="0" applyNumberFormat="1" applyFont="1" applyBorder="1" applyAlignment="1">
      <alignment horizontal="right" vertical="top" wrapText="1"/>
    </xf>
    <xf numFmtId="0" fontId="24" fillId="0" borderId="82" xfId="0" applyFont="1" applyBorder="1" applyAlignment="1">
      <alignment horizontal="center" vertical="top" wrapText="1"/>
    </xf>
    <xf numFmtId="0" fontId="24" fillId="0" borderId="84" xfId="0" applyFont="1" applyBorder="1" applyAlignment="1">
      <alignment horizontal="center" vertical="top" wrapText="1"/>
    </xf>
    <xf numFmtId="0" fontId="18" fillId="0" borderId="48" xfId="0" applyFont="1" applyBorder="1" applyAlignment="1">
      <alignment horizontal="center" vertical="center" wrapText="1"/>
    </xf>
    <xf numFmtId="0" fontId="19" fillId="0" borderId="74" xfId="0" applyFont="1" applyBorder="1" applyAlignment="1">
      <alignment horizontal="right" vertical="top" wrapText="1"/>
    </xf>
    <xf numFmtId="0" fontId="19" fillId="0" borderId="72" xfId="0" applyFont="1" applyBorder="1" applyAlignment="1">
      <alignment horizontal="right" vertical="top" wrapText="1"/>
    </xf>
    <xf numFmtId="0" fontId="17" fillId="0" borderId="73" xfId="0" applyFont="1" applyBorder="1" applyAlignment="1">
      <alignment horizontal="right" vertical="top" wrapText="1"/>
    </xf>
    <xf numFmtId="0" fontId="17" fillId="0" borderId="32" xfId="0" applyFont="1" applyBorder="1" applyAlignment="1">
      <alignment horizontal="right" vertical="top" wrapText="1"/>
    </xf>
    <xf numFmtId="0" fontId="19" fillId="0" borderId="32" xfId="0" applyFont="1" applyBorder="1" applyAlignment="1">
      <alignment horizontal="right" vertical="top" wrapText="1"/>
    </xf>
    <xf numFmtId="0" fontId="26" fillId="22" borderId="46" xfId="0" applyFont="1" applyFill="1" applyBorder="1" applyAlignment="1">
      <alignment horizontal="center" vertical="top" wrapText="1"/>
    </xf>
    <xf numFmtId="0" fontId="26" fillId="22" borderId="47" xfId="0" applyFont="1" applyFill="1" applyBorder="1" applyAlignment="1">
      <alignment horizontal="center" vertical="top" wrapText="1"/>
    </xf>
    <xf numFmtId="0" fontId="43" fillId="0" borderId="53" xfId="0" applyFont="1" applyBorder="1" applyAlignment="1">
      <alignment horizontal="center" vertical="top" wrapText="1"/>
    </xf>
    <xf numFmtId="0" fontId="43" fillId="0" borderId="32" xfId="0" applyFont="1" applyBorder="1" applyAlignment="1">
      <alignment horizontal="center" vertical="top" wrapText="1"/>
    </xf>
    <xf numFmtId="0" fontId="45" fillId="0" borderId="48" xfId="0" applyFont="1" applyBorder="1" applyAlignment="1">
      <alignment vertical="top" wrapText="1"/>
    </xf>
    <xf numFmtId="0" fontId="19" fillId="0" borderId="53" xfId="0" applyFont="1" applyBorder="1" applyAlignment="1">
      <alignment vertical="top" wrapText="1"/>
    </xf>
    <xf numFmtId="0" fontId="17" fillId="0" borderId="53" xfId="0" applyFont="1" applyBorder="1" applyAlignment="1">
      <alignment vertical="top" wrapText="1"/>
    </xf>
    <xf numFmtId="0" fontId="17" fillId="0" borderId="87" xfId="0" applyFont="1" applyBorder="1" applyAlignment="1">
      <alignment horizontal="right" vertical="top" wrapText="1"/>
    </xf>
    <xf numFmtId="0" fontId="19" fillId="21" borderId="88" xfId="0" applyFont="1" applyFill="1" applyBorder="1" applyAlignment="1">
      <alignment horizontal="right" vertical="top" wrapText="1"/>
    </xf>
    <xf numFmtId="2" fontId="28" fillId="0" borderId="50" xfId="0" applyNumberFormat="1" applyFont="1" applyBorder="1" applyAlignment="1">
      <alignment horizontal="right" vertical="top" wrapText="1"/>
    </xf>
    <xf numFmtId="0" fontId="24" fillId="0" borderId="73" xfId="0" applyFont="1" applyBorder="1" applyAlignment="1">
      <alignment horizontal="right" vertical="top" wrapText="1"/>
    </xf>
    <xf numFmtId="2" fontId="50" fillId="0" borderId="51" xfId="0" applyNumberFormat="1" applyFont="1" applyBorder="1" applyAlignment="1">
      <alignment horizontal="center" vertical="center" wrapText="1"/>
    </xf>
    <xf numFmtId="0" fontId="17" fillId="0" borderId="53" xfId="0" applyFont="1" applyFill="1" applyBorder="1" applyAlignment="1">
      <alignment horizontal="center" vertical="top" wrapText="1"/>
    </xf>
    <xf numFmtId="0" fontId="17" fillId="0" borderId="32" xfId="0" applyFont="1" applyFill="1" applyBorder="1" applyAlignment="1">
      <alignment horizontal="center" vertical="top" wrapText="1"/>
    </xf>
    <xf numFmtId="2" fontId="25" fillId="0" borderId="32" xfId="0" applyNumberFormat="1" applyFont="1" applyBorder="1" applyAlignment="1">
      <alignment horizontal="center" vertical="top" wrapText="1"/>
    </xf>
    <xf numFmtId="2" fontId="22" fillId="0" borderId="50" xfId="0" applyNumberFormat="1" applyFont="1" applyFill="1" applyBorder="1" applyAlignment="1">
      <alignment horizontal="right" vertical="top" wrapText="1"/>
    </xf>
    <xf numFmtId="2" fontId="24" fillId="0" borderId="50" xfId="0" applyNumberFormat="1" applyFont="1" applyFill="1" applyBorder="1" applyAlignment="1">
      <alignment horizontal="right" vertical="top" wrapText="1"/>
    </xf>
    <xf numFmtId="0" fontId="27" fillId="0" borderId="46" xfId="0" applyFont="1" applyBorder="1" applyAlignment="1">
      <alignment horizontal="center" vertical="top" wrapText="1"/>
    </xf>
    <xf numFmtId="0" fontId="24" fillId="0" borderId="58" xfId="0" applyFont="1" applyBorder="1" applyAlignment="1">
      <alignment vertical="top" wrapText="1"/>
    </xf>
    <xf numFmtId="2" fontId="22" fillId="0" borderId="54" xfId="0" applyNumberFormat="1" applyFont="1" applyBorder="1" applyAlignment="1">
      <alignment horizontal="right" vertical="top" wrapText="1"/>
    </xf>
    <xf numFmtId="2" fontId="22" fillId="0" borderId="55" xfId="0" applyNumberFormat="1" applyFont="1" applyBorder="1" applyAlignment="1">
      <alignment horizontal="right" vertical="top" wrapText="1"/>
    </xf>
    <xf numFmtId="2" fontId="22" fillId="0" borderId="56" xfId="0" applyNumberFormat="1" applyFont="1" applyFill="1" applyBorder="1" applyAlignment="1">
      <alignment horizontal="right" vertical="top" wrapText="1"/>
    </xf>
    <xf numFmtId="2" fontId="25" fillId="0" borderId="57" xfId="0" applyNumberFormat="1" applyFont="1" applyBorder="1" applyAlignment="1">
      <alignment horizontal="center" vertical="top" wrapText="1"/>
    </xf>
    <xf numFmtId="0" fontId="51" fillId="0" borderId="55" xfId="0" applyFont="1" applyBorder="1" applyAlignment="1">
      <alignment horizontal="center" vertical="top" wrapText="1"/>
    </xf>
    <xf numFmtId="0" fontId="51" fillId="0" borderId="58" xfId="0" applyFont="1" applyBorder="1" applyAlignment="1">
      <alignment horizontal="center" vertical="top" wrapText="1"/>
    </xf>
    <xf numFmtId="0" fontId="27" fillId="0" borderId="89" xfId="0" applyFont="1" applyBorder="1" applyAlignment="1">
      <alignment horizontal="center" vertical="top" wrapText="1"/>
    </xf>
    <xf numFmtId="0" fontId="24" fillId="0" borderId="90" xfId="0" applyFont="1" applyBorder="1" applyAlignment="1">
      <alignment vertical="top" wrapText="1"/>
    </xf>
    <xf numFmtId="2" fontId="22" fillId="0" borderId="91" xfId="0" applyNumberFormat="1" applyFont="1" applyBorder="1" applyAlignment="1">
      <alignment horizontal="right" vertical="top" wrapText="1"/>
    </xf>
    <xf numFmtId="2" fontId="22" fillId="0" borderId="92" xfId="0" applyNumberFormat="1" applyFont="1" applyBorder="1" applyAlignment="1">
      <alignment horizontal="right" vertical="top" wrapText="1"/>
    </xf>
    <xf numFmtId="2" fontId="22" fillId="0" borderId="93" xfId="0" applyNumberFormat="1" applyFont="1" applyFill="1" applyBorder="1" applyAlignment="1">
      <alignment horizontal="right" vertical="top" wrapText="1"/>
    </xf>
    <xf numFmtId="2" fontId="25" fillId="0" borderId="94" xfId="0" applyNumberFormat="1" applyFont="1" applyBorder="1" applyAlignment="1">
      <alignment horizontal="center" vertical="top" wrapText="1"/>
    </xf>
    <xf numFmtId="0" fontId="51" fillId="0" borderId="92" xfId="0" applyFont="1" applyBorder="1" applyAlignment="1">
      <alignment horizontal="center" vertical="top" wrapText="1"/>
    </xf>
    <xf numFmtId="0" fontId="51" fillId="0" borderId="90" xfId="0" applyFont="1" applyBorder="1" applyAlignment="1">
      <alignment horizontal="center" vertical="top" wrapText="1"/>
    </xf>
    <xf numFmtId="0" fontId="17" fillId="21" borderId="45" xfId="0" applyFont="1" applyFill="1" applyBorder="1" applyAlignment="1">
      <alignment horizontal="center" vertical="top" wrapText="1"/>
    </xf>
    <xf numFmtId="0" fontId="0" fillId="21" borderId="75" xfId="0" applyFill="1" applyBorder="1" applyAlignment="1">
      <alignment horizontal="center" vertical="center" wrapText="1"/>
    </xf>
    <xf numFmtId="0" fontId="0" fillId="21" borderId="76" xfId="0" applyFill="1" applyBorder="1" applyAlignment="1">
      <alignment horizontal="center" vertical="center" wrapText="1"/>
    </xf>
    <xf numFmtId="0" fontId="0" fillId="21" borderId="77" xfId="0" applyFill="1" applyBorder="1" applyAlignment="1">
      <alignment horizontal="center" vertical="center" wrapText="1"/>
    </xf>
    <xf numFmtId="0" fontId="17" fillId="21" borderId="51" xfId="0" applyFont="1" applyFill="1" applyBorder="1" applyAlignment="1">
      <alignment horizontal="center" vertical="top" wrapText="1"/>
    </xf>
    <xf numFmtId="0" fontId="52" fillId="0" borderId="53" xfId="0" applyFont="1" applyBorder="1" applyAlignment="1">
      <alignment horizontal="center" vertical="top" wrapText="1"/>
    </xf>
    <xf numFmtId="0" fontId="52" fillId="0" borderId="32" xfId="0" applyFont="1" applyBorder="1" applyAlignment="1">
      <alignment horizontal="center" vertical="top" wrapText="1"/>
    </xf>
    <xf numFmtId="0" fontId="17" fillId="21" borderId="48" xfId="0" applyFont="1" applyFill="1" applyBorder="1" applyAlignment="1">
      <alignment horizontal="center" vertical="top" wrapText="1"/>
    </xf>
    <xf numFmtId="2" fontId="22" fillId="0" borderId="64" xfId="0" applyNumberFormat="1" applyFont="1" applyBorder="1" applyAlignment="1">
      <alignment horizontal="right" vertical="top" wrapText="1"/>
    </xf>
    <xf numFmtId="2" fontId="22" fillId="0" borderId="87" xfId="0" applyNumberFormat="1" applyFont="1" applyBorder="1" applyAlignment="1">
      <alignment horizontal="right" vertical="top" wrapText="1"/>
    </xf>
    <xf numFmtId="2" fontId="24" fillId="0" borderId="55" xfId="0" applyNumberFormat="1" applyFont="1" applyBorder="1" applyAlignment="1">
      <alignment horizontal="right" vertical="top" wrapText="1"/>
    </xf>
    <xf numFmtId="0" fontId="24" fillId="0" borderId="58" xfId="0" applyFont="1" applyBorder="1" applyAlignment="1">
      <alignment horizontal="center" vertical="top" wrapText="1"/>
    </xf>
    <xf numFmtId="0" fontId="24" fillId="0" borderId="55" xfId="0" applyFont="1" applyBorder="1" applyAlignment="1">
      <alignment horizontal="center" vertical="top" wrapText="1"/>
    </xf>
    <xf numFmtId="2" fontId="22" fillId="0" borderId="84" xfId="0" applyNumberFormat="1" applyFont="1" applyBorder="1" applyAlignment="1">
      <alignment horizontal="right" vertical="top" wrapText="1"/>
    </xf>
    <xf numFmtId="2" fontId="22" fillId="0" borderId="95" xfId="0" applyNumberFormat="1" applyFont="1" applyBorder="1" applyAlignment="1">
      <alignment horizontal="right" vertical="top" wrapText="1"/>
    </xf>
    <xf numFmtId="2" fontId="22" fillId="21" borderId="45" xfId="0" applyNumberFormat="1" applyFont="1" applyFill="1" applyBorder="1" applyAlignment="1">
      <alignment horizontal="right" vertical="top" wrapText="1"/>
    </xf>
    <xf numFmtId="2" fontId="22" fillId="21" borderId="0" xfId="0" applyNumberFormat="1" applyFont="1" applyFill="1" applyBorder="1" applyAlignment="1">
      <alignment horizontal="right" vertical="top" wrapText="1"/>
    </xf>
    <xf numFmtId="2" fontId="28" fillId="0" borderId="49" xfId="0" applyNumberFormat="1" applyFont="1" applyBorder="1" applyAlignment="1">
      <alignment horizontal="right" vertical="top" wrapText="1"/>
    </xf>
    <xf numFmtId="0" fontId="26" fillId="0" borderId="44" xfId="0" applyFont="1" applyBorder="1" applyAlignment="1">
      <alignment horizontal="center" vertical="top" wrapText="1"/>
    </xf>
    <xf numFmtId="0" fontId="24" fillId="0" borderId="70" xfId="0" applyFont="1" applyBorder="1" applyAlignment="1">
      <alignment vertical="top" wrapText="1"/>
    </xf>
    <xf numFmtId="0" fontId="16" fillId="21" borderId="0" xfId="0" applyFont="1" applyFill="1" applyBorder="1" applyAlignment="1">
      <alignment horizontal="center" vertical="top" wrapText="1"/>
    </xf>
    <xf numFmtId="0" fontId="16" fillId="21" borderId="52" xfId="0" applyFont="1" applyFill="1" applyBorder="1" applyAlignment="1">
      <alignment horizontal="center" vertical="top" wrapText="1"/>
    </xf>
    <xf numFmtId="0" fontId="0" fillId="21" borderId="0" xfId="0" applyFill="1" applyBorder="1" applyAlignment="1">
      <alignment horizontal="center" vertical="center" wrapText="1"/>
    </xf>
    <xf numFmtId="0" fontId="0" fillId="21" borderId="70" xfId="0" applyFill="1" applyBorder="1" applyAlignment="1">
      <alignment horizontal="center" vertical="center" wrapText="1"/>
    </xf>
    <xf numFmtId="0" fontId="16" fillId="0" borderId="50" xfId="0" applyFont="1" applyBorder="1" applyAlignment="1">
      <alignment horizontal="center" vertical="top" wrapText="1"/>
    </xf>
    <xf numFmtId="0" fontId="0" fillId="0" borderId="32" xfId="0" applyBorder="1" applyAlignment="1">
      <alignment horizontal="center" vertical="center" wrapText="1"/>
    </xf>
    <xf numFmtId="0" fontId="16" fillId="0" borderId="32" xfId="0" applyFont="1" applyBorder="1" applyAlignment="1">
      <alignment horizontal="center" vertical="top" wrapText="1"/>
    </xf>
    <xf numFmtId="0" fontId="27" fillId="21" borderId="44" xfId="0" applyFont="1" applyFill="1" applyBorder="1" applyAlignment="1">
      <alignment horizontal="center" vertical="top" wrapText="1"/>
    </xf>
    <xf numFmtId="2" fontId="37" fillId="21" borderId="78" xfId="0" applyNumberFormat="1" applyFont="1" applyFill="1" applyBorder="1" applyAlignment="1">
      <alignment horizontal="right" vertical="top" wrapText="1"/>
    </xf>
    <xf numFmtId="2" fontId="16" fillId="0" borderId="96" xfId="0" applyNumberFormat="1" applyFont="1" applyBorder="1" applyAlignment="1">
      <alignment horizontal="center" vertical="top" wrapText="1"/>
    </xf>
    <xf numFmtId="0" fontId="16" fillId="0" borderId="0" xfId="0" applyFont="1" applyBorder="1" applyAlignment="1">
      <alignment horizontal="center" vertical="top" wrapText="1"/>
    </xf>
    <xf numFmtId="0" fontId="16" fillId="0" borderId="52" xfId="0" applyFont="1" applyBorder="1" applyAlignment="1">
      <alignment horizontal="center" vertical="top" wrapText="1"/>
    </xf>
    <xf numFmtId="0" fontId="19" fillId="21" borderId="97" xfId="0" applyFont="1" applyFill="1" applyBorder="1" applyAlignment="1">
      <alignment horizontal="right" vertical="top" wrapText="1"/>
    </xf>
    <xf numFmtId="0" fontId="19" fillId="21" borderId="58" xfId="0" applyFont="1" applyFill="1" applyBorder="1" applyAlignment="1">
      <alignment horizontal="center" vertical="top" wrapText="1"/>
    </xf>
    <xf numFmtId="0" fontId="19" fillId="21" borderId="55" xfId="0" applyFont="1" applyFill="1" applyBorder="1" applyAlignment="1">
      <alignment horizontal="center" vertical="top" wrapText="1"/>
    </xf>
    <xf numFmtId="0" fontId="24" fillId="0" borderId="53" xfId="0" applyFont="1" applyBorder="1" applyAlignment="1">
      <alignment horizontal="right" vertical="top" wrapText="1"/>
    </xf>
    <xf numFmtId="0" fontId="19" fillId="0" borderId="53" xfId="0" applyFont="1" applyBorder="1" applyAlignment="1">
      <alignment horizontal="right" vertical="top" wrapText="1"/>
    </xf>
    <xf numFmtId="0" fontId="24" fillId="0" borderId="53" xfId="0" applyFont="1" applyBorder="1" applyAlignment="1">
      <alignment horizontal="justify" vertical="top" wrapText="1"/>
    </xf>
    <xf numFmtId="0" fontId="45" fillId="0" borderId="53" xfId="0" applyFont="1" applyBorder="1" applyAlignment="1">
      <alignment vertical="top" wrapText="1"/>
    </xf>
    <xf numFmtId="0" fontId="24" fillId="0" borderId="53" xfId="0" applyFont="1" applyBorder="1" applyAlignment="1">
      <alignment horizontal="left" vertical="top" wrapText="1"/>
    </xf>
    <xf numFmtId="0" fontId="26" fillId="0" borderId="89" xfId="0" applyFont="1" applyBorder="1" applyAlignment="1">
      <alignment horizontal="center" vertical="top" wrapText="1"/>
    </xf>
    <xf numFmtId="0" fontId="24" fillId="0" borderId="91" xfId="0" applyFont="1" applyBorder="1" applyAlignment="1">
      <alignment horizontal="right" vertical="top" wrapText="1"/>
    </xf>
    <xf numFmtId="2" fontId="24" fillId="0" borderId="92" xfId="0" applyNumberFormat="1" applyFont="1" applyBorder="1" applyAlignment="1">
      <alignment horizontal="right" vertical="top" wrapText="1"/>
    </xf>
    <xf numFmtId="2" fontId="24" fillId="0" borderId="93" xfId="0" applyNumberFormat="1" applyFont="1" applyBorder="1" applyAlignment="1">
      <alignment horizontal="right" vertical="top" wrapText="1"/>
    </xf>
    <xf numFmtId="2" fontId="24" fillId="0" borderId="94" xfId="0" applyNumberFormat="1" applyFont="1" applyBorder="1" applyAlignment="1">
      <alignment horizontal="right" vertical="top" wrapText="1"/>
    </xf>
    <xf numFmtId="0" fontId="24" fillId="0" borderId="90" xfId="0" applyFont="1" applyBorder="1" applyAlignment="1">
      <alignment horizontal="center" vertical="top" wrapText="1"/>
    </xf>
    <xf numFmtId="0" fontId="24" fillId="0" borderId="92" xfId="0" applyFont="1" applyBorder="1" applyAlignment="1">
      <alignment horizontal="center" vertical="top" wrapText="1"/>
    </xf>
    <xf numFmtId="0" fontId="19" fillId="21" borderId="98" xfId="0" applyFont="1" applyFill="1" applyBorder="1" applyAlignment="1">
      <alignment horizontal="right" vertical="top" wrapText="1"/>
    </xf>
    <xf numFmtId="0" fontId="19" fillId="21" borderId="99" xfId="0" applyFont="1" applyFill="1" applyBorder="1" applyAlignment="1">
      <alignment horizontal="center" vertical="top" wrapText="1"/>
    </xf>
    <xf numFmtId="0" fontId="0" fillId="21" borderId="45" xfId="0" applyFill="1" applyBorder="1"/>
    <xf numFmtId="0" fontId="0" fillId="21" borderId="0" xfId="0" applyFill="1" applyBorder="1"/>
    <xf numFmtId="0" fontId="0" fillId="21" borderId="70" xfId="0" applyFill="1" applyBorder="1"/>
    <xf numFmtId="2" fontId="19" fillId="21" borderId="80" xfId="0" applyNumberFormat="1" applyFont="1" applyFill="1" applyBorder="1" applyAlignment="1">
      <alignment horizontal="right" vertical="top" wrapText="1"/>
    </xf>
    <xf numFmtId="0" fontId="19" fillId="21" borderId="100" xfId="0" applyFont="1" applyFill="1" applyBorder="1" applyAlignment="1">
      <alignment horizontal="right" vertical="top" wrapText="1"/>
    </xf>
    <xf numFmtId="0" fontId="0" fillId="21" borderId="61" xfId="0" applyFill="1" applyBorder="1"/>
    <xf numFmtId="0" fontId="0" fillId="21" borderId="31" xfId="0" applyFill="1" applyBorder="1"/>
    <xf numFmtId="0" fontId="0" fillId="21" borderId="62" xfId="0" applyFill="1" applyBorder="1"/>
    <xf numFmtId="0" fontId="0" fillId="0" borderId="48" xfId="0" applyBorder="1" applyAlignment="1">
      <alignment vertical="top" wrapText="1"/>
    </xf>
    <xf numFmtId="0" fontId="19" fillId="0" borderId="50" xfId="0" applyFont="1" applyBorder="1" applyAlignment="1">
      <alignment horizontal="center" vertical="top" wrapText="1"/>
    </xf>
    <xf numFmtId="0" fontId="0" fillId="0" borderId="51" xfId="0" applyBorder="1"/>
    <xf numFmtId="0" fontId="0" fillId="0" borderId="32" xfId="0" applyBorder="1"/>
    <xf numFmtId="0" fontId="0" fillId="0" borderId="53" xfId="0" applyBorder="1"/>
    <xf numFmtId="0" fontId="19" fillId="21" borderId="96" xfId="0" applyFont="1" applyFill="1" applyBorder="1" applyAlignment="1">
      <alignment horizontal="center" vertical="top" wrapText="1"/>
    </xf>
    <xf numFmtId="0" fontId="19" fillId="21" borderId="52" xfId="0" applyFont="1" applyFill="1" applyBorder="1" applyAlignment="1">
      <alignment horizontal="center" vertical="top" wrapText="1"/>
    </xf>
    <xf numFmtId="0" fontId="17" fillId="21" borderId="59" xfId="0" applyFont="1" applyFill="1" applyBorder="1" applyAlignment="1">
      <alignment horizontal="center" vertical="top" wrapText="1"/>
    </xf>
    <xf numFmtId="0" fontId="26" fillId="0" borderId="51" xfId="0" applyFont="1" applyBorder="1" applyAlignment="1">
      <alignment horizontal="center" vertical="top" wrapText="1"/>
    </xf>
    <xf numFmtId="0" fontId="24" fillId="0" borderId="55" xfId="0" applyFont="1" applyBorder="1" applyAlignment="1">
      <alignment vertical="top" wrapText="1"/>
    </xf>
    <xf numFmtId="0" fontId="45" fillId="0" borderId="55" xfId="0" applyFont="1" applyBorder="1" applyAlignment="1">
      <alignment vertical="top" wrapText="1"/>
    </xf>
    <xf numFmtId="2" fontId="22" fillId="0" borderId="101" xfId="0" applyNumberFormat="1" applyFont="1" applyBorder="1" applyAlignment="1">
      <alignment horizontal="right" vertical="top" wrapText="1"/>
    </xf>
    <xf numFmtId="0" fontId="17" fillId="21" borderId="78" xfId="0" applyFont="1" applyFill="1" applyBorder="1" applyAlignment="1">
      <alignment horizontal="center" vertical="top" wrapText="1"/>
    </xf>
    <xf numFmtId="0" fontId="26" fillId="0" borderId="48" xfId="0" applyFont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9" fillId="0" borderId="50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7" fillId="0" borderId="50" xfId="0" applyFont="1" applyBorder="1" applyAlignment="1">
      <alignment horizontal="center" vertical="top" wrapText="1"/>
    </xf>
    <xf numFmtId="0" fontId="24" fillId="0" borderId="87" xfId="0" applyFont="1" applyBorder="1" applyAlignment="1">
      <alignment horizontal="right" vertical="top" wrapText="1"/>
    </xf>
    <xf numFmtId="0" fontId="19" fillId="0" borderId="101" xfId="0" applyFont="1" applyBorder="1" applyAlignment="1">
      <alignment horizontal="right" vertical="top" wrapText="1"/>
    </xf>
    <xf numFmtId="0" fontId="17" fillId="21" borderId="52" xfId="0" applyFont="1" applyFill="1" applyBorder="1" applyAlignment="1">
      <alignment horizontal="center" vertical="top" wrapText="1"/>
    </xf>
    <xf numFmtId="0" fontId="40" fillId="0" borderId="32" xfId="0" applyFont="1" applyBorder="1" applyAlignment="1">
      <alignment horizontal="center" vertical="top" wrapText="1"/>
    </xf>
    <xf numFmtId="0" fontId="40" fillId="0" borderId="53" xfId="0" applyFont="1" applyBorder="1" applyAlignment="1">
      <alignment horizontal="center" vertical="top" wrapText="1"/>
    </xf>
    <xf numFmtId="0" fontId="19" fillId="0" borderId="51" xfId="0" applyFont="1" applyBorder="1" applyAlignment="1">
      <alignment horizontal="right" vertical="top" wrapText="1"/>
    </xf>
    <xf numFmtId="0" fontId="39" fillId="0" borderId="32" xfId="0" applyFont="1" applyBorder="1" applyAlignment="1">
      <alignment horizontal="center" vertical="top" wrapText="1"/>
    </xf>
    <xf numFmtId="0" fontId="19" fillId="22" borderId="0" xfId="0" applyFont="1" applyFill="1" applyAlignment="1">
      <alignment horizontal="right" vertical="top" wrapText="1"/>
    </xf>
    <xf numFmtId="0" fontId="19" fillId="22" borderId="56" xfId="0" applyFont="1" applyFill="1" applyBorder="1" applyAlignment="1">
      <alignment horizontal="center" vertical="top" wrapText="1"/>
    </xf>
    <xf numFmtId="0" fontId="0" fillId="22" borderId="57" xfId="0" applyFill="1" applyBorder="1"/>
    <xf numFmtId="0" fontId="0" fillId="22" borderId="55" xfId="0" applyFill="1" applyBorder="1"/>
    <xf numFmtId="0" fontId="0" fillId="22" borderId="58" xfId="0" applyFill="1" applyBorder="1"/>
    <xf numFmtId="0" fontId="17" fillId="22" borderId="0" xfId="0" applyFont="1" applyFill="1" applyAlignment="1">
      <alignment horizontal="center" vertical="top" wrapText="1"/>
    </xf>
    <xf numFmtId="0" fontId="19" fillId="22" borderId="60" xfId="0" applyFont="1" applyFill="1" applyBorder="1" applyAlignment="1">
      <alignment horizontal="center" vertical="top" wrapText="1"/>
    </xf>
    <xf numFmtId="0" fontId="0" fillId="22" borderId="61" xfId="0" applyFill="1" applyBorder="1"/>
    <xf numFmtId="0" fontId="0" fillId="22" borderId="31" xfId="0" applyFill="1" applyBorder="1"/>
    <xf numFmtId="0" fontId="0" fillId="22" borderId="62" xfId="0" applyFill="1" applyBorder="1"/>
    <xf numFmtId="0" fontId="17" fillId="0" borderId="51" xfId="0" applyFont="1" applyBorder="1" applyAlignment="1">
      <alignment horizontal="center" vertical="top" wrapText="1"/>
    </xf>
    <xf numFmtId="0" fontId="20" fillId="0" borderId="32" xfId="0" applyFont="1" applyBorder="1" applyAlignment="1">
      <alignment horizontal="right" vertical="top" wrapText="1"/>
    </xf>
    <xf numFmtId="0" fontId="20" fillId="0" borderId="101" xfId="0" applyFont="1" applyBorder="1" applyAlignment="1">
      <alignment horizontal="right" vertical="top" wrapText="1"/>
    </xf>
    <xf numFmtId="0" fontId="54" fillId="0" borderId="48" xfId="0" applyFont="1" applyBorder="1" applyAlignment="1">
      <alignment horizontal="left" vertical="top" wrapText="1"/>
    </xf>
    <xf numFmtId="2" fontId="30" fillId="0" borderId="32" xfId="0" applyNumberFormat="1" applyFont="1" applyBorder="1" applyAlignment="1">
      <alignment horizontal="right" vertical="top" wrapText="1"/>
    </xf>
    <xf numFmtId="2" fontId="30" fillId="0" borderId="101" xfId="0" applyNumberFormat="1" applyFont="1" applyBorder="1" applyAlignment="1">
      <alignment horizontal="right" vertical="top" wrapText="1"/>
    </xf>
    <xf numFmtId="2" fontId="30" fillId="22" borderId="55" xfId="0" applyNumberFormat="1" applyFont="1" applyFill="1" applyBorder="1" applyAlignment="1">
      <alignment horizontal="right" vertical="top" wrapText="1"/>
    </xf>
    <xf numFmtId="2" fontId="30" fillId="22" borderId="102" xfId="0" applyNumberFormat="1" applyFont="1" applyFill="1" applyBorder="1" applyAlignment="1">
      <alignment horizontal="right" vertical="top" wrapText="1"/>
    </xf>
    <xf numFmtId="2" fontId="30" fillId="22" borderId="31" xfId="0" applyNumberFormat="1" applyFont="1" applyFill="1" applyBorder="1" applyAlignment="1">
      <alignment horizontal="right" vertical="top" wrapText="1"/>
    </xf>
    <xf numFmtId="2" fontId="30" fillId="22" borderId="100" xfId="0" applyNumberFormat="1" applyFont="1" applyFill="1" applyBorder="1" applyAlignment="1">
      <alignment horizontal="right" vertical="top" wrapText="1"/>
    </xf>
    <xf numFmtId="0" fontId="24" fillId="0" borderId="48" xfId="0" applyFont="1" applyBorder="1" applyAlignment="1">
      <alignment horizontal="left" vertical="center" wrapText="1"/>
    </xf>
    <xf numFmtId="0" fontId="20" fillId="0" borderId="103" xfId="0" applyFont="1" applyBorder="1" applyAlignment="1">
      <alignment horizontal="right" vertical="top" wrapText="1"/>
    </xf>
    <xf numFmtId="0" fontId="54" fillId="0" borderId="36" xfId="0" applyFont="1" applyBorder="1" applyAlignment="1">
      <alignment horizontal="left" vertical="top" wrapText="1"/>
    </xf>
    <xf numFmtId="0" fontId="19" fillId="0" borderId="104" xfId="0" applyFont="1" applyBorder="1" applyAlignment="1">
      <alignment horizontal="right" vertical="top" wrapText="1"/>
    </xf>
    <xf numFmtId="0" fontId="19" fillId="0" borderId="105" xfId="0" applyFont="1" applyBorder="1" applyAlignment="1">
      <alignment horizontal="right" vertical="top" wrapText="1"/>
    </xf>
    <xf numFmtId="0" fontId="19" fillId="0" borderId="68" xfId="0" applyFont="1" applyBorder="1" applyAlignment="1">
      <alignment horizontal="center" vertical="top" wrapText="1"/>
    </xf>
    <xf numFmtId="0" fontId="0" fillId="0" borderId="103" xfId="0" applyBorder="1"/>
    <xf numFmtId="0" fontId="0" fillId="0" borderId="104" xfId="0" applyBorder="1"/>
    <xf numFmtId="0" fontId="0" fillId="0" borderId="43" xfId="0" applyBorder="1"/>
    <xf numFmtId="2" fontId="37" fillId="0" borderId="32" xfId="0" applyNumberFormat="1" applyFont="1" applyBorder="1" applyAlignment="1">
      <alignment horizontal="right" vertical="top" wrapText="1"/>
    </xf>
    <xf numFmtId="0" fontId="17" fillId="0" borderId="45" xfId="0" applyFont="1" applyBorder="1" applyAlignment="1">
      <alignment horizontal="center" vertical="top" wrapText="1"/>
    </xf>
    <xf numFmtId="2" fontId="37" fillId="21" borderId="0" xfId="0" applyNumberFormat="1" applyFont="1" applyFill="1" applyAlignment="1">
      <alignment horizontal="right" vertical="top" wrapText="1"/>
    </xf>
    <xf numFmtId="0" fontId="0" fillId="0" borderId="48" xfId="0" applyBorder="1" applyAlignment="1">
      <alignment horizontal="center" vertical="center" wrapText="1"/>
    </xf>
    <xf numFmtId="2" fontId="37" fillId="21" borderId="32" xfId="0" applyNumberFormat="1" applyFont="1" applyFill="1" applyBorder="1" applyAlignment="1">
      <alignment horizontal="right" vertical="top" wrapText="1"/>
    </xf>
    <xf numFmtId="0" fontId="19" fillId="21" borderId="101" xfId="0" applyFont="1" applyFill="1" applyBorder="1" applyAlignment="1">
      <alignment horizontal="right" vertical="top" wrapText="1"/>
    </xf>
    <xf numFmtId="0" fontId="19" fillId="21" borderId="50" xfId="0" applyFont="1" applyFill="1" applyBorder="1" applyAlignment="1">
      <alignment horizontal="center" vertical="top" wrapText="1"/>
    </xf>
    <xf numFmtId="0" fontId="0" fillId="21" borderId="51" xfId="0" applyFill="1" applyBorder="1"/>
    <xf numFmtId="0" fontId="0" fillId="21" borderId="32" xfId="0" applyFill="1" applyBorder="1"/>
    <xf numFmtId="0" fontId="0" fillId="21" borderId="53" xfId="0" applyFill="1" applyBorder="1"/>
    <xf numFmtId="0" fontId="0" fillId="21" borderId="57" xfId="0" applyFill="1" applyBorder="1"/>
    <xf numFmtId="0" fontId="0" fillId="21" borderId="55" xfId="0" applyFill="1" applyBorder="1"/>
    <xf numFmtId="0" fontId="0" fillId="21" borderId="58" xfId="0" applyFill="1" applyBorder="1"/>
    <xf numFmtId="0" fontId="24" fillId="0" borderId="101" xfId="0" applyFont="1" applyBorder="1" applyAlignment="1">
      <alignment horizontal="right" vertical="top" wrapText="1"/>
    </xf>
    <xf numFmtId="0" fontId="20" fillId="0" borderId="51" xfId="0" applyFont="1" applyBorder="1" applyAlignment="1">
      <alignment horizontal="right" vertical="top" wrapText="1"/>
    </xf>
    <xf numFmtId="0" fontId="16" fillId="0" borderId="48" xfId="0" applyFont="1" applyBorder="1" applyAlignment="1">
      <alignment horizontal="center" vertical="top" wrapText="1"/>
    </xf>
    <xf numFmtId="2" fontId="37" fillId="0" borderId="87" xfId="0" applyNumberFormat="1" applyFont="1" applyBorder="1" applyAlignment="1">
      <alignment horizontal="right" vertical="top" wrapText="1"/>
    </xf>
    <xf numFmtId="0" fontId="16" fillId="0" borderId="36" xfId="0" applyFont="1" applyBorder="1" applyAlignment="1">
      <alignment horizontal="center" vertical="top" wrapText="1"/>
    </xf>
    <xf numFmtId="0" fontId="19" fillId="0" borderId="106" xfId="0" applyFont="1" applyBorder="1" applyAlignment="1">
      <alignment horizontal="center" vertical="top" wrapText="1"/>
    </xf>
    <xf numFmtId="0" fontId="0" fillId="0" borderId="45" xfId="0" applyBorder="1"/>
    <xf numFmtId="0" fontId="24" fillId="0" borderId="46" xfId="0" applyFont="1" applyBorder="1" applyAlignment="1">
      <alignment vertical="top" wrapText="1"/>
    </xf>
    <xf numFmtId="2" fontId="22" fillId="0" borderId="102" xfId="0" applyNumberFormat="1" applyFont="1" applyBorder="1" applyAlignment="1">
      <alignment horizontal="right" vertical="top" wrapText="1"/>
    </xf>
    <xf numFmtId="0" fontId="19" fillId="0" borderId="56" xfId="0" applyFont="1" applyBorder="1" applyAlignment="1">
      <alignment horizontal="center" vertical="top" wrapText="1"/>
    </xf>
    <xf numFmtId="0" fontId="0" fillId="0" borderId="70" xfId="0" applyBorder="1"/>
    <xf numFmtId="0" fontId="24" fillId="0" borderId="89" xfId="0" applyFont="1" applyBorder="1" applyAlignment="1">
      <alignment vertical="top" wrapText="1"/>
    </xf>
    <xf numFmtId="2" fontId="22" fillId="0" borderId="107" xfId="0" applyNumberFormat="1" applyFont="1" applyBorder="1" applyAlignment="1">
      <alignment horizontal="right" vertical="top" wrapText="1"/>
    </xf>
    <xf numFmtId="0" fontId="19" fillId="0" borderId="93" xfId="0" applyFont="1" applyBorder="1" applyAlignment="1">
      <alignment horizontal="center" vertical="top" wrapText="1"/>
    </xf>
    <xf numFmtId="0" fontId="0" fillId="0" borderId="57" xfId="0" applyBorder="1"/>
    <xf numFmtId="0" fontId="0" fillId="0" borderId="55" xfId="0" applyBorder="1"/>
    <xf numFmtId="0" fontId="0" fillId="0" borderId="58" xfId="0" applyBorder="1"/>
    <xf numFmtId="0" fontId="0" fillId="0" borderId="94" xfId="0" applyBorder="1"/>
    <xf numFmtId="0" fontId="0" fillId="0" borderId="92" xfId="0" applyBorder="1"/>
    <xf numFmtId="0" fontId="0" fillId="0" borderId="90" xfId="0" applyBorder="1"/>
    <xf numFmtId="2" fontId="22" fillId="0" borderId="78" xfId="0" applyNumberFormat="1" applyFont="1" applyBorder="1" applyAlignment="1">
      <alignment horizontal="right" vertical="top" wrapText="1"/>
    </xf>
    <xf numFmtId="0" fontId="0" fillId="0" borderId="36" xfId="0" applyBorder="1" applyAlignment="1">
      <alignment horizontal="center"/>
    </xf>
    <xf numFmtId="0" fontId="0" fillId="0" borderId="108" xfId="0" applyBorder="1"/>
    <xf numFmtId="2" fontId="37" fillId="22" borderId="78" xfId="0" applyNumberFormat="1" applyFont="1" applyFill="1" applyBorder="1" applyAlignment="1">
      <alignment horizontal="right" vertical="top" wrapText="1"/>
    </xf>
    <xf numFmtId="0" fontId="19" fillId="22" borderId="97" xfId="0" applyFont="1" applyFill="1" applyBorder="1" applyAlignment="1">
      <alignment horizontal="right" vertical="top" wrapText="1"/>
    </xf>
    <xf numFmtId="0" fontId="19" fillId="22" borderId="52" xfId="0" applyFont="1" applyFill="1" applyBorder="1" applyAlignment="1">
      <alignment horizontal="center" vertical="top" wrapText="1"/>
    </xf>
    <xf numFmtId="0" fontId="0" fillId="22" borderId="45" xfId="0" applyFill="1" applyBorder="1"/>
    <xf numFmtId="0" fontId="0" fillId="22" borderId="0" xfId="0" applyFill="1" applyBorder="1"/>
    <xf numFmtId="0" fontId="0" fillId="22" borderId="70" xfId="0" applyFill="1" applyBorder="1"/>
    <xf numFmtId="0" fontId="20" fillId="22" borderId="51" xfId="0" applyFont="1" applyFill="1" applyBorder="1" applyAlignment="1">
      <alignment horizontal="right" vertical="top" wrapText="1"/>
    </xf>
    <xf numFmtId="0" fontId="24" fillId="22" borderId="48" xfId="0" applyFont="1" applyFill="1" applyBorder="1" applyAlignment="1">
      <alignment vertical="top" wrapText="1"/>
    </xf>
    <xf numFmtId="2" fontId="22" fillId="22" borderId="32" xfId="0" applyNumberFormat="1" applyFont="1" applyFill="1" applyBorder="1" applyAlignment="1">
      <alignment horizontal="right" vertical="top" wrapText="1"/>
    </xf>
    <xf numFmtId="2" fontId="22" fillId="22" borderId="101" xfId="0" applyNumberFormat="1" applyFont="1" applyFill="1" applyBorder="1" applyAlignment="1">
      <alignment horizontal="right" vertical="top" wrapText="1"/>
    </xf>
    <xf numFmtId="0" fontId="19" fillId="22" borderId="50" xfId="0" applyFont="1" applyFill="1" applyBorder="1" applyAlignment="1">
      <alignment horizontal="center" vertical="top" wrapText="1"/>
    </xf>
    <xf numFmtId="0" fontId="0" fillId="22" borderId="51" xfId="0" applyFill="1" applyBorder="1"/>
    <xf numFmtId="0" fontId="0" fillId="22" borderId="32" xfId="0" applyFill="1" applyBorder="1"/>
    <xf numFmtId="0" fontId="0" fillId="22" borderId="53" xfId="0" applyFill="1" applyBorder="1"/>
    <xf numFmtId="0" fontId="0" fillId="22" borderId="103" xfId="0" applyFill="1" applyBorder="1"/>
    <xf numFmtId="0" fontId="24" fillId="22" borderId="89" xfId="0" applyFont="1" applyFill="1" applyBorder="1" applyAlignment="1">
      <alignment vertical="top" wrapText="1"/>
    </xf>
    <xf numFmtId="2" fontId="22" fillId="22" borderId="92" xfId="0" applyNumberFormat="1" applyFont="1" applyFill="1" applyBorder="1" applyAlignment="1">
      <alignment horizontal="right" vertical="top" wrapText="1"/>
    </xf>
    <xf numFmtId="2" fontId="22" fillId="22" borderId="107" xfId="0" applyNumberFormat="1" applyFont="1" applyFill="1" applyBorder="1" applyAlignment="1">
      <alignment horizontal="right" vertical="top" wrapText="1"/>
    </xf>
    <xf numFmtId="0" fontId="19" fillId="22" borderId="93" xfId="0" applyFont="1" applyFill="1" applyBorder="1" applyAlignment="1">
      <alignment horizontal="center" vertical="top" wrapText="1"/>
    </xf>
    <xf numFmtId="0" fontId="0" fillId="22" borderId="94" xfId="0" applyFill="1" applyBorder="1"/>
    <xf numFmtId="0" fontId="0" fillId="22" borderId="92" xfId="0" applyFill="1" applyBorder="1"/>
    <xf numFmtId="0" fontId="0" fillId="22" borderId="90" xfId="0" applyFill="1" applyBorder="1"/>
    <xf numFmtId="0" fontId="0" fillId="0" borderId="0" xfId="0" applyAlignment="1">
      <alignment horizontal="center"/>
    </xf>
    <xf numFmtId="14" fontId="2" fillId="0" borderId="25" xfId="0" applyNumberFormat="1" applyFont="1" applyFill="1" applyBorder="1"/>
    <xf numFmtId="0" fontId="5" fillId="0" borderId="14" xfId="0" applyFont="1" applyFill="1" applyBorder="1"/>
    <xf numFmtId="0" fontId="1" fillId="0" borderId="14" xfId="0" applyFont="1" applyFill="1" applyBorder="1"/>
    <xf numFmtId="0" fontId="2" fillId="0" borderId="10" xfId="0" applyFont="1" applyFill="1" applyBorder="1"/>
    <xf numFmtId="0" fontId="2" fillId="0" borderId="20" xfId="0" applyFont="1" applyFill="1" applyBorder="1"/>
    <xf numFmtId="0" fontId="5" fillId="0" borderId="21" xfId="0" applyFont="1" applyFill="1" applyBorder="1"/>
    <xf numFmtId="0" fontId="1" fillId="0" borderId="21" xfId="0" applyFont="1" applyFill="1" applyBorder="1"/>
    <xf numFmtId="166" fontId="2" fillId="0" borderId="109" xfId="0" applyNumberFormat="1" applyFont="1" applyBorder="1" applyAlignment="1">
      <alignment textRotation="90"/>
    </xf>
    <xf numFmtId="167" fontId="4" fillId="0" borderId="110" xfId="0" applyNumberFormat="1" applyFont="1" applyBorder="1" applyAlignment="1">
      <alignment horizontal="left" textRotation="90"/>
    </xf>
    <xf numFmtId="0" fontId="2" fillId="0" borderId="24" xfId="0" applyFont="1" applyBorder="1" applyAlignment="1">
      <alignment textRotation="90"/>
    </xf>
    <xf numFmtId="0" fontId="2" fillId="0" borderId="15" xfId="0" applyFont="1" applyBorder="1" applyAlignment="1">
      <alignment textRotation="90"/>
    </xf>
    <xf numFmtId="0" fontId="2" fillId="0" borderId="3" xfId="0" applyFont="1" applyBorder="1" applyAlignment="1">
      <alignment textRotation="90"/>
    </xf>
    <xf numFmtId="0" fontId="2" fillId="0" borderId="26" xfId="0" applyFont="1" applyBorder="1" applyAlignment="1">
      <alignment textRotation="90"/>
    </xf>
    <xf numFmtId="164" fontId="7" fillId="0" borderId="29" xfId="0" applyNumberFormat="1" applyFont="1" applyFill="1" applyBorder="1" applyAlignment="1">
      <alignment textRotation="90"/>
    </xf>
    <xf numFmtId="164" fontId="7" fillId="0" borderId="24" xfId="0" applyNumberFormat="1" applyFont="1" applyFill="1" applyBorder="1" applyAlignment="1">
      <alignment textRotation="90"/>
    </xf>
    <xf numFmtId="0" fontId="7" fillId="0" borderId="15" xfId="0" applyFont="1" applyFill="1" applyBorder="1" applyAlignment="1">
      <alignment textRotation="90"/>
    </xf>
    <xf numFmtId="0" fontId="7" fillId="0" borderId="111" xfId="0" applyFont="1" applyFill="1" applyBorder="1" applyAlignment="1">
      <alignment textRotation="90"/>
    </xf>
    <xf numFmtId="14" fontId="2" fillId="0" borderId="10" xfId="0" applyNumberFormat="1" applyFont="1" applyFill="1" applyBorder="1"/>
    <xf numFmtId="166" fontId="2" fillId="0" borderId="29" xfId="0" applyNumberFormat="1" applyFont="1" applyBorder="1" applyAlignment="1">
      <alignment textRotation="90"/>
    </xf>
    <xf numFmtId="167" fontId="4" fillId="0" borderId="112" xfId="0" applyNumberFormat="1" applyFont="1" applyBorder="1" applyAlignment="1">
      <alignment horizontal="left" textRotation="90"/>
    </xf>
    <xf numFmtId="166" fontId="2" fillId="0" borderId="24" xfId="0" applyNumberFormat="1" applyFont="1" applyBorder="1" applyAlignment="1">
      <alignment textRotation="90"/>
    </xf>
    <xf numFmtId="167" fontId="4" fillId="0" borderId="3" xfId="0" applyNumberFormat="1" applyFont="1" applyBorder="1" applyAlignment="1">
      <alignment horizontal="left" textRotation="90"/>
    </xf>
    <xf numFmtId="14" fontId="2" fillId="0" borderId="25" xfId="0" applyNumberFormat="1" applyFont="1" applyBorder="1"/>
    <xf numFmtId="14" fontId="2" fillId="0" borderId="25" xfId="0" applyNumberFormat="1" applyFont="1" applyBorder="1" applyAlignment="1">
      <alignment textRotation="90"/>
    </xf>
    <xf numFmtId="0" fontId="2" fillId="0" borderId="14" xfId="0" applyFont="1" applyFill="1" applyBorder="1" applyAlignment="1">
      <alignment textRotation="90"/>
    </xf>
    <xf numFmtId="14" fontId="2" fillId="0" borderId="15" xfId="0" applyNumberFormat="1" applyFont="1" applyFill="1" applyBorder="1" applyAlignment="1">
      <alignment textRotation="90"/>
    </xf>
    <xf numFmtId="0" fontId="2" fillId="0" borderId="14" xfId="0" applyFont="1" applyBorder="1" applyAlignment="1">
      <alignment textRotation="90"/>
    </xf>
    <xf numFmtId="14" fontId="2" fillId="0" borderId="15" xfId="0" applyNumberFormat="1" applyFont="1" applyBorder="1" applyAlignment="1">
      <alignment textRotation="90"/>
    </xf>
    <xf numFmtId="0" fontId="2" fillId="0" borderId="23" xfId="0" applyFont="1" applyFill="1" applyBorder="1"/>
    <xf numFmtId="166" fontId="7" fillId="0" borderId="26" xfId="0" applyNumberFormat="1" applyFont="1" applyFill="1" applyBorder="1" applyAlignment="1">
      <alignment textRotation="90"/>
    </xf>
    <xf numFmtId="166" fontId="7" fillId="0" borderId="113" xfId="0" applyNumberFormat="1" applyFont="1" applyFill="1" applyBorder="1" applyAlignment="1">
      <alignment textRotation="90"/>
    </xf>
    <xf numFmtId="2" fontId="2" fillId="22" borderId="15" xfId="0" applyNumberFormat="1" applyFont="1" applyFill="1" applyBorder="1" applyAlignment="1">
      <alignment textRotation="90"/>
    </xf>
    <xf numFmtId="0" fontId="2" fillId="0" borderId="27" xfId="0" applyFont="1" applyBorder="1" applyAlignment="1">
      <alignment textRotation="90"/>
    </xf>
    <xf numFmtId="14" fontId="2" fillId="0" borderId="27" xfId="0" applyNumberFormat="1" applyFont="1" applyBorder="1" applyAlignment="1">
      <alignment textRotation="90"/>
    </xf>
    <xf numFmtId="14" fontId="2" fillId="0" borderId="111" xfId="0" applyNumberFormat="1" applyFont="1" applyBorder="1" applyAlignment="1">
      <alignment textRotation="90"/>
    </xf>
    <xf numFmtId="14" fontId="2" fillId="0" borderId="114" xfId="0" applyNumberFormat="1" applyFont="1" applyBorder="1" applyAlignment="1">
      <alignment textRotation="90"/>
    </xf>
    <xf numFmtId="2" fontId="2" fillId="0" borderId="111" xfId="0" applyNumberFormat="1" applyFont="1" applyBorder="1" applyAlignment="1">
      <alignment textRotation="90"/>
    </xf>
    <xf numFmtId="2" fontId="2" fillId="0" borderId="114" xfId="0" applyNumberFormat="1" applyFont="1" applyBorder="1" applyAlignment="1">
      <alignment textRotation="90"/>
    </xf>
    <xf numFmtId="2" fontId="2" fillId="0" borderId="15" xfId="0" applyNumberFormat="1" applyFont="1" applyBorder="1" applyAlignment="1">
      <alignment textRotation="90"/>
    </xf>
    <xf numFmtId="0" fontId="7" fillId="0" borderId="115" xfId="0" applyFont="1" applyFill="1" applyBorder="1" applyAlignment="1">
      <alignment textRotation="90"/>
    </xf>
    <xf numFmtId="14" fontId="2" fillId="0" borderId="115" xfId="0" applyNumberFormat="1" applyFont="1" applyBorder="1" applyAlignment="1">
      <alignment textRotation="90"/>
    </xf>
    <xf numFmtId="164" fontId="7" fillId="0" borderId="116" xfId="0" applyNumberFormat="1" applyFont="1" applyFill="1" applyBorder="1" applyAlignment="1">
      <alignment textRotation="90"/>
    </xf>
    <xf numFmtId="166" fontId="7" fillId="0" borderId="117" xfId="0" applyNumberFormat="1" applyFont="1" applyFill="1" applyBorder="1" applyAlignment="1">
      <alignment textRotation="90"/>
    </xf>
    <xf numFmtId="0" fontId="2" fillId="0" borderId="116" xfId="0" applyFont="1" applyBorder="1"/>
    <xf numFmtId="164" fontId="7" fillId="0" borderId="109" xfId="0" applyNumberFormat="1" applyFont="1" applyFill="1" applyBorder="1" applyAlignment="1">
      <alignment textRotation="90"/>
    </xf>
    <xf numFmtId="166" fontId="7" fillId="0" borderId="118" xfId="0" applyNumberFormat="1" applyFont="1" applyFill="1" applyBorder="1" applyAlignment="1">
      <alignment textRotation="90"/>
    </xf>
    <xf numFmtId="0" fontId="7" fillId="0" borderId="114" xfId="0" applyFont="1" applyFill="1" applyBorder="1" applyAlignment="1">
      <alignment textRotation="90"/>
    </xf>
    <xf numFmtId="14" fontId="2" fillId="0" borderId="119" xfId="0" applyNumberFormat="1" applyFont="1" applyBorder="1" applyAlignment="1">
      <alignment textRotation="90"/>
    </xf>
    <xf numFmtId="0" fontId="2" fillId="0" borderId="26" xfId="0" applyNumberFormat="1" applyFont="1" applyBorder="1" applyAlignment="1">
      <alignment textRotation="90"/>
    </xf>
    <xf numFmtId="0" fontId="2" fillId="0" borderId="113" xfId="0" applyNumberFormat="1" applyFont="1" applyBorder="1" applyAlignment="1">
      <alignment textRotation="90"/>
    </xf>
    <xf numFmtId="0" fontId="2" fillId="0" borderId="118" xfId="0" applyNumberFormat="1" applyFont="1" applyBorder="1" applyAlignment="1">
      <alignment textRotation="90"/>
    </xf>
    <xf numFmtId="0" fontId="2" fillId="0" borderId="112" xfId="0" applyFont="1" applyBorder="1"/>
    <xf numFmtId="2" fontId="2" fillId="0" borderId="119" xfId="0" applyNumberFormat="1" applyFont="1" applyBorder="1" applyAlignment="1">
      <alignment textRotation="90"/>
    </xf>
    <xf numFmtId="166" fontId="2" fillId="0" borderId="120" xfId="0" applyNumberFormat="1" applyFont="1" applyBorder="1" applyAlignment="1">
      <alignment textRotation="90"/>
    </xf>
    <xf numFmtId="167" fontId="4" fillId="0" borderId="121" xfId="0" applyNumberFormat="1" applyFont="1" applyBorder="1" applyAlignment="1">
      <alignment horizontal="left" textRotation="90"/>
    </xf>
    <xf numFmtId="0" fontId="2" fillId="0" borderId="122" xfId="0" applyNumberFormat="1" applyFont="1" applyBorder="1" applyAlignment="1">
      <alignment textRotation="90"/>
    </xf>
    <xf numFmtId="2" fontId="2" fillId="0" borderId="115" xfId="0" applyNumberFormat="1" applyFont="1" applyBorder="1" applyAlignment="1">
      <alignment textRotation="90"/>
    </xf>
    <xf numFmtId="166" fontId="2" fillId="0" borderId="116" xfId="0" applyNumberFormat="1" applyFont="1" applyBorder="1" applyAlignment="1">
      <alignment textRotation="90"/>
    </xf>
    <xf numFmtId="167" fontId="4" fillId="0" borderId="123" xfId="0" applyNumberFormat="1" applyFont="1" applyBorder="1" applyAlignment="1">
      <alignment horizontal="left" textRotation="90"/>
    </xf>
    <xf numFmtId="0" fontId="2" fillId="0" borderId="117" xfId="0" applyNumberFormat="1" applyFont="1" applyBorder="1" applyAlignment="1">
      <alignment textRotation="90"/>
    </xf>
    <xf numFmtId="0" fontId="3" fillId="0" borderId="27" xfId="73" applyBorder="1" applyAlignment="1" applyProtection="1"/>
    <xf numFmtId="0" fontId="2" fillId="0" borderId="26" xfId="0" applyFont="1" applyBorder="1" applyAlignment="1">
      <alignment horizontal="left"/>
    </xf>
    <xf numFmtId="0" fontId="2" fillId="0" borderId="113" xfId="0" applyFont="1" applyBorder="1" applyAlignment="1">
      <alignment horizontal="left"/>
    </xf>
    <xf numFmtId="0" fontId="2" fillId="0" borderId="117" xfId="0" applyFont="1" applyBorder="1" applyAlignment="1">
      <alignment horizontal="left"/>
    </xf>
    <xf numFmtId="0" fontId="2" fillId="0" borderId="124" xfId="0" applyFont="1" applyBorder="1"/>
    <xf numFmtId="0" fontId="2" fillId="0" borderId="125" xfId="0" applyFont="1" applyBorder="1"/>
    <xf numFmtId="0" fontId="2" fillId="0" borderId="126" xfId="0" applyFont="1" applyBorder="1"/>
    <xf numFmtId="0" fontId="2" fillId="0" borderId="127" xfId="0" applyFont="1" applyBorder="1"/>
    <xf numFmtId="0" fontId="2" fillId="0" borderId="128" xfId="0" applyFont="1" applyBorder="1"/>
    <xf numFmtId="0" fontId="2" fillId="0" borderId="129" xfId="0" applyFont="1" applyBorder="1"/>
    <xf numFmtId="0" fontId="2" fillId="0" borderId="130" xfId="0" applyFont="1" applyBorder="1"/>
    <xf numFmtId="0" fontId="2" fillId="0" borderId="131" xfId="0" applyFont="1" applyBorder="1"/>
    <xf numFmtId="12" fontId="2" fillId="0" borderId="131" xfId="0" applyNumberFormat="1" applyFont="1" applyBorder="1"/>
    <xf numFmtId="168" fontId="2" fillId="0" borderId="131" xfId="0" applyNumberFormat="1" applyFont="1" applyBorder="1" applyAlignment="1">
      <alignment horizontal="left"/>
    </xf>
    <xf numFmtId="0" fontId="4" fillId="0" borderId="131" xfId="0" applyFont="1" applyBorder="1"/>
    <xf numFmtId="0" fontId="2" fillId="0" borderId="132" xfId="0" applyNumberFormat="1" applyFont="1" applyFill="1" applyBorder="1"/>
    <xf numFmtId="0" fontId="2" fillId="0" borderId="133" xfId="0" applyFont="1" applyBorder="1"/>
    <xf numFmtId="0" fontId="2" fillId="0" borderId="134" xfId="0" applyNumberFormat="1" applyFont="1" applyFill="1" applyBorder="1"/>
    <xf numFmtId="0" fontId="2" fillId="0" borderId="135" xfId="0" applyNumberFormat="1" applyFont="1" applyFill="1" applyBorder="1"/>
    <xf numFmtId="0" fontId="2" fillId="0" borderId="130" xfId="0" applyNumberFormat="1" applyFont="1" applyFill="1" applyBorder="1"/>
    <xf numFmtId="0" fontId="2" fillId="0" borderId="136" xfId="0" applyNumberFormat="1" applyFont="1" applyFill="1" applyBorder="1"/>
    <xf numFmtId="0" fontId="2" fillId="0" borderId="137" xfId="0" applyNumberFormat="1" applyFont="1" applyFill="1" applyBorder="1"/>
    <xf numFmtId="0" fontId="2" fillId="0" borderId="126" xfId="0" applyNumberFormat="1" applyFont="1" applyFill="1" applyBorder="1"/>
    <xf numFmtId="0" fontId="2" fillId="0" borderId="138" xfId="0" applyNumberFormat="1" applyFont="1" applyFill="1" applyBorder="1"/>
    <xf numFmtId="0" fontId="2" fillId="0" borderId="124" xfId="0" applyNumberFormat="1" applyFont="1" applyFill="1" applyBorder="1"/>
    <xf numFmtId="0" fontId="2" fillId="0" borderId="125" xfId="0" applyNumberFormat="1" applyFont="1" applyFill="1" applyBorder="1"/>
    <xf numFmtId="0" fontId="2" fillId="0" borderId="139" xfId="0" applyNumberFormat="1" applyFont="1" applyFill="1" applyBorder="1"/>
    <xf numFmtId="0" fontId="2" fillId="0" borderId="140" xfId="0" applyNumberFormat="1" applyFont="1" applyFill="1" applyBorder="1"/>
    <xf numFmtId="0" fontId="2" fillId="0" borderId="141" xfId="0" applyNumberFormat="1" applyFont="1" applyFill="1" applyBorder="1"/>
    <xf numFmtId="0" fontId="2" fillId="0" borderId="142" xfId="0" applyFont="1" applyBorder="1"/>
    <xf numFmtId="0" fontId="2" fillId="0" borderId="143" xfId="0" applyFont="1" applyBorder="1"/>
    <xf numFmtId="0" fontId="2" fillId="0" borderId="144" xfId="0" applyNumberFormat="1" applyFont="1" applyFill="1" applyBorder="1"/>
    <xf numFmtId="0" fontId="2" fillId="0" borderId="145" xfId="0" applyNumberFormat="1" applyFont="1" applyFill="1" applyBorder="1"/>
    <xf numFmtId="0" fontId="2" fillId="0" borderId="146" xfId="0" applyNumberFormat="1" applyFont="1" applyFill="1" applyBorder="1"/>
    <xf numFmtId="14" fontId="2" fillId="0" borderId="147" xfId="0" applyNumberFormat="1" applyFont="1" applyBorder="1" applyAlignment="1">
      <alignment textRotation="90"/>
    </xf>
    <xf numFmtId="0" fontId="2" fillId="0" borderId="148" xfId="0" applyFont="1" applyBorder="1"/>
    <xf numFmtId="0" fontId="2" fillId="0" borderId="149" xfId="0" applyFont="1" applyBorder="1"/>
    <xf numFmtId="0" fontId="2" fillId="0" borderId="150" xfId="0" applyFont="1" applyBorder="1" applyAlignment="1">
      <alignment horizontal="left"/>
    </xf>
    <xf numFmtId="0" fontId="2" fillId="0" borderId="151" xfId="0" applyFont="1" applyFill="1" applyBorder="1"/>
    <xf numFmtId="0" fontId="2" fillId="0" borderId="152" xfId="0" applyNumberFormat="1" applyFont="1" applyFill="1" applyBorder="1"/>
    <xf numFmtId="0" fontId="2" fillId="0" borderId="131" xfId="0" applyFont="1" applyFill="1" applyBorder="1"/>
    <xf numFmtId="0" fontId="2" fillId="0" borderId="135" xfId="0" applyFont="1" applyFill="1" applyBorder="1"/>
    <xf numFmtId="0" fontId="2" fillId="0" borderId="130" xfId="0" applyFont="1" applyFill="1" applyBorder="1"/>
    <xf numFmtId="0" fontId="2" fillId="0" borderId="132" xfId="0" applyFont="1" applyFill="1" applyBorder="1"/>
    <xf numFmtId="0" fontId="2" fillId="0" borderId="140" xfId="0" applyFont="1" applyFill="1" applyBorder="1"/>
    <xf numFmtId="0" fontId="2" fillId="0" borderId="153" xfId="0" applyFont="1" applyFill="1" applyBorder="1"/>
    <xf numFmtId="0" fontId="2" fillId="0" borderId="127" xfId="0" applyFont="1" applyFill="1" applyBorder="1"/>
    <xf numFmtId="0" fontId="2" fillId="0" borderId="128" xfId="0" applyFont="1" applyFill="1" applyBorder="1"/>
    <xf numFmtId="0" fontId="2" fillId="0" borderId="126" xfId="0" applyFont="1" applyFill="1" applyBorder="1"/>
    <xf numFmtId="0" fontId="2" fillId="0" borderId="138" xfId="0" applyFont="1" applyFill="1" applyBorder="1"/>
    <xf numFmtId="0" fontId="2" fillId="0" borderId="139" xfId="0" applyFont="1" applyFill="1" applyBorder="1"/>
    <xf numFmtId="0" fontId="4" fillId="0" borderId="131" xfId="0" applyFont="1" applyFill="1" applyBorder="1"/>
    <xf numFmtId="12" fontId="2" fillId="0" borderId="131" xfId="0" applyNumberFormat="1" applyFont="1" applyFill="1" applyBorder="1"/>
    <xf numFmtId="168" fontId="2" fillId="0" borderId="131" xfId="0" applyNumberFormat="1" applyFont="1" applyFill="1" applyBorder="1" applyAlignment="1">
      <alignment horizontal="left"/>
    </xf>
    <xf numFmtId="0" fontId="2" fillId="0" borderId="133" xfId="0" applyNumberFormat="1" applyFont="1" applyFill="1" applyBorder="1"/>
    <xf numFmtId="0" fontId="2" fillId="0" borderId="134" xfId="0" applyFont="1" applyFill="1" applyBorder="1"/>
    <xf numFmtId="0" fontId="2" fillId="21" borderId="154" xfId="0" applyFont="1" applyFill="1" applyBorder="1"/>
    <xf numFmtId="0" fontId="10" fillId="23" borderId="130" xfId="0" applyFont="1" applyFill="1" applyBorder="1"/>
    <xf numFmtId="0" fontId="10" fillId="23" borderId="131" xfId="0" applyFont="1" applyFill="1" applyBorder="1"/>
    <xf numFmtId="0" fontId="11" fillId="23" borderId="131" xfId="0" applyFont="1" applyFill="1" applyBorder="1"/>
    <xf numFmtId="0" fontId="2" fillId="23" borderId="131" xfId="0" applyFont="1" applyFill="1" applyBorder="1"/>
    <xf numFmtId="0" fontId="4" fillId="23" borderId="131" xfId="0" applyFont="1" applyFill="1" applyBorder="1"/>
    <xf numFmtId="4" fontId="4" fillId="23" borderId="131" xfId="0" applyNumberFormat="1" applyFont="1" applyFill="1" applyBorder="1"/>
    <xf numFmtId="4" fontId="4" fillId="23" borderId="133" xfId="0" applyNumberFormat="1" applyFont="1" applyFill="1" applyBorder="1"/>
    <xf numFmtId="0" fontId="10" fillId="24" borderId="130" xfId="0" applyFont="1" applyFill="1" applyBorder="1"/>
    <xf numFmtId="0" fontId="10" fillId="24" borderId="131" xfId="0" applyFont="1" applyFill="1" applyBorder="1"/>
    <xf numFmtId="0" fontId="4" fillId="24" borderId="131" xfId="0" applyFont="1" applyFill="1" applyBorder="1"/>
    <xf numFmtId="0" fontId="12" fillId="24" borderId="131" xfId="0" applyFont="1" applyFill="1" applyBorder="1" applyAlignment="1">
      <alignment horizontal="center"/>
    </xf>
    <xf numFmtId="0" fontId="12" fillId="24" borderId="131" xfId="0" applyFont="1" applyFill="1" applyBorder="1" applyAlignment="1">
      <alignment horizontal="left"/>
    </xf>
    <xf numFmtId="0" fontId="14" fillId="24" borderId="131" xfId="0" applyFont="1" applyFill="1" applyBorder="1" applyAlignment="1">
      <alignment horizontal="right"/>
    </xf>
    <xf numFmtId="4" fontId="14" fillId="24" borderId="131" xfId="0" applyNumberFormat="1" applyFont="1" applyFill="1" applyBorder="1" applyAlignment="1">
      <alignment horizontal="right"/>
    </xf>
    <xf numFmtId="4" fontId="14" fillId="24" borderId="133" xfId="0" applyNumberFormat="1" applyFont="1" applyFill="1" applyBorder="1" applyAlignment="1">
      <alignment horizontal="right"/>
    </xf>
    <xf numFmtId="0" fontId="11" fillId="24" borderId="131" xfId="0" applyFont="1" applyFill="1" applyBorder="1"/>
    <xf numFmtId="0" fontId="2" fillId="24" borderId="131" xfId="0" applyFont="1" applyFill="1" applyBorder="1"/>
    <xf numFmtId="0" fontId="2" fillId="24" borderId="131" xfId="0" applyFont="1" applyFill="1" applyBorder="1" applyAlignment="1">
      <alignment horizontal="left"/>
    </xf>
    <xf numFmtId="0" fontId="2" fillId="24" borderId="131" xfId="0" applyFont="1" applyFill="1" applyBorder="1" applyAlignment="1">
      <alignment horizontal="right"/>
    </xf>
    <xf numFmtId="0" fontId="2" fillId="24" borderId="133" xfId="0" applyFont="1" applyFill="1" applyBorder="1" applyAlignment="1">
      <alignment horizontal="right"/>
    </xf>
    <xf numFmtId="0" fontId="4" fillId="18" borderId="130" xfId="0" applyFont="1" applyFill="1" applyBorder="1"/>
    <xf numFmtId="0" fontId="4" fillId="18" borderId="131" xfId="0" applyFont="1" applyFill="1" applyBorder="1"/>
    <xf numFmtId="0" fontId="2" fillId="18" borderId="131" xfId="0" applyFont="1" applyFill="1" applyBorder="1"/>
    <xf numFmtId="0" fontId="2" fillId="18" borderId="131" xfId="0" applyFont="1" applyFill="1" applyBorder="1" applyAlignment="1">
      <alignment horizontal="left"/>
    </xf>
    <xf numFmtId="0" fontId="2" fillId="18" borderId="131" xfId="0" applyFont="1" applyFill="1" applyBorder="1" applyAlignment="1">
      <alignment horizontal="right"/>
    </xf>
    <xf numFmtId="4" fontId="2" fillId="18" borderId="131" xfId="0" applyNumberFormat="1" applyFont="1" applyFill="1" applyBorder="1" applyAlignment="1">
      <alignment horizontal="right"/>
    </xf>
    <xf numFmtId="4" fontId="2" fillId="18" borderId="133" xfId="0" applyNumberFormat="1" applyFont="1" applyFill="1" applyBorder="1" applyAlignment="1">
      <alignment horizontal="right"/>
    </xf>
    <xf numFmtId="2" fontId="2" fillId="0" borderId="131" xfId="0" applyNumberFormat="1" applyFont="1" applyFill="1" applyBorder="1"/>
    <xf numFmtId="2" fontId="2" fillId="0" borderId="133" xfId="0" applyNumberFormat="1" applyFont="1" applyFill="1" applyBorder="1"/>
    <xf numFmtId="2" fontId="2" fillId="0" borderId="131" xfId="0" applyNumberFormat="1" applyFont="1" applyFill="1" applyBorder="1" applyAlignment="1">
      <alignment horizontal="left"/>
    </xf>
    <xf numFmtId="2" fontId="2" fillId="0" borderId="131" xfId="0" quotePrefix="1" applyNumberFormat="1" applyFont="1" applyFill="1" applyBorder="1"/>
    <xf numFmtId="0" fontId="10" fillId="0" borderId="131" xfId="0" applyFont="1" applyFill="1" applyBorder="1"/>
    <xf numFmtId="0" fontId="7" fillId="0" borderId="130" xfId="0" applyFont="1" applyBorder="1"/>
    <xf numFmtId="3" fontId="2" fillId="0" borderId="131" xfId="0" applyNumberFormat="1" applyFont="1" applyFill="1" applyBorder="1"/>
    <xf numFmtId="0" fontId="6" fillId="0" borderId="131" xfId="0" applyFont="1" applyFill="1" applyBorder="1"/>
    <xf numFmtId="0" fontId="13" fillId="0" borderId="131" xfId="0" applyFont="1" applyFill="1" applyBorder="1"/>
    <xf numFmtId="12" fontId="2" fillId="0" borderId="131" xfId="0" applyNumberFormat="1" applyFont="1" applyFill="1" applyBorder="1" applyAlignment="1"/>
    <xf numFmtId="12" fontId="2" fillId="18" borderId="131" xfId="0" applyNumberFormat="1" applyFont="1" applyFill="1" applyBorder="1"/>
    <xf numFmtId="3" fontId="2" fillId="0" borderId="133" xfId="0" applyNumberFormat="1" applyFont="1" applyFill="1" applyBorder="1"/>
    <xf numFmtId="0" fontId="7" fillId="0" borderId="130" xfId="0" applyFont="1" applyBorder="1" applyAlignment="1">
      <alignment horizontal="right"/>
    </xf>
    <xf numFmtId="0" fontId="7" fillId="0" borderId="131" xfId="0" applyFont="1" applyFill="1" applyBorder="1"/>
    <xf numFmtId="0" fontId="2" fillId="0" borderId="124" xfId="0" applyFont="1" applyFill="1" applyBorder="1"/>
    <xf numFmtId="0" fontId="2" fillId="0" borderId="125" xfId="0" applyFont="1" applyFill="1" applyBorder="1"/>
    <xf numFmtId="164" fontId="7" fillId="0" borderId="120" xfId="0" applyNumberFormat="1" applyFont="1" applyFill="1" applyBorder="1" applyAlignment="1">
      <alignment textRotation="90"/>
    </xf>
    <xf numFmtId="166" fontId="7" fillId="0" borderId="122" xfId="0" applyNumberFormat="1" applyFont="1" applyFill="1" applyBorder="1" applyAlignment="1">
      <alignment textRotation="90"/>
    </xf>
    <xf numFmtId="0" fontId="7" fillId="0" borderId="119" xfId="0" applyFont="1" applyFill="1" applyBorder="1" applyAlignment="1">
      <alignment textRotation="90"/>
    </xf>
    <xf numFmtId="0" fontId="2" fillId="0" borderId="155" xfId="0" applyNumberFormat="1" applyFont="1" applyFill="1" applyBorder="1"/>
    <xf numFmtId="0" fontId="6" fillId="0" borderId="127" xfId="0" applyFont="1" applyBorder="1"/>
    <xf numFmtId="12" fontId="2" fillId="0" borderId="127" xfId="0" applyNumberFormat="1" applyFont="1" applyBorder="1"/>
    <xf numFmtId="167" fontId="2" fillId="0" borderId="127" xfId="0" applyNumberFormat="1" applyFont="1" applyBorder="1" applyAlignment="1">
      <alignment horizontal="left"/>
    </xf>
    <xf numFmtId="0" fontId="2" fillId="0" borderId="128" xfId="0" applyNumberFormat="1" applyFont="1" applyBorder="1"/>
    <xf numFmtId="0" fontId="6" fillId="0" borderId="131" xfId="0" applyFont="1" applyBorder="1"/>
    <xf numFmtId="167" fontId="2" fillId="0" borderId="131" xfId="0" applyNumberFormat="1" applyFont="1" applyBorder="1" applyAlignment="1">
      <alignment horizontal="left"/>
    </xf>
    <xf numFmtId="0" fontId="2" fillId="0" borderId="133" xfId="0" applyNumberFormat="1" applyFont="1" applyBorder="1"/>
    <xf numFmtId="0" fontId="2" fillId="25" borderId="156" xfId="0" applyNumberFormat="1" applyFont="1" applyFill="1" applyBorder="1"/>
    <xf numFmtId="0" fontId="2" fillId="25" borderId="156" xfId="0" applyFont="1" applyFill="1" applyBorder="1"/>
    <xf numFmtId="0" fontId="2" fillId="26" borderId="157" xfId="0" applyNumberFormat="1" applyFont="1" applyFill="1" applyBorder="1"/>
    <xf numFmtId="0" fontId="2" fillId="0" borderId="158" xfId="0" applyNumberFormat="1" applyFont="1" applyFill="1" applyBorder="1"/>
    <xf numFmtId="0" fontId="2" fillId="27" borderId="159" xfId="0" applyNumberFormat="1" applyFont="1" applyFill="1" applyBorder="1"/>
    <xf numFmtId="0" fontId="2" fillId="0" borderId="160" xfId="0" applyNumberFormat="1" applyFont="1" applyFill="1" applyBorder="1"/>
    <xf numFmtId="0" fontId="2" fillId="28" borderId="161" xfId="0" applyNumberFormat="1" applyFont="1" applyFill="1" applyBorder="1"/>
    <xf numFmtId="0" fontId="2" fillId="27" borderId="162" xfId="0" applyNumberFormat="1" applyFont="1" applyFill="1" applyBorder="1"/>
    <xf numFmtId="0" fontId="2" fillId="28" borderId="163" xfId="0" applyNumberFormat="1" applyFont="1" applyFill="1" applyBorder="1"/>
    <xf numFmtId="0" fontId="2" fillId="27" borderId="164" xfId="0" applyNumberFormat="1" applyFont="1" applyFill="1" applyBorder="1"/>
    <xf numFmtId="0" fontId="2" fillId="25" borderId="165" xfId="0" applyNumberFormat="1" applyFont="1" applyFill="1" applyBorder="1"/>
    <xf numFmtId="0" fontId="2" fillId="26" borderId="166" xfId="0" applyNumberFormat="1" applyFont="1" applyFill="1" applyBorder="1"/>
    <xf numFmtId="0" fontId="2" fillId="0" borderId="167" xfId="0" applyNumberFormat="1" applyFont="1" applyFill="1" applyBorder="1"/>
    <xf numFmtId="0" fontId="2" fillId="26" borderId="168" xfId="0" applyNumberFormat="1" applyFont="1" applyFill="1" applyBorder="1"/>
    <xf numFmtId="0" fontId="2" fillId="0" borderId="169" xfId="0" applyNumberFormat="1" applyFont="1" applyFill="1" applyBorder="1"/>
    <xf numFmtId="0" fontId="2" fillId="28" borderId="170" xfId="0" applyNumberFormat="1" applyFont="1" applyFill="1" applyBorder="1"/>
    <xf numFmtId="0" fontId="2" fillId="0" borderId="171" xfId="0" applyNumberFormat="1" applyFont="1" applyFill="1" applyBorder="1"/>
    <xf numFmtId="0" fontId="2" fillId="27" borderId="172" xfId="0" applyNumberFormat="1" applyFont="1" applyFill="1" applyBorder="1"/>
    <xf numFmtId="0" fontId="2" fillId="0" borderId="173" xfId="0" applyNumberFormat="1" applyFont="1" applyFill="1" applyBorder="1"/>
    <xf numFmtId="0" fontId="2" fillId="25" borderId="174" xfId="0" applyFont="1" applyFill="1" applyBorder="1"/>
    <xf numFmtId="0" fontId="2" fillId="29" borderId="175" xfId="0" applyNumberFormat="1" applyFont="1" applyFill="1" applyBorder="1"/>
    <xf numFmtId="0" fontId="2" fillId="28" borderId="176" xfId="0" applyNumberFormat="1" applyFont="1" applyFill="1" applyBorder="1"/>
    <xf numFmtId="0" fontId="2" fillId="0" borderId="129" xfId="0" applyNumberFormat="1" applyFont="1" applyFill="1" applyBorder="1"/>
    <xf numFmtId="0" fontId="2" fillId="28" borderId="177" xfId="0" applyNumberFormat="1" applyFont="1" applyFill="1" applyBorder="1"/>
    <xf numFmtId="0" fontId="2" fillId="25" borderId="178" xfId="0" applyNumberFormat="1" applyFont="1" applyFill="1" applyBorder="1"/>
    <xf numFmtId="0" fontId="2" fillId="25" borderId="179" xfId="0" applyNumberFormat="1" applyFont="1" applyFill="1" applyBorder="1"/>
    <xf numFmtId="0" fontId="2" fillId="25" borderId="180" xfId="0" applyNumberFormat="1" applyFont="1" applyFill="1" applyBorder="1"/>
    <xf numFmtId="0" fontId="2" fillId="30" borderId="181" xfId="0" applyFont="1" applyFill="1" applyBorder="1"/>
    <xf numFmtId="0" fontId="2" fillId="30" borderId="182" xfId="0" applyNumberFormat="1" applyFont="1" applyFill="1" applyBorder="1"/>
    <xf numFmtId="0" fontId="2" fillId="30" borderId="181" xfId="0" applyNumberFormat="1" applyFont="1" applyFill="1" applyBorder="1"/>
    <xf numFmtId="0" fontId="2" fillId="29" borderId="183" xfId="0" applyNumberFormat="1" applyFont="1" applyFill="1" applyBorder="1"/>
    <xf numFmtId="0" fontId="2" fillId="28" borderId="184" xfId="0" applyNumberFormat="1" applyFont="1" applyFill="1" applyBorder="1"/>
    <xf numFmtId="0" fontId="2" fillId="26" borderId="185" xfId="0" applyNumberFormat="1" applyFont="1" applyFill="1" applyBorder="1"/>
    <xf numFmtId="0" fontId="2" fillId="26" borderId="186" xfId="0" applyNumberFormat="1" applyFont="1" applyFill="1" applyBorder="1"/>
    <xf numFmtId="0" fontId="2" fillId="26" borderId="187" xfId="0" applyNumberFormat="1" applyFont="1" applyFill="1" applyBorder="1"/>
    <xf numFmtId="0" fontId="2" fillId="28" borderId="188" xfId="0" applyNumberFormat="1" applyFont="1" applyFill="1" applyBorder="1"/>
    <xf numFmtId="0" fontId="2" fillId="31" borderId="189" xfId="0" applyNumberFormat="1" applyFont="1" applyFill="1" applyBorder="1"/>
    <xf numFmtId="0" fontId="2" fillId="31" borderId="190" xfId="0" applyNumberFormat="1" applyFont="1" applyFill="1" applyBorder="1"/>
    <xf numFmtId="0" fontId="2" fillId="31" borderId="191" xfId="0" applyNumberFormat="1" applyFont="1" applyFill="1" applyBorder="1"/>
    <xf numFmtId="0" fontId="2" fillId="32" borderId="192" xfId="0" applyNumberFormat="1" applyFont="1" applyFill="1" applyBorder="1"/>
    <xf numFmtId="0" fontId="2" fillId="32" borderId="193" xfId="0" applyNumberFormat="1" applyFont="1" applyFill="1" applyBorder="1"/>
    <xf numFmtId="0" fontId="2" fillId="32" borderId="194" xfId="0" applyNumberFormat="1" applyFont="1" applyFill="1" applyBorder="1"/>
    <xf numFmtId="0" fontId="2" fillId="33" borderId="195" xfId="0" applyNumberFormat="1" applyFont="1" applyFill="1" applyBorder="1"/>
    <xf numFmtId="0" fontId="2" fillId="33" borderId="196" xfId="0" applyNumberFormat="1" applyFont="1" applyFill="1" applyBorder="1"/>
    <xf numFmtId="0" fontId="2" fillId="34" borderId="197" xfId="0" applyNumberFormat="1" applyFont="1" applyFill="1" applyBorder="1"/>
    <xf numFmtId="0" fontId="2" fillId="0" borderId="198" xfId="0" applyFont="1" applyFill="1" applyBorder="1"/>
    <xf numFmtId="0" fontId="2" fillId="0" borderId="199" xfId="0" applyNumberFormat="1" applyFont="1" applyFill="1" applyBorder="1"/>
    <xf numFmtId="0" fontId="2" fillId="0" borderId="200" xfId="0" applyNumberFormat="1" applyFont="1" applyFill="1" applyBorder="1"/>
    <xf numFmtId="0" fontId="2" fillId="0" borderId="201" xfId="0" applyNumberFormat="1" applyFont="1" applyFill="1" applyBorder="1"/>
    <xf numFmtId="0" fontId="2" fillId="0" borderId="202" xfId="0" applyNumberFormat="1" applyFont="1" applyFill="1" applyBorder="1"/>
    <xf numFmtId="0" fontId="2" fillId="0" borderId="132" xfId="0" applyFont="1" applyBorder="1"/>
    <xf numFmtId="0" fontId="2" fillId="0" borderId="203" xfId="0" applyNumberFormat="1" applyFont="1" applyFill="1" applyBorder="1"/>
    <xf numFmtId="0" fontId="2" fillId="0" borderId="204" xfId="0" applyNumberFormat="1" applyFont="1" applyFill="1" applyBorder="1"/>
    <xf numFmtId="0" fontId="2" fillId="0" borderId="205" xfId="0" applyNumberFormat="1" applyFont="1" applyFill="1" applyBorder="1"/>
    <xf numFmtId="0" fontId="2" fillId="0" borderId="206" xfId="0" applyNumberFormat="1" applyFont="1" applyFill="1" applyBorder="1"/>
    <xf numFmtId="0" fontId="2" fillId="0" borderId="207" xfId="0" applyFont="1" applyFill="1" applyBorder="1"/>
    <xf numFmtId="0" fontId="2" fillId="0" borderId="208" xfId="0" applyNumberFormat="1" applyFont="1" applyFill="1" applyBorder="1"/>
    <xf numFmtId="0" fontId="2" fillId="0" borderId="209" xfId="0" applyNumberFormat="1" applyFont="1" applyFill="1" applyBorder="1"/>
    <xf numFmtId="0" fontId="2" fillId="0" borderId="207" xfId="0" applyNumberFormat="1" applyFont="1" applyFill="1" applyBorder="1"/>
    <xf numFmtId="0" fontId="2" fillId="0" borderId="210" xfId="0" applyNumberFormat="1" applyFont="1" applyFill="1" applyBorder="1"/>
    <xf numFmtId="0" fontId="2" fillId="0" borderId="211" xfId="0" applyFont="1" applyFill="1" applyBorder="1"/>
    <xf numFmtId="0" fontId="2" fillId="0" borderId="211" xfId="0" applyNumberFormat="1" applyFont="1" applyFill="1" applyBorder="1"/>
    <xf numFmtId="0" fontId="2" fillId="0" borderId="212" xfId="0" applyNumberFormat="1" applyFont="1" applyFill="1" applyBorder="1"/>
    <xf numFmtId="0" fontId="2" fillId="0" borderId="213" xfId="0" applyNumberFormat="1" applyFont="1" applyFill="1" applyBorder="1"/>
    <xf numFmtId="0" fontId="2" fillId="0" borderId="214" xfId="0" applyNumberFormat="1" applyFont="1" applyFill="1" applyBorder="1"/>
    <xf numFmtId="0" fontId="2" fillId="0" borderId="215" xfId="0" applyNumberFormat="1" applyFont="1" applyFill="1" applyBorder="1"/>
    <xf numFmtId="0" fontId="2" fillId="25" borderId="174" xfId="0" applyNumberFormat="1" applyFont="1" applyFill="1" applyBorder="1"/>
    <xf numFmtId="0" fontId="2" fillId="30" borderId="216" xfId="0" applyNumberFormat="1" applyFont="1" applyFill="1" applyBorder="1"/>
    <xf numFmtId="0" fontId="2" fillId="30" borderId="217" xfId="0" applyNumberFormat="1" applyFont="1" applyFill="1" applyBorder="1"/>
    <xf numFmtId="0" fontId="2" fillId="30" borderId="218" xfId="0" applyNumberFormat="1" applyFont="1" applyFill="1" applyBorder="1"/>
    <xf numFmtId="0" fontId="2" fillId="30" borderId="219" xfId="0" applyNumberFormat="1" applyFont="1" applyFill="1" applyBorder="1"/>
    <xf numFmtId="0" fontId="2" fillId="32" borderId="220" xfId="0" applyNumberFormat="1" applyFont="1" applyFill="1" applyBorder="1"/>
    <xf numFmtId="0" fontId="2" fillId="32" borderId="220" xfId="0" applyFont="1" applyFill="1" applyBorder="1"/>
    <xf numFmtId="0" fontId="2" fillId="32" borderId="221" xfId="0" applyFont="1" applyFill="1" applyBorder="1"/>
    <xf numFmtId="0" fontId="2" fillId="32" borderId="222" xfId="0" applyNumberFormat="1" applyFont="1" applyFill="1" applyBorder="1"/>
    <xf numFmtId="0" fontId="2" fillId="35" borderId="223" xfId="0" applyNumberFormat="1" applyFont="1" applyFill="1" applyBorder="1"/>
    <xf numFmtId="0" fontId="2" fillId="35" borderId="224" xfId="0" applyNumberFormat="1" applyFont="1" applyFill="1" applyBorder="1"/>
    <xf numFmtId="0" fontId="2" fillId="35" borderId="225" xfId="0" applyNumberFormat="1" applyFont="1" applyFill="1" applyBorder="1"/>
    <xf numFmtId="0" fontId="2" fillId="35" borderId="226" xfId="0" applyNumberFormat="1" applyFont="1" applyFill="1" applyBorder="1"/>
    <xf numFmtId="0" fontId="2" fillId="35" borderId="227" xfId="0" applyNumberFormat="1" applyFont="1" applyFill="1" applyBorder="1"/>
    <xf numFmtId="0" fontId="2" fillId="35" borderId="228" xfId="0" applyNumberFormat="1" applyFont="1" applyFill="1" applyBorder="1"/>
    <xf numFmtId="0" fontId="2" fillId="36" borderId="229" xfId="0" applyNumberFormat="1" applyFont="1" applyFill="1" applyBorder="1"/>
    <xf numFmtId="0" fontId="2" fillId="36" borderId="230" xfId="0" applyNumberFormat="1" applyFont="1" applyFill="1" applyBorder="1"/>
    <xf numFmtId="0" fontId="2" fillId="24" borderId="231" xfId="0" applyNumberFormat="1" applyFont="1" applyFill="1" applyBorder="1"/>
    <xf numFmtId="0" fontId="2" fillId="34" borderId="232" xfId="0" applyNumberFormat="1" applyFont="1" applyFill="1" applyBorder="1"/>
    <xf numFmtId="0" fontId="2" fillId="33" borderId="233" xfId="0" applyNumberFormat="1" applyFont="1" applyFill="1" applyBorder="1"/>
    <xf numFmtId="0" fontId="2" fillId="33" borderId="234" xfId="0" applyNumberFormat="1" applyFont="1" applyFill="1" applyBorder="1"/>
    <xf numFmtId="0" fontId="2" fillId="33" borderId="235" xfId="0" applyNumberFormat="1" applyFont="1" applyFill="1" applyBorder="1"/>
    <xf numFmtId="0" fontId="2" fillId="33" borderId="236" xfId="0" applyNumberFormat="1" applyFont="1" applyFill="1" applyBorder="1"/>
    <xf numFmtId="0" fontId="2" fillId="36" borderId="237" xfId="0" applyNumberFormat="1" applyFont="1" applyFill="1" applyBorder="1"/>
    <xf numFmtId="0" fontId="2" fillId="0" borderId="140" xfId="0" applyFont="1" applyBorder="1"/>
    <xf numFmtId="0" fontId="2" fillId="0" borderId="134" xfId="0" applyFont="1" applyBorder="1"/>
    <xf numFmtId="0" fontId="2" fillId="0" borderId="238" xfId="0" applyFont="1" applyFill="1" applyBorder="1"/>
    <xf numFmtId="0" fontId="2" fillId="0" borderId="239" xfId="0" applyFont="1" applyFill="1" applyBorder="1"/>
    <xf numFmtId="0" fontId="2" fillId="0" borderId="240" xfId="0" applyFont="1" applyFill="1" applyBorder="1"/>
    <xf numFmtId="0" fontId="2" fillId="0" borderId="214" xfId="0" applyFont="1" applyFill="1" applyBorder="1"/>
    <xf numFmtId="0" fontId="2" fillId="0" borderId="241" xfId="0" applyFont="1" applyFill="1" applyBorder="1"/>
    <xf numFmtId="0" fontId="2" fillId="21" borderId="242" xfId="0" applyFont="1" applyFill="1" applyBorder="1"/>
    <xf numFmtId="0" fontId="2" fillId="21" borderId="243" xfId="0" applyFont="1" applyFill="1" applyBorder="1"/>
    <xf numFmtId="0" fontId="2" fillId="21" borderId="244" xfId="0" applyFont="1" applyFill="1" applyBorder="1"/>
    <xf numFmtId="0" fontId="2" fillId="21" borderId="245" xfId="0" applyFont="1" applyFill="1" applyBorder="1"/>
    <xf numFmtId="0" fontId="2" fillId="21" borderId="246" xfId="0" applyFont="1" applyFill="1" applyBorder="1"/>
    <xf numFmtId="0" fontId="2" fillId="21" borderId="247" xfId="0" applyFont="1" applyFill="1" applyBorder="1"/>
    <xf numFmtId="0" fontId="2" fillId="0" borderId="248" xfId="0" applyFont="1" applyFill="1" applyBorder="1"/>
    <xf numFmtId="0" fontId="2" fillId="21" borderId="249" xfId="0" applyFont="1" applyFill="1" applyBorder="1"/>
    <xf numFmtId="0" fontId="2" fillId="21" borderId="233" xfId="0" applyFont="1" applyFill="1" applyBorder="1"/>
    <xf numFmtId="0" fontId="2" fillId="21" borderId="250" xfId="0" applyFont="1" applyFill="1" applyBorder="1"/>
    <xf numFmtId="0" fontId="2" fillId="0" borderId="251" xfId="0" applyFont="1" applyFill="1" applyBorder="1"/>
    <xf numFmtId="0" fontId="2" fillId="0" borderId="241" xfId="0" applyNumberFormat="1" applyFont="1" applyFill="1" applyBorder="1"/>
    <xf numFmtId="0" fontId="2" fillId="0" borderId="252" xfId="0" applyFont="1" applyFill="1" applyBorder="1"/>
    <xf numFmtId="0" fontId="2" fillId="0" borderId="129" xfId="0" applyFont="1" applyFill="1" applyBorder="1"/>
    <xf numFmtId="0" fontId="2" fillId="0" borderId="253" xfId="0" applyFont="1" applyFill="1" applyBorder="1"/>
    <xf numFmtId="0" fontId="2" fillId="0" borderId="254" xfId="0" applyFont="1" applyFill="1" applyBorder="1"/>
    <xf numFmtId="0" fontId="2" fillId="0" borderId="133" xfId="0" applyFont="1" applyFill="1" applyBorder="1"/>
    <xf numFmtId="0" fontId="2" fillId="0" borderId="255" xfId="0" applyFont="1" applyFill="1" applyBorder="1"/>
    <xf numFmtId="0" fontId="2" fillId="0" borderId="256" xfId="0" applyFont="1" applyFill="1" applyBorder="1"/>
    <xf numFmtId="0" fontId="2" fillId="0" borderId="257" xfId="0" applyFont="1" applyFill="1" applyBorder="1"/>
    <xf numFmtId="0" fontId="2" fillId="0" borderId="146" xfId="0" applyFont="1" applyFill="1" applyBorder="1"/>
    <xf numFmtId="0" fontId="2" fillId="0" borderId="258" xfId="0" applyFont="1" applyFill="1" applyBorder="1"/>
    <xf numFmtId="0" fontId="2" fillId="0" borderId="259" xfId="0" applyFont="1" applyFill="1" applyBorder="1"/>
    <xf numFmtId="0" fontId="2" fillId="0" borderId="260" xfId="0" applyFont="1" applyFill="1" applyBorder="1"/>
    <xf numFmtId="0" fontId="2" fillId="0" borderId="188" xfId="0" applyFont="1" applyFill="1" applyBorder="1"/>
    <xf numFmtId="0" fontId="2" fillId="0" borderId="161" xfId="0" applyFont="1" applyFill="1" applyBorder="1"/>
    <xf numFmtId="0" fontId="2" fillId="0" borderId="163" xfId="0" applyFont="1" applyFill="1" applyBorder="1"/>
    <xf numFmtId="0" fontId="2" fillId="0" borderId="261" xfId="0" applyFont="1" applyFill="1" applyBorder="1"/>
    <xf numFmtId="0" fontId="2" fillId="0" borderId="262" xfId="0" applyFont="1" applyFill="1" applyBorder="1"/>
    <xf numFmtId="0" fontId="2" fillId="0" borderId="263" xfId="0" applyFont="1" applyFill="1" applyBorder="1"/>
    <xf numFmtId="0" fontId="2" fillId="0" borderId="264" xfId="0" applyFont="1" applyFill="1" applyBorder="1"/>
    <xf numFmtId="0" fontId="2" fillId="0" borderId="265" xfId="0" applyFont="1" applyFill="1" applyBorder="1"/>
    <xf numFmtId="0" fontId="2" fillId="0" borderId="266" xfId="0" applyFont="1" applyFill="1" applyBorder="1"/>
    <xf numFmtId="0" fontId="2" fillId="0" borderId="267" xfId="0" applyFont="1" applyFill="1" applyBorder="1"/>
    <xf numFmtId="0" fontId="2" fillId="0" borderId="268" xfId="0" applyFont="1" applyFill="1" applyBorder="1"/>
    <xf numFmtId="0" fontId="2" fillId="21" borderId="269" xfId="0" applyFont="1" applyFill="1" applyBorder="1"/>
    <xf numFmtId="0" fontId="2" fillId="21" borderId="270" xfId="0" applyFont="1" applyFill="1" applyBorder="1"/>
    <xf numFmtId="0" fontId="2" fillId="0" borderId="271" xfId="0" applyFont="1" applyFill="1" applyBorder="1"/>
    <xf numFmtId="0" fontId="2" fillId="0" borderId="162" xfId="0" applyFont="1" applyFill="1" applyBorder="1"/>
    <xf numFmtId="0" fontId="2" fillId="0" borderId="164" xfId="0" applyFont="1" applyFill="1" applyBorder="1"/>
    <xf numFmtId="0" fontId="2" fillId="0" borderId="272" xfId="0" applyFont="1" applyFill="1" applyBorder="1"/>
    <xf numFmtId="0" fontId="2" fillId="0" borderId="273" xfId="0" applyFont="1" applyFill="1" applyBorder="1"/>
    <xf numFmtId="0" fontId="2" fillId="0" borderId="274" xfId="0" applyFont="1" applyFill="1" applyBorder="1"/>
    <xf numFmtId="0" fontId="2" fillId="0" borderId="275" xfId="0" applyFont="1" applyFill="1" applyBorder="1"/>
    <xf numFmtId="0" fontId="2" fillId="0" borderId="276" xfId="0" applyFont="1" applyFill="1" applyBorder="1"/>
    <xf numFmtId="0" fontId="2" fillId="0" borderId="277" xfId="0" applyFont="1" applyFill="1" applyBorder="1"/>
    <xf numFmtId="0" fontId="2" fillId="21" borderId="277" xfId="0" applyFont="1" applyFill="1" applyBorder="1"/>
    <xf numFmtId="0" fontId="2" fillId="0" borderId="242" xfId="0" applyFont="1" applyFill="1" applyBorder="1"/>
    <xf numFmtId="0" fontId="2" fillId="21" borderId="278" xfId="0" applyFont="1" applyFill="1" applyBorder="1"/>
    <xf numFmtId="0" fontId="2" fillId="0" borderId="175" xfId="0" applyFont="1" applyFill="1" applyBorder="1"/>
    <xf numFmtId="0" fontId="2" fillId="0" borderId="279" xfId="0" applyFont="1" applyFill="1" applyBorder="1"/>
    <xf numFmtId="0" fontId="2" fillId="0" borderId="280" xfId="0" applyFont="1" applyFill="1" applyBorder="1"/>
    <xf numFmtId="0" fontId="2" fillId="0" borderId="281" xfId="0" applyFont="1" applyFill="1" applyBorder="1"/>
    <xf numFmtId="0" fontId="2" fillId="0" borderId="282" xfId="0" applyFont="1" applyFill="1" applyBorder="1"/>
    <xf numFmtId="0" fontId="2" fillId="0" borderId="283" xfId="0" applyFont="1" applyFill="1" applyBorder="1"/>
    <xf numFmtId="0" fontId="2" fillId="21" borderId="284" xfId="0" applyFont="1" applyFill="1" applyBorder="1"/>
    <xf numFmtId="0" fontId="2" fillId="21" borderId="285" xfId="0" applyFont="1" applyFill="1" applyBorder="1"/>
    <xf numFmtId="0" fontId="2" fillId="21" borderId="286" xfId="0" applyFont="1" applyFill="1" applyBorder="1"/>
    <xf numFmtId="0" fontId="2" fillId="21" borderId="287" xfId="0" applyFont="1" applyFill="1" applyBorder="1"/>
    <xf numFmtId="0" fontId="2" fillId="21" borderId="288" xfId="0" applyFont="1" applyFill="1" applyBorder="1"/>
    <xf numFmtId="0" fontId="2" fillId="21" borderId="289" xfId="0" applyFont="1" applyFill="1" applyBorder="1"/>
    <xf numFmtId="0" fontId="2" fillId="21" borderId="290" xfId="0" applyFont="1" applyFill="1" applyBorder="1"/>
    <xf numFmtId="0" fontId="2" fillId="0" borderId="252" xfId="0" applyNumberFormat="1" applyFont="1" applyFill="1" applyBorder="1"/>
    <xf numFmtId="0" fontId="2" fillId="0" borderId="253" xfId="0" applyNumberFormat="1" applyFont="1" applyFill="1" applyBorder="1"/>
    <xf numFmtId="0" fontId="2" fillId="0" borderId="273" xfId="0" applyNumberFormat="1" applyFont="1" applyFill="1" applyBorder="1"/>
    <xf numFmtId="0" fontId="2" fillId="0" borderId="291" xfId="0" applyNumberFormat="1" applyFont="1" applyFill="1" applyBorder="1"/>
    <xf numFmtId="0" fontId="2" fillId="0" borderId="274" xfId="0" applyNumberFormat="1" applyFont="1" applyFill="1" applyBorder="1"/>
    <xf numFmtId="0" fontId="2" fillId="0" borderId="268" xfId="0" applyNumberFormat="1" applyFont="1" applyFill="1" applyBorder="1"/>
    <xf numFmtId="0" fontId="2" fillId="0" borderId="292" xfId="0" applyNumberFormat="1" applyFont="1" applyFill="1" applyBorder="1"/>
    <xf numFmtId="175" fontId="2" fillId="0" borderId="26" xfId="0" applyNumberFormat="1" applyFont="1" applyBorder="1"/>
    <xf numFmtId="175" fontId="2" fillId="0" borderId="27" xfId="0" applyNumberFormat="1" applyFont="1" applyBorder="1"/>
    <xf numFmtId="175" fontId="2" fillId="0" borderId="10" xfId="0" applyNumberFormat="1" applyFont="1" applyBorder="1"/>
    <xf numFmtId="175" fontId="4" fillId="0" borderId="3" xfId="0" applyNumberFormat="1" applyFont="1" applyBorder="1"/>
    <xf numFmtId="175" fontId="4" fillId="0" borderId="112" xfId="0" applyNumberFormat="1" applyFont="1" applyBorder="1"/>
    <xf numFmtId="175" fontId="4" fillId="0" borderId="123" xfId="0" applyNumberFormat="1" applyFont="1" applyBorder="1"/>
    <xf numFmtId="175" fontId="4" fillId="0" borderId="293" xfId="0" applyNumberFormat="1" applyFont="1" applyBorder="1"/>
    <xf numFmtId="175" fontId="2" fillId="0" borderId="112" xfId="0" applyNumberFormat="1" applyFont="1" applyBorder="1"/>
    <xf numFmtId="175" fontId="2" fillId="0" borderId="0" xfId="0" applyNumberFormat="1" applyFont="1" applyBorder="1"/>
    <xf numFmtId="169" fontId="2" fillId="0" borderId="24" xfId="0" applyNumberFormat="1" applyFont="1" applyBorder="1" applyAlignment="1">
      <alignment horizontal="center" textRotation="90"/>
    </xf>
    <xf numFmtId="169" fontId="2" fillId="0" borderId="120" xfId="0" applyNumberFormat="1" applyFont="1" applyBorder="1" applyAlignment="1">
      <alignment horizontal="center" textRotation="90"/>
    </xf>
    <xf numFmtId="169" fontId="2" fillId="0" borderId="109" xfId="0" applyNumberFormat="1" applyFont="1" applyBorder="1" applyAlignment="1">
      <alignment horizontal="center" textRotation="90"/>
    </xf>
    <xf numFmtId="169" fontId="2" fillId="0" borderId="29" xfId="0" applyNumberFormat="1" applyFont="1" applyBorder="1" applyAlignment="1">
      <alignment horizontal="center" textRotation="90"/>
    </xf>
    <xf numFmtId="169" fontId="2" fillId="0" borderId="116" xfId="0" applyNumberFormat="1" applyFont="1" applyBorder="1" applyAlignment="1">
      <alignment horizontal="center" textRotation="90"/>
    </xf>
    <xf numFmtId="166" fontId="4" fillId="0" borderId="3" xfId="0" applyNumberFormat="1" applyFont="1" applyBorder="1" applyAlignment="1">
      <alignment horizontal="center" textRotation="90"/>
    </xf>
    <xf numFmtId="166" fontId="4" fillId="0" borderId="121" xfId="0" applyNumberFormat="1" applyFont="1" applyBorder="1" applyAlignment="1">
      <alignment horizontal="center" textRotation="90"/>
    </xf>
    <xf numFmtId="166" fontId="4" fillId="0" borderId="110" xfId="0" applyNumberFormat="1" applyFont="1" applyBorder="1" applyAlignment="1">
      <alignment horizontal="center" textRotation="90"/>
    </xf>
    <xf numFmtId="166" fontId="4" fillId="0" borderId="112" xfId="0" applyNumberFormat="1" applyFont="1" applyBorder="1" applyAlignment="1">
      <alignment horizontal="center" textRotation="90"/>
    </xf>
    <xf numFmtId="166" fontId="4" fillId="0" borderId="123" xfId="0" applyNumberFormat="1" applyFont="1" applyBorder="1" applyAlignment="1">
      <alignment horizontal="center" textRotation="90"/>
    </xf>
    <xf numFmtId="1" fontId="2" fillId="0" borderId="26" xfId="0" applyNumberFormat="1" applyFont="1" applyBorder="1" applyAlignment="1">
      <alignment horizontal="center" textRotation="90"/>
    </xf>
    <xf numFmtId="1" fontId="2" fillId="0" borderId="122" xfId="0" applyNumberFormat="1" applyFont="1" applyBorder="1" applyAlignment="1">
      <alignment horizontal="center" textRotation="90"/>
    </xf>
    <xf numFmtId="1" fontId="2" fillId="0" borderId="118" xfId="0" applyNumberFormat="1" applyFont="1" applyBorder="1" applyAlignment="1">
      <alignment horizontal="center" textRotation="90"/>
    </xf>
    <xf numFmtId="1" fontId="2" fillId="0" borderId="113" xfId="0" applyNumberFormat="1" applyFont="1" applyBorder="1" applyAlignment="1">
      <alignment horizontal="center" textRotation="90"/>
    </xf>
    <xf numFmtId="1" fontId="2" fillId="0" borderId="117" xfId="0" applyNumberFormat="1" applyFont="1" applyBorder="1" applyAlignment="1">
      <alignment horizontal="center" textRotation="90"/>
    </xf>
    <xf numFmtId="0" fontId="108" fillId="0" borderId="24" xfId="0" applyFont="1" applyBorder="1"/>
    <xf numFmtId="0" fontId="109" fillId="0" borderId="3" xfId="0" applyFont="1" applyBorder="1"/>
    <xf numFmtId="14" fontId="2" fillId="0" borderId="294" xfId="0" applyNumberFormat="1" applyFont="1" applyBorder="1" applyAlignment="1">
      <alignment textRotation="90"/>
    </xf>
    <xf numFmtId="169" fontId="2" fillId="0" borderId="295" xfId="0" applyNumberFormat="1" applyFont="1" applyBorder="1" applyAlignment="1">
      <alignment horizontal="center" textRotation="90"/>
    </xf>
    <xf numFmtId="166" fontId="4" fillId="0" borderId="296" xfId="0" applyNumberFormat="1" applyFont="1" applyBorder="1" applyAlignment="1">
      <alignment horizontal="center" textRotation="90"/>
    </xf>
    <xf numFmtId="1" fontId="2" fillId="0" borderId="297" xfId="0" applyNumberFormat="1" applyFont="1" applyBorder="1" applyAlignment="1">
      <alignment horizontal="center" textRotation="90"/>
    </xf>
    <xf numFmtId="14" fontId="2" fillId="0" borderId="10" xfId="0" applyNumberFormat="1" applyFont="1" applyBorder="1"/>
    <xf numFmtId="0" fontId="2" fillId="0" borderId="15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8" xfId="0" applyFont="1" applyBorder="1"/>
    <xf numFmtId="14" fontId="2" fillId="0" borderId="142" xfId="0" applyNumberFormat="1" applyFont="1" applyBorder="1"/>
    <xf numFmtId="14" fontId="2" fillId="0" borderId="298" xfId="0" applyNumberFormat="1" applyFont="1" applyBorder="1" applyAlignment="1">
      <alignment textRotation="90"/>
    </xf>
    <xf numFmtId="169" fontId="2" fillId="0" borderId="299" xfId="0" applyNumberFormat="1" applyFont="1" applyBorder="1" applyAlignment="1">
      <alignment horizontal="center" textRotation="90"/>
    </xf>
    <xf numFmtId="166" fontId="4" fillId="0" borderId="300" xfId="0" applyNumberFormat="1" applyFont="1" applyBorder="1" applyAlignment="1">
      <alignment horizontal="center" textRotation="90"/>
    </xf>
    <xf numFmtId="1" fontId="2" fillId="0" borderId="301" xfId="0" applyNumberFormat="1" applyFont="1" applyBorder="1" applyAlignment="1">
      <alignment horizontal="center" textRotation="90"/>
    </xf>
    <xf numFmtId="0" fontId="2" fillId="0" borderId="31" xfId="0" applyFont="1" applyFill="1" applyBorder="1" applyAlignment="1">
      <alignment horizontal="right"/>
    </xf>
    <xf numFmtId="0" fontId="4" fillId="0" borderId="127" xfId="0" applyFont="1" applyBorder="1"/>
    <xf numFmtId="12" fontId="2" fillId="0" borderId="127" xfId="0" applyNumberFormat="1" applyFont="1" applyBorder="1" applyAlignment="1"/>
    <xf numFmtId="2" fontId="2" fillId="0" borderId="127" xfId="0" applyNumberFormat="1" applyFont="1" applyBorder="1"/>
    <xf numFmtId="168" fontId="2" fillId="0" borderId="127" xfId="0" applyNumberFormat="1" applyFont="1" applyBorder="1" applyAlignment="1">
      <alignment horizontal="left"/>
    </xf>
    <xf numFmtId="0" fontId="2" fillId="0" borderId="302" xfId="0" applyNumberFormat="1" applyFont="1" applyFill="1" applyBorder="1" applyAlignment="1">
      <alignment horizontal="right"/>
    </xf>
    <xf numFmtId="0" fontId="2" fillId="0" borderId="138" xfId="0" applyNumberFormat="1" applyFont="1" applyFill="1" applyBorder="1" applyAlignment="1">
      <alignment horizontal="right"/>
    </xf>
    <xf numFmtId="0" fontId="2" fillId="0" borderId="126" xfId="0" applyNumberFormat="1" applyFont="1" applyFill="1" applyBorder="1" applyAlignment="1">
      <alignment horizontal="right"/>
    </xf>
    <xf numFmtId="0" fontId="2" fillId="0" borderId="303" xfId="0" applyNumberFormat="1" applyFont="1" applyFill="1" applyBorder="1" applyAlignment="1">
      <alignment horizontal="right"/>
    </xf>
    <xf numFmtId="0" fontId="2" fillId="0" borderId="144" xfId="0" applyFont="1" applyBorder="1"/>
    <xf numFmtId="0" fontId="107" fillId="0" borderId="130" xfId="0" applyFont="1" applyFill="1" applyBorder="1" applyAlignment="1">
      <alignment vertical="center"/>
    </xf>
    <xf numFmtId="0" fontId="4" fillId="0" borderId="131" xfId="0" applyFont="1" applyFill="1" applyBorder="1" applyAlignment="1">
      <alignment horizontal="right"/>
    </xf>
    <xf numFmtId="12" fontId="2" fillId="0" borderId="131" xfId="0" applyNumberFormat="1" applyFont="1" applyBorder="1" applyAlignment="1"/>
    <xf numFmtId="2" fontId="2" fillId="0" borderId="131" xfId="0" applyNumberFormat="1" applyFont="1" applyBorder="1"/>
    <xf numFmtId="168" fontId="2" fillId="0" borderId="304" xfId="0" applyNumberFormat="1" applyFont="1" applyFill="1" applyBorder="1" applyAlignment="1">
      <alignment horizontal="left"/>
    </xf>
    <xf numFmtId="165" fontId="2" fillId="0" borderId="305" xfId="0" applyNumberFormat="1" applyFont="1" applyBorder="1"/>
    <xf numFmtId="0" fontId="2" fillId="0" borderId="124" xfId="0" applyNumberFormat="1" applyFont="1" applyFill="1" applyBorder="1" applyAlignment="1">
      <alignment horizontal="right"/>
    </xf>
    <xf numFmtId="0" fontId="2" fillId="0" borderId="125" xfId="0" applyNumberFormat="1" applyFont="1" applyFill="1" applyBorder="1" applyAlignment="1">
      <alignment horizontal="right"/>
    </xf>
    <xf numFmtId="0" fontId="2" fillId="0" borderId="139" xfId="0" applyNumberFormat="1" applyFont="1" applyFill="1" applyBorder="1" applyAlignment="1">
      <alignment horizontal="right"/>
    </xf>
    <xf numFmtId="0" fontId="2" fillId="0" borderId="306" xfId="0" applyNumberFormat="1" applyFont="1" applyFill="1" applyBorder="1" applyAlignment="1">
      <alignment horizontal="right"/>
    </xf>
    <xf numFmtId="0" fontId="2" fillId="0" borderId="307" xfId="0" applyNumberFormat="1" applyFont="1" applyFill="1" applyBorder="1" applyAlignment="1">
      <alignment horizontal="right"/>
    </xf>
    <xf numFmtId="0" fontId="2" fillId="0" borderId="129" xfId="0" applyNumberFormat="1" applyFont="1" applyFill="1" applyBorder="1" applyAlignment="1">
      <alignment horizontal="right"/>
    </xf>
    <xf numFmtId="0" fontId="2" fillId="0" borderId="253" xfId="0" applyNumberFormat="1" applyFont="1" applyFill="1" applyBorder="1" applyAlignment="1">
      <alignment horizontal="right"/>
    </xf>
    <xf numFmtId="0" fontId="2" fillId="0" borderId="252" xfId="0" applyNumberFormat="1" applyFont="1" applyFill="1" applyBorder="1" applyAlignment="1">
      <alignment horizontal="right"/>
    </xf>
    <xf numFmtId="0" fontId="2" fillId="0" borderId="308" xfId="0" applyNumberFormat="1" applyFont="1" applyFill="1" applyBorder="1" applyAlignment="1">
      <alignment horizontal="right"/>
    </xf>
    <xf numFmtId="0" fontId="2" fillId="0" borderId="309" xfId="0" applyNumberFormat="1" applyFont="1" applyFill="1" applyBorder="1" applyAlignment="1">
      <alignment horizontal="right"/>
    </xf>
    <xf numFmtId="0" fontId="2" fillId="0" borderId="146" xfId="0" applyNumberFormat="1" applyFont="1" applyFill="1" applyBorder="1" applyAlignment="1">
      <alignment horizontal="right"/>
    </xf>
    <xf numFmtId="0" fontId="2" fillId="0" borderId="241" xfId="0" applyNumberFormat="1" applyFont="1" applyFill="1" applyBorder="1" applyAlignment="1">
      <alignment horizontal="right"/>
    </xf>
    <xf numFmtId="0" fontId="2" fillId="0" borderId="310" xfId="0" applyNumberFormat="1" applyFont="1" applyFill="1" applyBorder="1" applyAlignment="1">
      <alignment horizontal="right"/>
    </xf>
    <xf numFmtId="0" fontId="2" fillId="0" borderId="274" xfId="0" applyNumberFormat="1" applyFont="1" applyFill="1" applyBorder="1" applyAlignment="1">
      <alignment horizontal="right"/>
    </xf>
    <xf numFmtId="0" fontId="2" fillId="0" borderId="273" xfId="0" applyNumberFormat="1" applyFont="1" applyFill="1" applyBorder="1" applyAlignment="1">
      <alignment horizontal="right"/>
    </xf>
    <xf numFmtId="0" fontId="2" fillId="0" borderId="311" xfId="0" applyNumberFormat="1" applyFont="1" applyFill="1" applyBorder="1" applyAlignment="1">
      <alignment horizontal="right"/>
    </xf>
    <xf numFmtId="0" fontId="2" fillId="0" borderId="291" xfId="0" applyNumberFormat="1" applyFont="1" applyFill="1" applyBorder="1" applyAlignment="1">
      <alignment horizontal="right"/>
    </xf>
    <xf numFmtId="0" fontId="2" fillId="0" borderId="312" xfId="0" applyNumberFormat="1" applyFont="1" applyFill="1" applyBorder="1" applyAlignment="1">
      <alignment horizontal="right"/>
    </xf>
    <xf numFmtId="0" fontId="2" fillId="0" borderId="313" xfId="0" applyNumberFormat="1" applyFont="1" applyFill="1" applyBorder="1" applyAlignment="1">
      <alignment horizontal="right"/>
    </xf>
    <xf numFmtId="0" fontId="2" fillId="0" borderId="314" xfId="0" applyNumberFormat="1" applyFont="1" applyFill="1" applyBorder="1" applyAlignment="1">
      <alignment horizontal="right"/>
    </xf>
    <xf numFmtId="0" fontId="2" fillId="0" borderId="315" xfId="0" applyNumberFormat="1" applyFont="1" applyFill="1" applyBorder="1" applyAlignment="1">
      <alignment horizontal="right"/>
    </xf>
    <xf numFmtId="0" fontId="2" fillId="0" borderId="316" xfId="0" applyNumberFormat="1" applyFont="1" applyFill="1" applyBorder="1" applyAlignment="1">
      <alignment horizontal="right"/>
    </xf>
    <xf numFmtId="0" fontId="2" fillId="0" borderId="317" xfId="0" applyNumberFormat="1" applyFont="1" applyFill="1" applyBorder="1" applyAlignment="1">
      <alignment horizontal="right"/>
    </xf>
    <xf numFmtId="0" fontId="2" fillId="0" borderId="318" xfId="0" applyNumberFormat="1" applyFont="1" applyFill="1" applyBorder="1" applyAlignment="1">
      <alignment horizontal="right"/>
    </xf>
    <xf numFmtId="0" fontId="2" fillId="0" borderId="319" xfId="0" applyNumberFormat="1" applyFont="1" applyFill="1" applyBorder="1" applyAlignment="1">
      <alignment horizontal="right"/>
    </xf>
    <xf numFmtId="0" fontId="2" fillId="0" borderId="320" xfId="0" applyNumberFormat="1" applyFont="1" applyFill="1" applyBorder="1" applyAlignment="1">
      <alignment horizontal="right"/>
    </xf>
    <xf numFmtId="0" fontId="2" fillId="0" borderId="321" xfId="0" applyNumberFormat="1" applyFont="1" applyFill="1" applyBorder="1" applyAlignment="1">
      <alignment horizontal="right"/>
    </xf>
    <xf numFmtId="0" fontId="2" fillId="0" borderId="322" xfId="0" applyNumberFormat="1" applyFont="1" applyFill="1" applyBorder="1" applyAlignment="1">
      <alignment horizontal="right"/>
    </xf>
    <xf numFmtId="168" fontId="2" fillId="0" borderId="131" xfId="0" applyNumberFormat="1" applyFont="1" applyBorder="1" applyAlignment="1">
      <alignment horizontal="center"/>
    </xf>
    <xf numFmtId="14" fontId="2" fillId="0" borderId="25" xfId="0" applyNumberFormat="1" applyFont="1" applyBorder="1"/>
    <xf numFmtId="14" fontId="2" fillId="0" borderId="14" xfId="0" applyNumberFormat="1" applyFont="1" applyBorder="1" applyAlignment="1">
      <alignment horizontal="center"/>
    </xf>
    <xf numFmtId="0" fontId="20" fillId="22" borderId="46" xfId="0" applyFont="1" applyFill="1" applyBorder="1" applyAlignment="1">
      <alignment horizontal="center" vertical="center" wrapText="1"/>
    </xf>
    <xf numFmtId="0" fontId="0" fillId="22" borderId="44" xfId="0" applyFill="1" applyBorder="1" applyAlignment="1">
      <alignment horizontal="center" vertical="center" wrapText="1"/>
    </xf>
    <xf numFmtId="0" fontId="18" fillId="21" borderId="46" xfId="0" applyFont="1" applyFill="1" applyBorder="1" applyAlignment="1">
      <alignment horizontal="center" vertical="center" wrapText="1"/>
    </xf>
    <xf numFmtId="0" fontId="0" fillId="21" borderId="47" xfId="0" applyFill="1" applyBorder="1" applyAlignment="1">
      <alignment horizontal="center" vertical="center"/>
    </xf>
    <xf numFmtId="0" fontId="20" fillId="22" borderId="44" xfId="0" applyFont="1" applyFill="1" applyBorder="1" applyAlignment="1">
      <alignment horizontal="center" vertical="center" wrapText="1"/>
    </xf>
    <xf numFmtId="0" fontId="19" fillId="0" borderId="76" xfId="0" applyFont="1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0" fillId="0" borderId="104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19" fillId="0" borderId="77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19" fillId="0" borderId="70" xfId="0" applyFont="1" applyBorder="1" applyAlignment="1">
      <alignment horizontal="center" vertical="center" wrapText="1"/>
    </xf>
    <xf numFmtId="0" fontId="19" fillId="0" borderId="104" xfId="0" applyFont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 wrapText="1"/>
    </xf>
    <xf numFmtId="0" fontId="16" fillId="0" borderId="33" xfId="0" applyFont="1" applyBorder="1" applyAlignment="1">
      <alignment horizontal="center" vertical="center" wrapText="1"/>
    </xf>
    <xf numFmtId="0" fontId="16" fillId="0" borderId="44" xfId="0" applyFont="1" applyBorder="1" applyAlignment="1">
      <alignment horizontal="center" vertical="center" wrapText="1"/>
    </xf>
    <xf numFmtId="0" fontId="16" fillId="0" borderId="36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top" wrapText="1"/>
    </xf>
    <xf numFmtId="0" fontId="0" fillId="0" borderId="44" xfId="0" applyBorder="1" applyAlignment="1">
      <alignment vertical="top" wrapText="1"/>
    </xf>
    <xf numFmtId="0" fontId="0" fillId="0" borderId="36" xfId="0" applyBorder="1" applyAlignment="1">
      <alignment vertical="top" wrapText="1"/>
    </xf>
    <xf numFmtId="0" fontId="19" fillId="21" borderId="97" xfId="0" applyFont="1" applyFill="1" applyBorder="1" applyAlignment="1">
      <alignment horizontal="right" vertical="top" wrapText="1"/>
    </xf>
    <xf numFmtId="0" fontId="19" fillId="21" borderId="52" xfId="0" applyFont="1" applyFill="1" applyBorder="1" applyAlignment="1">
      <alignment horizontal="center" vertical="top" wrapText="1"/>
    </xf>
    <xf numFmtId="0" fontId="19" fillId="0" borderId="75" xfId="0" applyFont="1" applyBorder="1" applyAlignment="1">
      <alignment horizontal="center" vertical="center" wrapText="1"/>
    </xf>
    <xf numFmtId="0" fontId="19" fillId="0" borderId="323" xfId="0" applyFont="1" applyBorder="1" applyAlignment="1">
      <alignment horizontal="center" vertical="center" wrapText="1"/>
    </xf>
    <xf numFmtId="0" fontId="19" fillId="0" borderId="324" xfId="0" applyFont="1" applyBorder="1" applyAlignment="1">
      <alignment horizontal="center" vertical="center" wrapText="1"/>
    </xf>
    <xf numFmtId="0" fontId="19" fillId="0" borderId="325" xfId="0" applyFont="1" applyBorder="1" applyAlignment="1">
      <alignment horizontal="center" vertical="center" wrapText="1"/>
    </xf>
    <xf numFmtId="0" fontId="19" fillId="0" borderId="326" xfId="0" applyFont="1" applyBorder="1" applyAlignment="1">
      <alignment horizontal="center" vertical="center" wrapText="1"/>
    </xf>
    <xf numFmtId="2" fontId="37" fillId="21" borderId="78" xfId="0" applyNumberFormat="1" applyFont="1" applyFill="1" applyBorder="1" applyAlignment="1">
      <alignment horizontal="right" vertical="top" wrapText="1"/>
    </xf>
    <xf numFmtId="0" fontId="0" fillId="0" borderId="323" xfId="0" applyBorder="1" applyAlignment="1">
      <alignment horizontal="center" vertical="center" wrapText="1"/>
    </xf>
    <xf numFmtId="0" fontId="0" fillId="0" borderId="324" xfId="0" applyBorder="1" applyAlignment="1">
      <alignment horizontal="center" vertical="center" wrapText="1"/>
    </xf>
    <xf numFmtId="0" fontId="0" fillId="0" borderId="325" xfId="0" applyBorder="1" applyAlignment="1">
      <alignment horizontal="center" vertical="center" wrapText="1"/>
    </xf>
    <xf numFmtId="0" fontId="0" fillId="0" borderId="326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20" fillId="0" borderId="46" xfId="0" applyFont="1" applyBorder="1" applyAlignment="1">
      <alignment horizontal="center" vertical="center" wrapText="1"/>
    </xf>
    <xf numFmtId="0" fontId="19" fillId="0" borderId="327" xfId="0" applyFont="1" applyBorder="1" applyAlignment="1">
      <alignment horizontal="center" vertical="center" wrapText="1"/>
    </xf>
    <xf numFmtId="0" fontId="0" fillId="0" borderId="327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19" fillId="22" borderId="102" xfId="0" applyFont="1" applyFill="1" applyBorder="1" applyAlignment="1">
      <alignment horizontal="right" vertical="top" wrapText="1"/>
    </xf>
    <xf numFmtId="0" fontId="19" fillId="22" borderId="100" xfId="0" applyFont="1" applyFill="1" applyBorder="1" applyAlignment="1">
      <alignment horizontal="right" vertical="top" wrapText="1"/>
    </xf>
    <xf numFmtId="0" fontId="25" fillId="0" borderId="32" xfId="0" applyFont="1" applyBorder="1" applyAlignment="1">
      <alignment horizontal="center" vertical="top" wrapText="1"/>
    </xf>
    <xf numFmtId="0" fontId="25" fillId="0" borderId="53" xfId="0" applyFont="1" applyBorder="1" applyAlignment="1">
      <alignment horizontal="center" vertical="top" wrapText="1"/>
    </xf>
    <xf numFmtId="2" fontId="25" fillId="0" borderId="51" xfId="0" applyNumberFormat="1" applyFont="1" applyBorder="1" applyAlignment="1">
      <alignment horizontal="center" vertical="top" wrapText="1"/>
    </xf>
    <xf numFmtId="0" fontId="41" fillId="0" borderId="32" xfId="0" applyFont="1" applyBorder="1" applyAlignment="1">
      <alignment horizontal="center" vertical="top" wrapText="1"/>
    </xf>
    <xf numFmtId="0" fontId="41" fillId="0" borderId="53" xfId="0" applyFont="1" applyBorder="1" applyAlignment="1">
      <alignment horizontal="center" vertical="top" wrapText="1"/>
    </xf>
    <xf numFmtId="0" fontId="51" fillId="0" borderId="32" xfId="0" applyFont="1" applyBorder="1" applyAlignment="1">
      <alignment horizontal="center" vertical="top" wrapText="1"/>
    </xf>
    <xf numFmtId="0" fontId="51" fillId="0" borderId="53" xfId="0" applyFont="1" applyBorder="1" applyAlignment="1">
      <alignment horizontal="center" vertical="top" wrapText="1"/>
    </xf>
    <xf numFmtId="0" fontId="21" fillId="21" borderId="75" xfId="0" applyFont="1" applyFill="1" applyBorder="1" applyAlignment="1">
      <alignment horizontal="center" vertical="center" wrapText="1"/>
    </xf>
    <xf numFmtId="0" fontId="47" fillId="21" borderId="76" xfId="0" applyFont="1" applyFill="1" applyBorder="1" applyAlignment="1">
      <alignment horizontal="center" vertical="center" wrapText="1"/>
    </xf>
    <xf numFmtId="0" fontId="47" fillId="21" borderId="77" xfId="0" applyFont="1" applyFill="1" applyBorder="1" applyAlignment="1">
      <alignment horizontal="center" vertical="center" wrapText="1"/>
    </xf>
    <xf numFmtId="0" fontId="47" fillId="21" borderId="45" xfId="0" applyFont="1" applyFill="1" applyBorder="1" applyAlignment="1">
      <alignment horizontal="center" vertical="center" wrapText="1"/>
    </xf>
    <xf numFmtId="0" fontId="47" fillId="21" borderId="0" xfId="0" applyFont="1" applyFill="1" applyBorder="1" applyAlignment="1">
      <alignment horizontal="center" vertical="center" wrapText="1"/>
    </xf>
    <xf numFmtId="0" fontId="47" fillId="21" borderId="70" xfId="0" applyFont="1" applyFill="1" applyBorder="1" applyAlignment="1">
      <alignment horizontal="center" vertical="center" wrapText="1"/>
    </xf>
    <xf numFmtId="2" fontId="30" fillId="0" borderId="51" xfId="0" applyNumberFormat="1" applyFont="1" applyBorder="1" applyAlignment="1">
      <alignment horizontal="center" vertical="center" wrapText="1"/>
    </xf>
    <xf numFmtId="0" fontId="30" fillId="0" borderId="49" xfId="0" applyFont="1" applyBorder="1" applyAlignment="1">
      <alignment horizontal="center" vertical="center" wrapText="1"/>
    </xf>
    <xf numFmtId="2" fontId="30" fillId="0" borderId="49" xfId="0" applyNumberFormat="1" applyFont="1" applyBorder="1" applyAlignment="1">
      <alignment horizontal="center" vertical="center" wrapText="1"/>
    </xf>
    <xf numFmtId="0" fontId="19" fillId="21" borderId="56" xfId="0" applyFont="1" applyFill="1" applyBorder="1" applyAlignment="1">
      <alignment horizontal="center" vertical="top" wrapText="1"/>
    </xf>
    <xf numFmtId="0" fontId="19" fillId="21" borderId="60" xfId="0" applyFont="1" applyFill="1" applyBorder="1" applyAlignment="1">
      <alignment horizontal="center" vertical="top" wrapText="1"/>
    </xf>
    <xf numFmtId="2" fontId="37" fillId="21" borderId="79" xfId="0" applyNumberFormat="1" applyFont="1" applyFill="1" applyBorder="1" applyAlignment="1">
      <alignment horizontal="right" vertical="top" wrapText="1"/>
    </xf>
    <xf numFmtId="2" fontId="37" fillId="21" borderId="80" xfId="0" applyNumberFormat="1" applyFont="1" applyFill="1" applyBorder="1" applyAlignment="1">
      <alignment horizontal="right" vertical="top" wrapText="1"/>
    </xf>
    <xf numFmtId="0" fontId="19" fillId="21" borderId="102" xfId="0" applyFont="1" applyFill="1" applyBorder="1" applyAlignment="1">
      <alignment horizontal="right" vertical="top" wrapText="1"/>
    </xf>
    <xf numFmtId="0" fontId="19" fillId="21" borderId="100" xfId="0" applyFont="1" applyFill="1" applyBorder="1" applyAlignment="1">
      <alignment horizontal="right" vertical="top" wrapText="1"/>
    </xf>
    <xf numFmtId="0" fontId="17" fillId="0" borderId="46" xfId="0" applyFont="1" applyBorder="1" applyAlignment="1">
      <alignment horizontal="center" vertical="top" wrapText="1"/>
    </xf>
    <xf numFmtId="0" fontId="17" fillId="0" borderId="47" xfId="0" applyFont="1" applyBorder="1" applyAlignment="1">
      <alignment horizontal="center" vertical="top" wrapText="1"/>
    </xf>
    <xf numFmtId="0" fontId="36" fillId="0" borderId="51" xfId="0" applyFont="1" applyBorder="1" applyAlignment="1">
      <alignment horizontal="center"/>
    </xf>
    <xf numFmtId="0" fontId="36" fillId="0" borderId="32" xfId="0" applyFont="1" applyBorder="1" applyAlignment="1">
      <alignment horizontal="center"/>
    </xf>
    <xf numFmtId="0" fontId="36" fillId="0" borderId="53" xfId="0" applyFont="1" applyBorder="1" applyAlignment="1">
      <alignment horizontal="center"/>
    </xf>
    <xf numFmtId="0" fontId="17" fillId="0" borderId="44" xfId="0" applyFont="1" applyBorder="1" applyAlignment="1">
      <alignment horizontal="center" vertical="top" wrapText="1"/>
    </xf>
    <xf numFmtId="2" fontId="22" fillId="21" borderId="78" xfId="0" applyNumberFormat="1" applyFont="1" applyFill="1" applyBorder="1" applyAlignment="1">
      <alignment horizontal="right" vertical="top" wrapText="1"/>
    </xf>
    <xf numFmtId="0" fontId="15" fillId="0" borderId="34" xfId="0" applyFont="1" applyBorder="1" applyAlignment="1">
      <alignment horizontal="center" vertical="top" wrapText="1"/>
    </xf>
    <xf numFmtId="0" fontId="16" fillId="0" borderId="34" xfId="0" applyFont="1" applyBorder="1" applyAlignment="1">
      <alignment horizontal="center" vertical="center" wrapText="1"/>
    </xf>
    <xf numFmtId="0" fontId="19" fillId="0" borderId="328" xfId="0" applyFont="1" applyBorder="1" applyAlignment="1">
      <alignment horizontal="center" vertical="center" wrapText="1"/>
    </xf>
    <xf numFmtId="0" fontId="0" fillId="0" borderId="329" xfId="0" applyBorder="1" applyAlignment="1">
      <alignment horizontal="center" vertical="center" wrapText="1"/>
    </xf>
    <xf numFmtId="2" fontId="30" fillId="0" borderId="51" xfId="0" applyNumberFormat="1" applyFont="1" applyBorder="1" applyAlignment="1">
      <alignment horizontal="center" vertical="top" wrapText="1"/>
    </xf>
    <xf numFmtId="0" fontId="30" fillId="0" borderId="49" xfId="0" applyFont="1" applyBorder="1" applyAlignment="1">
      <alignment horizontal="center" vertical="top" wrapText="1"/>
    </xf>
    <xf numFmtId="0" fontId="0" fillId="21" borderId="44" xfId="0" applyFill="1" applyBorder="1" applyAlignment="1">
      <alignment horizontal="center" vertical="center" wrapText="1"/>
    </xf>
    <xf numFmtId="0" fontId="19" fillId="21" borderId="88" xfId="0" applyFont="1" applyFill="1" applyBorder="1" applyAlignment="1">
      <alignment horizontal="right" vertical="top" wrapText="1"/>
    </xf>
    <xf numFmtId="0" fontId="19" fillId="21" borderId="78" xfId="0" applyFont="1" applyFill="1" applyBorder="1" applyAlignment="1">
      <alignment horizontal="right" vertical="top" wrapText="1"/>
    </xf>
    <xf numFmtId="0" fontId="18" fillId="21" borderId="44" xfId="0" applyFont="1" applyFill="1" applyBorder="1" applyAlignment="1">
      <alignment horizontal="center" vertical="center" wrapText="1"/>
    </xf>
    <xf numFmtId="0" fontId="18" fillId="21" borderId="33" xfId="0" applyFont="1" applyFill="1" applyBorder="1" applyAlignment="1">
      <alignment horizontal="center" vertical="center" wrapText="1"/>
    </xf>
    <xf numFmtId="0" fontId="17" fillId="0" borderId="44" xfId="0" applyFont="1" applyBorder="1" applyAlignment="1">
      <alignment horizontal="center" vertical="center" wrapText="1"/>
    </xf>
    <xf numFmtId="0" fontId="27" fillId="21" borderId="44" xfId="0" applyFont="1" applyFill="1" applyBorder="1" applyAlignment="1">
      <alignment horizontal="center" vertical="top" wrapText="1"/>
    </xf>
    <xf numFmtId="0" fontId="0" fillId="0" borderId="49" xfId="0" applyBorder="1" applyAlignment="1">
      <alignment vertical="top" wrapText="1"/>
    </xf>
    <xf numFmtId="0" fontId="21" fillId="21" borderId="76" xfId="0" applyFont="1" applyFill="1" applyBorder="1" applyAlignment="1">
      <alignment horizontal="center" vertical="center" wrapText="1"/>
    </xf>
    <xf numFmtId="0" fontId="19" fillId="21" borderId="330" xfId="0" applyFont="1" applyFill="1" applyBorder="1" applyAlignment="1">
      <alignment horizontal="right" vertical="top" wrapText="1"/>
    </xf>
    <xf numFmtId="0" fontId="19" fillId="21" borderId="331" xfId="0" applyFont="1" applyFill="1" applyBorder="1" applyAlignment="1">
      <alignment horizontal="right" vertical="top" wrapText="1"/>
    </xf>
    <xf numFmtId="2" fontId="24" fillId="21" borderId="52" xfId="0" applyNumberFormat="1" applyFont="1" applyFill="1" applyBorder="1" applyAlignment="1">
      <alignment horizontal="right" vertical="top" wrapText="1"/>
    </xf>
    <xf numFmtId="2" fontId="24" fillId="0" borderId="52" xfId="0" applyNumberFormat="1" applyFont="1" applyBorder="1" applyAlignment="1">
      <alignment horizontal="right" vertical="top" wrapText="1"/>
    </xf>
    <xf numFmtId="2" fontId="25" fillId="0" borderId="51" xfId="0" applyNumberFormat="1" applyFont="1" applyBorder="1" applyAlignment="1">
      <alignment horizontal="center" vertical="top"/>
    </xf>
    <xf numFmtId="0" fontId="41" fillId="0" borderId="32" xfId="0" applyFont="1" applyBorder="1" applyAlignment="1">
      <alignment horizontal="center" vertical="top"/>
    </xf>
    <xf numFmtId="0" fontId="41" fillId="0" borderId="53" xfId="0" applyFont="1" applyBorder="1" applyAlignment="1">
      <alignment horizontal="center" vertical="top"/>
    </xf>
    <xf numFmtId="0" fontId="36" fillId="0" borderId="45" xfId="0" applyFont="1" applyBorder="1" applyAlignment="1">
      <alignment horizontal="center" vertical="top" wrapText="1"/>
    </xf>
    <xf numFmtId="0" fontId="36" fillId="0" borderId="0" xfId="0" applyFont="1" applyAlignment="1">
      <alignment horizontal="center" vertical="top" wrapText="1"/>
    </xf>
    <xf numFmtId="0" fontId="36" fillId="0" borderId="70" xfId="0" applyFont="1" applyBorder="1" applyAlignment="1">
      <alignment horizontal="center" vertical="top" wrapText="1"/>
    </xf>
    <xf numFmtId="2" fontId="24" fillId="0" borderId="45" xfId="0" applyNumberFormat="1" applyFont="1" applyBorder="1" applyAlignment="1">
      <alignment horizontal="right" vertical="top" wrapText="1"/>
    </xf>
    <xf numFmtId="0" fontId="0" fillId="0" borderId="0" xfId="0" applyBorder="1" applyAlignment="1">
      <alignment vertical="top" wrapText="1"/>
    </xf>
    <xf numFmtId="0" fontId="0" fillId="0" borderId="70" xfId="0" applyBorder="1" applyAlignment="1">
      <alignment vertical="top" wrapText="1"/>
    </xf>
    <xf numFmtId="0" fontId="0" fillId="0" borderId="45" xfId="0" applyBorder="1" applyAlignment="1">
      <alignment vertical="top" wrapText="1"/>
    </xf>
    <xf numFmtId="2" fontId="19" fillId="0" borderId="330" xfId="0" applyNumberFormat="1" applyFont="1" applyBorder="1" applyAlignment="1">
      <alignment horizontal="right" vertical="top" wrapText="1"/>
    </xf>
    <xf numFmtId="0" fontId="0" fillId="0" borderId="330" xfId="0" applyBorder="1" applyAlignment="1">
      <alignment horizontal="right" vertical="top" wrapText="1"/>
    </xf>
    <xf numFmtId="2" fontId="19" fillId="0" borderId="332" xfId="0" applyNumberFormat="1" applyFont="1" applyBorder="1" applyAlignment="1">
      <alignment horizontal="right" vertical="top" wrapText="1"/>
    </xf>
    <xf numFmtId="0" fontId="0" fillId="0" borderId="332" xfId="0" applyBorder="1" applyAlignment="1">
      <alignment horizontal="right" vertical="top" wrapText="1"/>
    </xf>
    <xf numFmtId="2" fontId="24" fillId="21" borderId="45" xfId="0" applyNumberFormat="1" applyFont="1" applyFill="1" applyBorder="1" applyAlignment="1">
      <alignment horizontal="right" vertical="top" wrapText="1"/>
    </xf>
    <xf numFmtId="0" fontId="42" fillId="21" borderId="0" xfId="0" applyFont="1" applyFill="1" applyBorder="1" applyAlignment="1">
      <alignment vertical="top" wrapText="1"/>
    </xf>
    <xf numFmtId="0" fontId="42" fillId="21" borderId="70" xfId="0" applyFont="1" applyFill="1" applyBorder="1" applyAlignment="1">
      <alignment vertical="top" wrapText="1"/>
    </xf>
    <xf numFmtId="0" fontId="42" fillId="21" borderId="45" xfId="0" applyFont="1" applyFill="1" applyBorder="1" applyAlignment="1">
      <alignment vertical="top" wrapText="1"/>
    </xf>
    <xf numFmtId="0" fontId="44" fillId="21" borderId="0" xfId="0" applyFont="1" applyFill="1" applyBorder="1" applyAlignment="1">
      <alignment vertical="top" wrapText="1"/>
    </xf>
    <xf numFmtId="0" fontId="44" fillId="21" borderId="70" xfId="0" applyFont="1" applyFill="1" applyBorder="1" applyAlignment="1">
      <alignment vertical="top" wrapText="1"/>
    </xf>
    <xf numFmtId="0" fontId="44" fillId="21" borderId="45" xfId="0" applyFont="1" applyFill="1" applyBorder="1" applyAlignment="1">
      <alignment vertical="top" wrapText="1"/>
    </xf>
    <xf numFmtId="0" fontId="19" fillId="21" borderId="330" xfId="0" applyFont="1" applyFill="1" applyBorder="1" applyAlignment="1">
      <alignment horizontal="right" vertical="top"/>
    </xf>
    <xf numFmtId="0" fontId="0" fillId="21" borderId="330" xfId="0" applyFill="1" applyBorder="1" applyAlignment="1">
      <alignment horizontal="right" vertical="top"/>
    </xf>
    <xf numFmtId="2" fontId="24" fillId="21" borderId="52" xfId="0" applyNumberFormat="1" applyFont="1" applyFill="1" applyBorder="1" applyAlignment="1">
      <alignment horizontal="right" vertical="top"/>
    </xf>
    <xf numFmtId="0" fontId="19" fillId="21" borderId="332" xfId="0" applyFont="1" applyFill="1" applyBorder="1" applyAlignment="1">
      <alignment horizontal="right" vertical="top"/>
    </xf>
    <xf numFmtId="0" fontId="0" fillId="21" borderId="332" xfId="0" applyFill="1" applyBorder="1" applyAlignment="1">
      <alignment horizontal="right" vertical="top"/>
    </xf>
    <xf numFmtId="0" fontId="0" fillId="0" borderId="76" xfId="0" applyBorder="1" applyAlignment="1">
      <alignment wrapText="1"/>
    </xf>
    <xf numFmtId="0" fontId="0" fillId="0" borderId="77" xfId="0" applyBorder="1" applyAlignment="1">
      <alignment wrapText="1"/>
    </xf>
    <xf numFmtId="0" fontId="0" fillId="0" borderId="45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70" xfId="0" applyBorder="1" applyAlignment="1">
      <alignment wrapText="1"/>
    </xf>
    <xf numFmtId="0" fontId="38" fillId="0" borderId="49" xfId="0" applyFont="1" applyBorder="1" applyAlignment="1">
      <alignment vertical="top" wrapText="1"/>
    </xf>
    <xf numFmtId="0" fontId="36" fillId="0" borderId="57" xfId="0" applyFont="1" applyBorder="1" applyAlignment="1">
      <alignment horizontal="center" vertical="top" wrapText="1"/>
    </xf>
    <xf numFmtId="0" fontId="36" fillId="0" borderId="55" xfId="0" applyFont="1" applyBorder="1" applyAlignment="1">
      <alignment horizontal="center" vertical="top" wrapText="1"/>
    </xf>
    <xf numFmtId="0" fontId="36" fillId="0" borderId="58" xfId="0" applyFont="1" applyBorder="1" applyAlignment="1">
      <alignment horizontal="center" vertical="top" wrapText="1"/>
    </xf>
    <xf numFmtId="0" fontId="18" fillId="22" borderId="44" xfId="0" applyFont="1" applyFill="1" applyBorder="1" applyAlignment="1">
      <alignment horizontal="center" vertical="center"/>
    </xf>
    <xf numFmtId="0" fontId="0" fillId="22" borderId="44" xfId="0" applyFill="1" applyBorder="1" applyAlignment="1">
      <alignment horizontal="center" vertical="center"/>
    </xf>
    <xf numFmtId="0" fontId="19" fillId="22" borderId="330" xfId="0" applyFont="1" applyFill="1" applyBorder="1" applyAlignment="1">
      <alignment horizontal="right" vertical="top" wrapText="1"/>
    </xf>
    <xf numFmtId="2" fontId="24" fillId="22" borderId="52" xfId="0" applyNumberFormat="1" applyFont="1" applyFill="1" applyBorder="1" applyAlignment="1">
      <alignment horizontal="right" vertical="top" wrapText="1"/>
    </xf>
    <xf numFmtId="0" fontId="19" fillId="21" borderId="99" xfId="0" applyFont="1" applyFill="1" applyBorder="1" applyAlignment="1">
      <alignment horizontal="center" vertical="center" wrapText="1"/>
    </xf>
    <xf numFmtId="0" fontId="0" fillId="21" borderId="52" xfId="0" applyFill="1" applyBorder="1" applyAlignment="1">
      <alignment wrapText="1"/>
    </xf>
    <xf numFmtId="0" fontId="19" fillId="21" borderId="75" xfId="0" applyFont="1" applyFill="1" applyBorder="1" applyAlignment="1">
      <alignment horizontal="center" vertical="center" wrapText="1"/>
    </xf>
    <xf numFmtId="0" fontId="0" fillId="21" borderId="76" xfId="0" applyFill="1" applyBorder="1" applyAlignment="1">
      <alignment wrapText="1"/>
    </xf>
    <xf numFmtId="0" fontId="0" fillId="21" borderId="77" xfId="0" applyFill="1" applyBorder="1" applyAlignment="1">
      <alignment wrapText="1"/>
    </xf>
    <xf numFmtId="0" fontId="0" fillId="21" borderId="45" xfId="0" applyFill="1" applyBorder="1" applyAlignment="1">
      <alignment wrapText="1"/>
    </xf>
    <xf numFmtId="0" fontId="0" fillId="21" borderId="0" xfId="0" applyFill="1" applyBorder="1" applyAlignment="1">
      <alignment wrapText="1"/>
    </xf>
    <xf numFmtId="0" fontId="0" fillId="21" borderId="70" xfId="0" applyFill="1" applyBorder="1" applyAlignment="1">
      <alignment wrapText="1"/>
    </xf>
    <xf numFmtId="0" fontId="0" fillId="21" borderId="0" xfId="0" applyFill="1" applyBorder="1" applyAlignment="1">
      <alignment vertical="top" wrapText="1"/>
    </xf>
    <xf numFmtId="0" fontId="0" fillId="21" borderId="70" xfId="0" applyFill="1" applyBorder="1" applyAlignment="1">
      <alignment vertical="top" wrapText="1"/>
    </xf>
    <xf numFmtId="0" fontId="0" fillId="21" borderId="45" xfId="0" applyFill="1" applyBorder="1" applyAlignment="1">
      <alignment vertical="top" wrapText="1"/>
    </xf>
    <xf numFmtId="0" fontId="19" fillId="21" borderId="333" xfId="0" applyFont="1" applyFill="1" applyBorder="1" applyAlignment="1">
      <alignment horizontal="right" vertical="top" wrapText="1"/>
    </xf>
    <xf numFmtId="0" fontId="19" fillId="21" borderId="334" xfId="0" applyFont="1" applyFill="1" applyBorder="1" applyAlignment="1">
      <alignment horizontal="right" vertical="top" wrapText="1"/>
    </xf>
    <xf numFmtId="0" fontId="18" fillId="21" borderId="33" xfId="0" applyFont="1" applyFill="1" applyBorder="1" applyAlignment="1">
      <alignment horizontal="center" vertical="center"/>
    </xf>
    <xf numFmtId="0" fontId="0" fillId="21" borderId="44" xfId="0" applyFill="1" applyBorder="1" applyAlignment="1">
      <alignment horizontal="center" vertical="center"/>
    </xf>
    <xf numFmtId="0" fontId="18" fillId="21" borderId="44" xfId="0" applyFont="1" applyFill="1" applyBorder="1" applyAlignment="1">
      <alignment horizontal="center" vertical="center"/>
    </xf>
    <xf numFmtId="0" fontId="0" fillId="21" borderId="78" xfId="0" applyFill="1" applyBorder="1" applyAlignment="1">
      <alignment wrapText="1"/>
    </xf>
    <xf numFmtId="0" fontId="19" fillId="21" borderId="335" xfId="0" applyFont="1" applyFill="1" applyBorder="1" applyAlignment="1">
      <alignment horizontal="right" vertical="top" wrapText="1"/>
    </xf>
    <xf numFmtId="0" fontId="0" fillId="21" borderId="336" xfId="0" applyFill="1" applyBorder="1" applyAlignment="1">
      <alignment wrapText="1"/>
    </xf>
    <xf numFmtId="0" fontId="17" fillId="21" borderId="33" xfId="0" applyFont="1" applyFill="1" applyBorder="1" applyAlignment="1">
      <alignment horizontal="center" vertical="center" wrapText="1"/>
    </xf>
    <xf numFmtId="0" fontId="0" fillId="21" borderId="47" xfId="0" applyFill="1" applyBorder="1" applyAlignment="1">
      <alignment horizontal="center" vertical="center" wrapText="1"/>
    </xf>
    <xf numFmtId="0" fontId="17" fillId="21" borderId="44" xfId="0" applyFont="1" applyFill="1" applyBorder="1" applyAlignment="1">
      <alignment horizontal="center" vertical="top" wrapText="1"/>
    </xf>
    <xf numFmtId="0" fontId="0" fillId="0" borderId="47" xfId="0" applyBorder="1" applyAlignment="1">
      <alignment horizontal="center" vertical="center" wrapText="1"/>
    </xf>
    <xf numFmtId="0" fontId="24" fillId="21" borderId="78" xfId="0" applyFont="1" applyFill="1" applyBorder="1" applyAlignment="1">
      <alignment horizontal="right" vertical="top" wrapText="1"/>
    </xf>
    <xf numFmtId="0" fontId="24" fillId="21" borderId="97" xfId="0" applyFont="1" applyFill="1" applyBorder="1" applyAlignment="1">
      <alignment horizontal="right" vertical="top" wrapText="1"/>
    </xf>
    <xf numFmtId="0" fontId="46" fillId="21" borderId="75" xfId="0" applyFont="1" applyFill="1" applyBorder="1" applyAlignment="1">
      <alignment horizontal="center" vertical="center" wrapText="1"/>
    </xf>
    <xf numFmtId="0" fontId="0" fillId="0" borderId="61" xfId="0" applyBorder="1" applyAlignment="1">
      <alignment wrapText="1"/>
    </xf>
    <xf numFmtId="0" fontId="0" fillId="0" borderId="31" xfId="0" applyBorder="1" applyAlignment="1">
      <alignment wrapText="1"/>
    </xf>
    <xf numFmtId="0" fontId="0" fillId="0" borderId="62" xfId="0" applyBorder="1" applyAlignment="1">
      <alignment wrapText="1"/>
    </xf>
    <xf numFmtId="0" fontId="0" fillId="0" borderId="0" xfId="0" applyAlignment="1">
      <alignment horizontal="center" vertical="center" wrapText="1"/>
    </xf>
    <xf numFmtId="0" fontId="19" fillId="0" borderId="327" xfId="0" applyFont="1" applyBorder="1" applyAlignment="1">
      <alignment horizontal="center" vertical="center"/>
    </xf>
    <xf numFmtId="0" fontId="0" fillId="0" borderId="3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21" borderId="0" xfId="0" applyFill="1" applyBorder="1" applyAlignment="1"/>
    <xf numFmtId="0" fontId="0" fillId="21" borderId="70" xfId="0" applyFill="1" applyBorder="1" applyAlignment="1"/>
    <xf numFmtId="0" fontId="0" fillId="21" borderId="45" xfId="0" applyFill="1" applyBorder="1" applyAlignment="1"/>
    <xf numFmtId="0" fontId="19" fillId="21" borderId="332" xfId="0" applyFont="1" applyFill="1" applyBorder="1" applyAlignment="1">
      <alignment horizontal="right" vertical="top" wrapText="1"/>
    </xf>
    <xf numFmtId="0" fontId="0" fillId="21" borderId="332" xfId="0" applyFill="1" applyBorder="1" applyAlignment="1">
      <alignment horizontal="right" vertical="top" wrapText="1"/>
    </xf>
    <xf numFmtId="0" fontId="19" fillId="21" borderId="334" xfId="0" applyFont="1" applyFill="1" applyBorder="1" applyAlignment="1">
      <alignment horizontal="center" vertical="center" wrapText="1"/>
    </xf>
    <xf numFmtId="0" fontId="0" fillId="21" borderId="330" xfId="0" applyFill="1" applyBorder="1" applyAlignment="1">
      <alignment wrapText="1"/>
    </xf>
    <xf numFmtId="0" fontId="19" fillId="21" borderId="337" xfId="0" applyFont="1" applyFill="1" applyBorder="1" applyAlignment="1">
      <alignment horizontal="center" vertical="center" wrapText="1"/>
    </xf>
    <xf numFmtId="0" fontId="0" fillId="21" borderId="332" xfId="0" applyFill="1" applyBorder="1" applyAlignment="1">
      <alignment wrapText="1"/>
    </xf>
    <xf numFmtId="0" fontId="18" fillId="0" borderId="46" xfId="0" applyFont="1" applyBorder="1" applyAlignment="1">
      <alignment horizontal="center" vertical="center" wrapText="1"/>
    </xf>
    <xf numFmtId="0" fontId="21" fillId="21" borderId="48" xfId="0" applyFont="1" applyFill="1" applyBorder="1" applyAlignment="1">
      <alignment horizontal="center" vertical="center" wrapText="1"/>
    </xf>
    <xf numFmtId="0" fontId="0" fillId="21" borderId="48" xfId="0" applyFill="1" applyBorder="1" applyAlignment="1">
      <alignment horizontal="center" vertical="center" wrapText="1"/>
    </xf>
    <xf numFmtId="2" fontId="22" fillId="21" borderId="336" xfId="0" applyNumberFormat="1" applyFont="1" applyFill="1" applyBorder="1" applyAlignment="1">
      <alignment horizontal="right" vertical="top" wrapText="1"/>
    </xf>
    <xf numFmtId="0" fontId="28" fillId="21" borderId="78" xfId="0" applyFont="1" applyFill="1" applyBorder="1" applyAlignment="1">
      <alignment horizontal="right" vertical="top" wrapText="1"/>
    </xf>
    <xf numFmtId="0" fontId="0" fillId="21" borderId="78" xfId="0" applyFill="1" applyBorder="1" applyAlignment="1">
      <alignment horizontal="right" vertical="top" wrapText="1"/>
    </xf>
    <xf numFmtId="0" fontId="0" fillId="21" borderId="336" xfId="0" applyFill="1" applyBorder="1" applyAlignment="1">
      <alignment horizontal="right" vertical="top" wrapText="1"/>
    </xf>
    <xf numFmtId="0" fontId="21" fillId="21" borderId="44" xfId="0" applyFont="1" applyFill="1" applyBorder="1" applyAlignment="1">
      <alignment horizontal="center" vertical="center" wrapText="1"/>
    </xf>
    <xf numFmtId="0" fontId="19" fillId="21" borderId="88" xfId="0" applyFont="1" applyFill="1" applyBorder="1" applyAlignment="1">
      <alignment horizontal="center" vertical="center" wrapText="1"/>
    </xf>
    <xf numFmtId="0" fontId="19" fillId="21" borderId="335" xfId="0" applyFont="1" applyFill="1" applyBorder="1" applyAlignment="1">
      <alignment horizontal="center" vertical="center" wrapText="1"/>
    </xf>
    <xf numFmtId="0" fontId="22" fillId="21" borderId="87" xfId="0" applyFont="1" applyFill="1" applyBorder="1" applyAlignment="1">
      <alignment horizontal="right" vertical="top" wrapText="1"/>
    </xf>
    <xf numFmtId="0" fontId="0" fillId="21" borderId="87" xfId="0" applyFill="1" applyBorder="1" applyAlignment="1">
      <alignment wrapText="1"/>
    </xf>
    <xf numFmtId="2" fontId="22" fillId="21" borderId="64" xfId="0" applyNumberFormat="1" applyFont="1" applyFill="1" applyBorder="1" applyAlignment="1">
      <alignment horizontal="right" vertical="top" wrapText="1"/>
    </xf>
    <xf numFmtId="0" fontId="0" fillId="21" borderId="64" xfId="0" applyFill="1" applyBorder="1" applyAlignment="1">
      <alignment wrapText="1"/>
    </xf>
    <xf numFmtId="2" fontId="22" fillId="21" borderId="50" xfId="0" applyNumberFormat="1" applyFont="1" applyFill="1" applyBorder="1" applyAlignment="1">
      <alignment horizontal="right" vertical="top" wrapText="1"/>
    </xf>
    <xf numFmtId="0" fontId="0" fillId="21" borderId="50" xfId="0" applyFill="1" applyBorder="1" applyAlignment="1">
      <alignment wrapText="1"/>
    </xf>
    <xf numFmtId="0" fontId="18" fillId="0" borderId="44" xfId="0" applyFont="1" applyBorder="1" applyAlignment="1">
      <alignment horizontal="center" vertical="center" wrapText="1"/>
    </xf>
    <xf numFmtId="0" fontId="18" fillId="21" borderId="47" xfId="0" applyFont="1" applyFill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top" wrapText="1"/>
    </xf>
    <xf numFmtId="0" fontId="7" fillId="0" borderId="53" xfId="0" applyFont="1" applyBorder="1" applyAlignment="1">
      <alignment horizontal="center" vertical="top" wrapText="1"/>
    </xf>
    <xf numFmtId="0" fontId="19" fillId="21" borderId="45" xfId="0" applyFont="1" applyFill="1" applyBorder="1" applyAlignment="1">
      <alignment horizontal="center" vertical="center" wrapText="1"/>
    </xf>
    <xf numFmtId="2" fontId="23" fillId="21" borderId="51" xfId="0" applyNumberFormat="1" applyFont="1" applyFill="1" applyBorder="1" applyAlignment="1">
      <alignment horizontal="right" vertical="top" wrapText="1"/>
    </xf>
    <xf numFmtId="0" fontId="0" fillId="21" borderId="32" xfId="0" applyFill="1" applyBorder="1" applyAlignment="1">
      <alignment wrapText="1"/>
    </xf>
    <xf numFmtId="0" fontId="0" fillId="21" borderId="53" xfId="0" applyFill="1" applyBorder="1" applyAlignment="1">
      <alignment wrapText="1"/>
    </xf>
    <xf numFmtId="0" fontId="0" fillId="21" borderId="51" xfId="0" applyFill="1" applyBorder="1" applyAlignment="1">
      <alignment wrapText="1"/>
    </xf>
    <xf numFmtId="2" fontId="25" fillId="21" borderId="45" xfId="0" applyNumberFormat="1" applyFont="1" applyFill="1" applyBorder="1" applyAlignment="1">
      <alignment horizontal="right" vertical="top" wrapText="1"/>
    </xf>
    <xf numFmtId="0" fontId="19" fillId="0" borderId="330" xfId="0" applyFont="1" applyBorder="1" applyAlignment="1">
      <alignment horizontal="right" vertical="top" wrapText="1"/>
    </xf>
    <xf numFmtId="0" fontId="19" fillId="0" borderId="336" xfId="0" applyFont="1" applyBorder="1" applyAlignment="1">
      <alignment horizontal="right" vertical="top" wrapText="1"/>
    </xf>
    <xf numFmtId="0" fontId="0" fillId="0" borderId="336" xfId="0" applyBorder="1" applyAlignment="1"/>
    <xf numFmtId="0" fontId="0" fillId="0" borderId="335" xfId="0" applyBorder="1" applyAlignment="1">
      <alignment wrapText="1"/>
    </xf>
    <xf numFmtId="0" fontId="19" fillId="0" borderId="78" xfId="0" applyFont="1" applyBorder="1" applyAlignment="1">
      <alignment horizontal="right" vertical="top" wrapText="1"/>
    </xf>
    <xf numFmtId="0" fontId="0" fillId="0" borderId="78" xfId="0" applyBorder="1" applyAlignment="1"/>
    <xf numFmtId="0" fontId="0" fillId="0" borderId="330" xfId="0" applyBorder="1" applyAlignment="1">
      <alignment vertical="top" wrapText="1"/>
    </xf>
    <xf numFmtId="0" fontId="0" fillId="0" borderId="52" xfId="0" applyBorder="1" applyAlignment="1">
      <alignment horizontal="right" vertical="top" wrapText="1"/>
    </xf>
    <xf numFmtId="0" fontId="19" fillId="0" borderId="99" xfId="0" applyFont="1" applyBorder="1" applyAlignment="1">
      <alignment horizontal="center" vertical="center" wrapText="1"/>
    </xf>
    <xf numFmtId="0" fontId="0" fillId="0" borderId="52" xfId="0" applyBorder="1" applyAlignment="1">
      <alignment wrapText="1"/>
    </xf>
    <xf numFmtId="0" fontId="39" fillId="0" borderId="332" xfId="0" applyFont="1" applyBorder="1" applyAlignment="1">
      <alignment horizontal="center" vertical="center" wrapText="1"/>
    </xf>
    <xf numFmtId="0" fontId="40" fillId="0" borderId="332" xfId="0" applyFont="1" applyBorder="1" applyAlignment="1">
      <alignment horizontal="center" vertical="center" wrapText="1"/>
    </xf>
    <xf numFmtId="2" fontId="24" fillId="0" borderId="56" xfId="0" applyNumberFormat="1" applyFont="1" applyBorder="1" applyAlignment="1">
      <alignment horizontal="right" vertical="top" wrapText="1"/>
    </xf>
    <xf numFmtId="2" fontId="24" fillId="0" borderId="60" xfId="0" applyNumberFormat="1" applyFont="1" applyBorder="1" applyAlignment="1">
      <alignment horizontal="right" vertical="top" wrapText="1"/>
    </xf>
    <xf numFmtId="0" fontId="39" fillId="0" borderId="330" xfId="0" applyFont="1" applyBorder="1" applyAlignment="1">
      <alignment horizontal="center" vertical="center" wrapText="1"/>
    </xf>
    <xf numFmtId="0" fontId="40" fillId="0" borderId="330" xfId="0" applyFont="1" applyBorder="1" applyAlignment="1">
      <alignment horizontal="center" vertical="center" wrapText="1"/>
    </xf>
    <xf numFmtId="2" fontId="25" fillId="0" borderId="51" xfId="0" applyNumberFormat="1" applyFont="1" applyBorder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7" fillId="0" borderId="53" xfId="0" applyFont="1" applyBorder="1" applyAlignment="1">
      <alignment horizontal="center" wrapText="1"/>
    </xf>
    <xf numFmtId="2" fontId="29" fillId="21" borderId="45" xfId="0" applyNumberFormat="1" applyFont="1" applyFill="1" applyBorder="1" applyAlignment="1">
      <alignment horizontal="right" vertical="top" wrapText="1"/>
    </xf>
    <xf numFmtId="2" fontId="28" fillId="21" borderId="52" xfId="0" applyNumberFormat="1" applyFont="1" applyFill="1" applyBorder="1" applyAlignment="1">
      <alignment horizontal="right" vertical="top" wrapText="1"/>
    </xf>
    <xf numFmtId="0" fontId="0" fillId="21" borderId="52" xfId="0" applyFill="1" applyBorder="1" applyAlignment="1">
      <alignment horizontal="right" vertical="top" wrapText="1"/>
    </xf>
    <xf numFmtId="0" fontId="18" fillId="0" borderId="33" xfId="0" applyFont="1" applyBorder="1" applyAlignment="1">
      <alignment horizontal="center" vertical="center" wrapText="1"/>
    </xf>
    <xf numFmtId="0" fontId="19" fillId="0" borderId="88" xfId="0" applyFont="1" applyBorder="1" applyAlignment="1">
      <alignment horizontal="right" vertical="top" wrapText="1"/>
    </xf>
    <xf numFmtId="0" fontId="0" fillId="0" borderId="78" xfId="0" applyBorder="1" applyAlignment="1">
      <alignment wrapText="1"/>
    </xf>
    <xf numFmtId="0" fontId="19" fillId="0" borderId="335" xfId="0" applyFont="1" applyBorder="1" applyAlignment="1">
      <alignment vertical="top" wrapText="1"/>
    </xf>
    <xf numFmtId="0" fontId="0" fillId="0" borderId="336" xfId="0" applyBorder="1" applyAlignment="1">
      <alignment wrapText="1"/>
    </xf>
    <xf numFmtId="2" fontId="22" fillId="0" borderId="63" xfId="0" applyNumberFormat="1" applyFont="1" applyBorder="1" applyAlignment="1">
      <alignment horizontal="right" vertical="top" wrapText="1"/>
    </xf>
    <xf numFmtId="2" fontId="22" fillId="0" borderId="338" xfId="0" applyNumberFormat="1" applyFont="1" applyBorder="1" applyAlignment="1">
      <alignment horizontal="right" vertical="top" wrapText="1"/>
    </xf>
    <xf numFmtId="0" fontId="17" fillId="0" borderId="46" xfId="0" applyFont="1" applyBorder="1" applyAlignment="1">
      <alignment horizontal="center" vertical="center" wrapText="1"/>
    </xf>
    <xf numFmtId="0" fontId="17" fillId="21" borderId="46" xfId="0" applyFont="1" applyFill="1" applyBorder="1" applyAlignment="1">
      <alignment horizontal="center" vertical="center" wrapText="1"/>
    </xf>
    <xf numFmtId="0" fontId="19" fillId="22" borderId="56" xfId="0" applyFont="1" applyFill="1" applyBorder="1" applyAlignment="1">
      <alignment horizontal="center" vertical="top" wrapText="1"/>
    </xf>
    <xf numFmtId="0" fontId="19" fillId="22" borderId="60" xfId="0" applyFont="1" applyFill="1" applyBorder="1" applyAlignment="1">
      <alignment horizontal="center" vertical="top" wrapText="1"/>
    </xf>
    <xf numFmtId="0" fontId="19" fillId="21" borderId="52" xfId="0" applyFont="1" applyFill="1" applyBorder="1" applyAlignment="1">
      <alignment vertical="top" wrapText="1"/>
    </xf>
    <xf numFmtId="0" fontId="26" fillId="22" borderId="46" xfId="0" applyFont="1" applyFill="1" applyBorder="1" applyAlignment="1">
      <alignment horizontal="center" vertical="center" wrapText="1"/>
    </xf>
    <xf numFmtId="0" fontId="26" fillId="22" borderId="44" xfId="0" applyFont="1" applyFill="1" applyBorder="1" applyAlignment="1">
      <alignment horizontal="center" vertical="center" wrapText="1"/>
    </xf>
    <xf numFmtId="0" fontId="39" fillId="0" borderId="51" xfId="0" applyFont="1" applyBorder="1" applyAlignment="1">
      <alignment horizontal="center" vertical="top" wrapText="1"/>
    </xf>
    <xf numFmtId="0" fontId="40" fillId="0" borderId="32" xfId="0" applyFont="1" applyBorder="1" applyAlignment="1">
      <alignment horizontal="center" vertical="top" wrapText="1"/>
    </xf>
    <xf numFmtId="0" fontId="40" fillId="0" borderId="53" xfId="0" applyFont="1" applyBorder="1" applyAlignment="1">
      <alignment horizontal="center" vertical="top" wrapText="1"/>
    </xf>
    <xf numFmtId="0" fontId="37" fillId="0" borderId="336" xfId="0" applyFont="1" applyBorder="1" applyAlignment="1">
      <alignment horizontal="right" vertical="top" wrapText="1"/>
    </xf>
    <xf numFmtId="0" fontId="0" fillId="0" borderId="99" xfId="0" applyBorder="1" applyAlignment="1">
      <alignment wrapText="1"/>
    </xf>
    <xf numFmtId="0" fontId="0" fillId="0" borderId="52" xfId="0" applyBorder="1" applyAlignment="1"/>
    <xf numFmtId="2" fontId="24" fillId="22" borderId="45" xfId="0" applyNumberFormat="1" applyFont="1" applyFill="1" applyBorder="1" applyAlignment="1">
      <alignment horizontal="right" vertical="top" wrapText="1"/>
    </xf>
    <xf numFmtId="0" fontId="0" fillId="22" borderId="0" xfId="0" applyFill="1" applyBorder="1" applyAlignment="1"/>
    <xf numFmtId="0" fontId="0" fillId="22" borderId="70" xfId="0" applyFill="1" applyBorder="1" applyAlignment="1"/>
    <xf numFmtId="0" fontId="0" fillId="22" borderId="45" xfId="0" applyFill="1" applyBorder="1" applyAlignment="1"/>
    <xf numFmtId="0" fontId="0" fillId="21" borderId="52" xfId="0" applyFill="1" applyBorder="1" applyAlignment="1">
      <alignment horizontal="center" vertical="center" wrapText="1"/>
    </xf>
    <xf numFmtId="0" fontId="26" fillId="0" borderId="46" xfId="0" applyFont="1" applyBorder="1" applyAlignment="1">
      <alignment horizontal="center" vertical="top" wrapText="1"/>
    </xf>
    <xf numFmtId="0" fontId="26" fillId="0" borderId="47" xfId="0" applyFont="1" applyBorder="1" applyAlignment="1">
      <alignment horizontal="center" vertical="top" wrapText="1"/>
    </xf>
    <xf numFmtId="0" fontId="24" fillId="0" borderId="79" xfId="0" applyFont="1" applyBorder="1" applyAlignment="1">
      <alignment horizontal="right" vertical="top" wrapText="1"/>
    </xf>
    <xf numFmtId="0" fontId="24" fillId="0" borderId="80" xfId="0" applyFont="1" applyBorder="1" applyAlignment="1">
      <alignment horizontal="right" vertical="top" wrapText="1"/>
    </xf>
    <xf numFmtId="0" fontId="38" fillId="0" borderId="336" xfId="0" applyFont="1" applyBorder="1" applyAlignment="1"/>
    <xf numFmtId="0" fontId="19" fillId="0" borderId="332" xfId="0" applyFont="1" applyBorder="1" applyAlignment="1">
      <alignment horizontal="right" vertical="top" wrapText="1"/>
    </xf>
    <xf numFmtId="0" fontId="0" fillId="0" borderId="332" xfId="0" applyBorder="1" applyAlignment="1">
      <alignment vertical="top" wrapText="1"/>
    </xf>
    <xf numFmtId="0" fontId="37" fillId="0" borderId="78" xfId="0" applyFont="1" applyBorder="1" applyAlignment="1">
      <alignment horizontal="right" vertical="top" wrapText="1"/>
    </xf>
    <xf numFmtId="0" fontId="38" fillId="0" borderId="78" xfId="0" applyFont="1" applyBorder="1" applyAlignment="1"/>
    <xf numFmtId="0" fontId="19" fillId="22" borderId="78" xfId="0" applyFont="1" applyFill="1" applyBorder="1" applyAlignment="1">
      <alignment horizontal="right" vertical="top" wrapText="1"/>
    </xf>
    <xf numFmtId="0" fontId="0" fillId="22" borderId="78" xfId="0" applyFill="1" applyBorder="1" applyAlignment="1"/>
    <xf numFmtId="0" fontId="19" fillId="22" borderId="336" xfId="0" applyFont="1" applyFill="1" applyBorder="1" applyAlignment="1">
      <alignment horizontal="right" vertical="top" wrapText="1"/>
    </xf>
    <xf numFmtId="0" fontId="0" fillId="22" borderId="336" xfId="0" applyFill="1" applyBorder="1" applyAlignment="1"/>
    <xf numFmtId="0" fontId="25" fillId="0" borderId="58" xfId="0" applyFont="1" applyBorder="1" applyAlignment="1">
      <alignment horizontal="center" vertical="top" wrapText="1"/>
    </xf>
    <xf numFmtId="0" fontId="25" fillId="0" borderId="62" xfId="0" applyFont="1" applyBorder="1" applyAlignment="1">
      <alignment horizontal="center" vertical="top" wrapText="1"/>
    </xf>
    <xf numFmtId="0" fontId="18" fillId="22" borderId="44" xfId="0" applyFont="1" applyFill="1" applyBorder="1" applyAlignment="1">
      <alignment horizontal="center" vertical="center" wrapText="1"/>
    </xf>
    <xf numFmtId="0" fontId="0" fillId="21" borderId="76" xfId="0" applyFill="1" applyBorder="1" applyAlignment="1"/>
    <xf numFmtId="0" fontId="0" fillId="21" borderId="77" xfId="0" applyFill="1" applyBorder="1" applyAlignment="1"/>
    <xf numFmtId="0" fontId="19" fillId="22" borderId="331" xfId="0" applyFont="1" applyFill="1" applyBorder="1" applyAlignment="1">
      <alignment horizontal="right" vertical="top" wrapText="1"/>
    </xf>
    <xf numFmtId="0" fontId="0" fillId="21" borderId="330" xfId="0" applyFill="1" applyBorder="1" applyAlignment="1">
      <alignment horizontal="right" vertical="top" wrapText="1"/>
    </xf>
    <xf numFmtId="0" fontId="16" fillId="0" borderId="339" xfId="0" applyFont="1" applyBorder="1" applyAlignment="1">
      <alignment horizontal="center" vertical="center" wrapText="1"/>
    </xf>
    <xf numFmtId="0" fontId="16" fillId="0" borderId="327" xfId="0" applyFont="1" applyBorder="1" applyAlignment="1">
      <alignment horizontal="center" vertical="center" wrapText="1"/>
    </xf>
    <xf numFmtId="0" fontId="16" fillId="0" borderId="329" xfId="0" applyFont="1" applyBorder="1" applyAlignment="1">
      <alignment horizontal="center" vertical="center" wrapText="1"/>
    </xf>
    <xf numFmtId="0" fontId="16" fillId="0" borderId="340" xfId="0" applyFont="1" applyBorder="1" applyAlignment="1">
      <alignment horizontal="center" vertical="center" wrapText="1"/>
    </xf>
    <xf numFmtId="0" fontId="16" fillId="0" borderId="341" xfId="0" applyFont="1" applyBorder="1" applyAlignment="1">
      <alignment horizontal="center" vertical="center" wrapText="1"/>
    </xf>
    <xf numFmtId="2" fontId="25" fillId="0" borderId="57" xfId="0" applyNumberFormat="1" applyFont="1" applyBorder="1" applyAlignment="1">
      <alignment horizontal="right" vertical="top" wrapText="1"/>
    </xf>
    <xf numFmtId="2" fontId="25" fillId="0" borderId="61" xfId="0" applyNumberFormat="1" applyFont="1" applyBorder="1" applyAlignment="1">
      <alignment horizontal="right" vertical="top" wrapText="1"/>
    </xf>
    <xf numFmtId="2" fontId="25" fillId="0" borderId="55" xfId="0" applyNumberFormat="1" applyFont="1" applyBorder="1" applyAlignment="1">
      <alignment horizontal="right" vertical="top" wrapText="1"/>
    </xf>
    <xf numFmtId="2" fontId="25" fillId="0" borderId="31" xfId="0" applyNumberFormat="1" applyFont="1" applyBorder="1" applyAlignment="1">
      <alignment horizontal="right" vertical="top" wrapText="1"/>
    </xf>
    <xf numFmtId="0" fontId="25" fillId="0" borderId="55" xfId="0" applyFont="1" applyBorder="1" applyAlignment="1">
      <alignment horizontal="center" vertical="top" wrapText="1"/>
    </xf>
    <xf numFmtId="0" fontId="25" fillId="0" borderId="31" xfId="0" applyFont="1" applyBorder="1" applyAlignment="1">
      <alignment horizontal="center" vertical="top" wrapText="1"/>
    </xf>
    <xf numFmtId="0" fontId="15" fillId="0" borderId="44" xfId="0" applyFont="1" applyBorder="1" applyAlignment="1">
      <alignment horizontal="center" vertical="top" wrapText="1"/>
    </xf>
    <xf numFmtId="0" fontId="15" fillId="0" borderId="36" xfId="0" applyFont="1" applyBorder="1" applyAlignment="1">
      <alignment horizontal="center" vertical="top" wrapText="1"/>
    </xf>
  </cellXfs>
  <cellStyles count="109">
    <cellStyle name="{appel menu}" xfId="1"/>
    <cellStyle name="18248" xfId="2"/>
    <cellStyle name="20 % - Accent1" xfId="3" builtinId="30" customBuiltin="1"/>
    <cellStyle name="20 % - Accent2" xfId="4" builtinId="34" customBuiltin="1"/>
    <cellStyle name="20 % - Accent3" xfId="5" builtinId="38" customBuiltin="1"/>
    <cellStyle name="20 % - Accent4" xfId="6" builtinId="42" customBuiltin="1"/>
    <cellStyle name="20 % - Accent5" xfId="7" builtinId="46" customBuiltin="1"/>
    <cellStyle name="20 % - Accent6" xfId="8" builtinId="50" customBuiltin="1"/>
    <cellStyle name="40 % - Accent1" xfId="9" builtinId="31" customBuiltin="1"/>
    <cellStyle name="40 % - Accent2" xfId="10" builtinId="35" customBuiltin="1"/>
    <cellStyle name="40 % - Accent3" xfId="11" builtinId="39" customBuiltin="1"/>
    <cellStyle name="40 % - Accent4" xfId="12" builtinId="43" customBuiltin="1"/>
    <cellStyle name="40 % - Accent5" xfId="13" builtinId="47" customBuiltin="1"/>
    <cellStyle name="40 % - Accent6" xfId="14" builtinId="51" customBuiltin="1"/>
    <cellStyle name="60 % - Accent1" xfId="15" builtinId="32" customBuiltin="1"/>
    <cellStyle name="60 % - Accent2" xfId="16" builtinId="36" customBuiltin="1"/>
    <cellStyle name="60 % - Accent3" xfId="17" builtinId="40" customBuiltin="1"/>
    <cellStyle name="60 % - Accent4" xfId="18" builtinId="44" customBuiltin="1"/>
    <cellStyle name="60 % - Accent5" xfId="19" builtinId="48" customBuiltin="1"/>
    <cellStyle name="60 % - Accent6" xfId="20" builtinId="52" customBuiltin="1"/>
    <cellStyle name="Accent1" xfId="21" builtinId="29" customBuiltin="1"/>
    <cellStyle name="Accent2" xfId="22" builtinId="33" customBuiltin="1"/>
    <cellStyle name="Accent3" xfId="23" builtinId="37" customBuiltin="1"/>
    <cellStyle name="Accent4" xfId="24" builtinId="41" customBuiltin="1"/>
    <cellStyle name="Accent5" xfId="25" builtinId="45" customBuiltin="1"/>
    <cellStyle name="Accent6" xfId="26" builtinId="49" customBuiltin="1"/>
    <cellStyle name="ArtDescriptif" xfId="27"/>
    <cellStyle name="Article" xfId="28"/>
    <cellStyle name="ArtLibelleCond" xfId="29"/>
    <cellStyle name="ArtNote1" xfId="30"/>
    <cellStyle name="ArtNote2" xfId="31"/>
    <cellStyle name="ArtNote3" xfId="32"/>
    <cellStyle name="ArtNote4" xfId="33"/>
    <cellStyle name="ArtNote5" xfId="34"/>
    <cellStyle name="ArtTitre" xfId="35"/>
    <cellStyle name="Avertissement" xfId="36" builtinId="11" customBuiltin="1"/>
    <cellStyle name="Calcul" xfId="37" builtinId="22" customBuiltin="1"/>
    <cellStyle name="Cellule liée" xfId="38" builtinId="24" customBuiltin="1"/>
    <cellStyle name="ChapDescriptif0" xfId="39"/>
    <cellStyle name="ChapDescriptif1" xfId="40"/>
    <cellStyle name="ChapDescriptif2" xfId="41"/>
    <cellStyle name="ChapDescriptif3" xfId="42"/>
    <cellStyle name="ChapDescriptif4" xfId="43"/>
    <cellStyle name="Chapitre" xfId="44"/>
    <cellStyle name="ChapNote0" xfId="45"/>
    <cellStyle name="ChapNote1" xfId="46"/>
    <cellStyle name="ChapNote2" xfId="47"/>
    <cellStyle name="ChapNote3" xfId="48"/>
    <cellStyle name="ChapNote4" xfId="49"/>
    <cellStyle name="ChapRecap0" xfId="50"/>
    <cellStyle name="ChapRecap1" xfId="51"/>
    <cellStyle name="ChapRecap2" xfId="52"/>
    <cellStyle name="ChapRecap3" xfId="53"/>
    <cellStyle name="ChapRecap4" xfId="54"/>
    <cellStyle name="ChapTitre0" xfId="55"/>
    <cellStyle name="ChapTitre1" xfId="56"/>
    <cellStyle name="ChapTitre2" xfId="57"/>
    <cellStyle name="ChapTitre3" xfId="58"/>
    <cellStyle name="ChapTitre4" xfId="59"/>
    <cellStyle name="Commentaire" xfId="60" builtinId="10" customBuiltin="1"/>
    <cellStyle name="DQLocQuantNonLoc" xfId="61"/>
    <cellStyle name="DQLocRefClass" xfId="62"/>
    <cellStyle name="DQLocStruct" xfId="63"/>
    <cellStyle name="DQMinutes" xfId="64"/>
    <cellStyle name="Entrée" xfId="65" builtinId="20" customBuiltin="1"/>
    <cellStyle name="Enumér - Style1" xfId="66"/>
    <cellStyle name="Euro" xfId="67"/>
    <cellStyle name="Info Entete" xfId="68"/>
    <cellStyle name="Insatisfaisant" xfId="69" builtinId="27" customBuiltin="1"/>
    <cellStyle name="Inter Entete" xfId="70"/>
    <cellStyle name="Intitulé" xfId="71"/>
    <cellStyle name="Invisible" xfId="72"/>
    <cellStyle name="Lien hypertexte" xfId="73" builtinId="8"/>
    <cellStyle name="LocLit" xfId="74"/>
    <cellStyle name="LocRefClass" xfId="75"/>
    <cellStyle name="LocSignetRep" xfId="76"/>
    <cellStyle name="LocStruct" xfId="77"/>
    <cellStyle name="LocTitre" xfId="78"/>
    <cellStyle name="Lot" xfId="79"/>
    <cellStyle name="Milliers [0]+espace" xfId="80"/>
    <cellStyle name="Minute" xfId="81"/>
    <cellStyle name="Modifié" xfId="82"/>
    <cellStyle name="N°" xfId="83"/>
    <cellStyle name="Neutre" xfId="84" builtinId="28" customBuiltin="1"/>
    <cellStyle name="Non défini" xfId="85"/>
    <cellStyle name="Normal" xfId="0" builtinId="0"/>
    <cellStyle name="Normal 2" xfId="86"/>
    <cellStyle name="Préinformé" xfId="87"/>
    <cellStyle name="Questionnaire" xfId="88"/>
    <cellStyle name="Relief" xfId="89"/>
    <cellStyle name="S/TOTAL" xfId="90"/>
    <cellStyle name="Saisie" xfId="91"/>
    <cellStyle name="Satisfaisant" xfId="92" builtinId="26" customBuiltin="1"/>
    <cellStyle name="Sortie" xfId="93" builtinId="21" customBuiltin="1"/>
    <cellStyle name="Sous Chapitre" xfId="94"/>
    <cellStyle name="style1 - TITRE1" xfId="95"/>
    <cellStyle name="style2 - Non d‚fini" xfId="96"/>
    <cellStyle name="Texte explicatif" xfId="97" builtinId="53" customBuiltin="1"/>
    <cellStyle name="Titre" xfId="98" builtinId="15" customBuiltin="1"/>
    <cellStyle name="TITRE - Style2" xfId="99"/>
    <cellStyle name="Titre Entete" xfId="100"/>
    <cellStyle name="Titre 1" xfId="101" builtinId="16" customBuiltin="1"/>
    <cellStyle name="Titre 2" xfId="102" builtinId="17" customBuiltin="1"/>
    <cellStyle name="Titre 3" xfId="103" builtinId="18" customBuiltin="1"/>
    <cellStyle name="Titre 4" xfId="104" builtinId="19" customBuiltin="1"/>
    <cellStyle name="titre1" xfId="105"/>
    <cellStyle name="titre4" xfId="106"/>
    <cellStyle name="TOTAL" xfId="107"/>
    <cellStyle name="Vérification" xfId="108" builtinId="23" customBuiltin="1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10" Type="http://schemas.openxmlformats.org/officeDocument/2006/relationships/externalLink" Target="externalLinks/externalLink5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sites.google.com/site/emethodes/home/plannings/planning-excel/aide-utilisateur-planning-excel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sites.google.com/site/emethodes/home/plannings/planning-excel/aide-utilisateur-planning-excel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://sites.google.com/site/emethodes/home/plannings/planning-excel/aide-utilisateur-planning-excel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http://sites.google.com/site/emethodes/home/plannings/planning-excel/aide-utilisateur-planning-excel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http://sites.google.com/site/emethodes/home/plannings/planning-excel/aide-utilisateur-planning-exc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</xdr:row>
      <xdr:rowOff>0</xdr:rowOff>
    </xdr:from>
    <xdr:to>
      <xdr:col>6</xdr:col>
      <xdr:colOff>504825</xdr:colOff>
      <xdr:row>1</xdr:row>
      <xdr:rowOff>152400</xdr:rowOff>
    </xdr:to>
    <xdr:sp macro="" textlink="">
      <xdr:nvSpPr>
        <xdr:cNvPr id="2051" name="Text Box 3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2581275" y="200025"/>
          <a:ext cx="0" cy="15240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AIDE</a:t>
          </a:r>
          <a:endParaRPr lang="fr-FR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190500</xdr:rowOff>
    </xdr:from>
    <xdr:to>
      <xdr:col>6</xdr:col>
      <xdr:colOff>438150</xdr:colOff>
      <xdr:row>1</xdr:row>
      <xdr:rowOff>142875</xdr:rowOff>
    </xdr:to>
    <xdr:sp macro="" textlink="">
      <xdr:nvSpPr>
        <xdr:cNvPr id="46081" name="Text Box 1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4962525" y="190500"/>
          <a:ext cx="342900" cy="15240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AIDE</a:t>
          </a:r>
          <a:endParaRPr lang="fr-FR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1</xdr:row>
      <xdr:rowOff>9525</xdr:rowOff>
    </xdr:from>
    <xdr:to>
      <xdr:col>6</xdr:col>
      <xdr:colOff>209550</xdr:colOff>
      <xdr:row>1</xdr:row>
      <xdr:rowOff>152400</xdr:rowOff>
    </xdr:to>
    <xdr:sp macro="" textlink="">
      <xdr:nvSpPr>
        <xdr:cNvPr id="3076" name="Text Box 4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4495800" y="0"/>
          <a:ext cx="0" cy="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AIDE</a:t>
          </a:r>
          <a:endParaRPr lang="fr-FR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1</xdr:row>
      <xdr:rowOff>0</xdr:rowOff>
    </xdr:from>
    <xdr:to>
      <xdr:col>6</xdr:col>
      <xdr:colOff>428625</xdr:colOff>
      <xdr:row>1</xdr:row>
      <xdr:rowOff>152400</xdr:rowOff>
    </xdr:to>
    <xdr:sp macro="" textlink="">
      <xdr:nvSpPr>
        <xdr:cNvPr id="5125" name="Text Box 5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4010025" y="190500"/>
          <a:ext cx="342900" cy="15240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AIDE</a:t>
          </a:r>
          <a:endParaRPr lang="fr-FR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</xdr:row>
      <xdr:rowOff>85725</xdr:rowOff>
    </xdr:from>
    <xdr:to>
      <xdr:col>1</xdr:col>
      <xdr:colOff>600075</xdr:colOff>
      <xdr:row>2</xdr:row>
      <xdr:rowOff>85725</xdr:rowOff>
    </xdr:to>
    <xdr:sp macro="" textlink="">
      <xdr:nvSpPr>
        <xdr:cNvPr id="15372" name="Text Box 1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485775" y="790575"/>
          <a:ext cx="342900" cy="15240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AIDE</a:t>
          </a:r>
          <a:endParaRPr lang="fr-FR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ean\jaf'affaire\Mes%20Documents\METRES'BORD\FEUILLES'METRE\GROS-OEUVRE\METRES'B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ean\m&#233;tr&#233;-bord\Mes%20Documents\AB2FR'AFFAIRE\0022TAHITI\TAHITI'BORD'C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ffaires%20en%20cours\vincennes\GO%20FC\d&#233;bours&#233;%20vincenn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Valenton\Etude\Rue%20auber\Transfert\Derni&#232;re%20offre%20recal&#233;\TEMP\dpgf%20initiaux%20sp&#233;cialistes\m&#233;tr&#233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Valenton\Etude\Rue%20auber\Transfert\Derni&#232;re%20offre%20recal&#233;\TEMP\DPGF%20CLR1%20global%20lot%20archi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Valenton\Etude\Rue%20auber\Transfert\Derni&#232;re%20offre%20recal&#233;\Douanes%20-%20991350\dce\DPGF-TC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0PERSO\DIVERS\idec\IDEC\ETUDE%20DE%20PRIX\POLYROC\PROSDIM\PROSDIM%2007-01-200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affaires%20en%20cours\Embassade%20de%20Singapour\D&#233;bours&#233;%20final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p\methodes\etudes%20Projet\Dunois%20Cofely%20Chateaudun\Planning%20par%20niveaux%20TCE%20IND%20D%20prov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Valenton\Etude\Rue%20auber\Transfert\Derni&#232;re%20offre%20recal&#233;\Douanes%20-%20991350\dce\estim\991350%20dpgf%20lot%2015%20chauf-clim-%20ventil.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ue%20auber\Transfert\DPGF%20March&#233;%20SCGP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avalement"/>
      <sheetName val="Démol."/>
      <sheetName val="ENTETE"/>
      <sheetName val="Terrass."/>
      <sheetName val="S.Isolées"/>
      <sheetName val="S.Filantes"/>
      <sheetName val="C.Ascens."/>
      <sheetName val="Voiles"/>
      <sheetName val="Pot. Rect."/>
      <sheetName val="Pot. Circ."/>
      <sheetName val="Poutres"/>
      <sheetName val="Dalles"/>
      <sheetName val="GC - Acroteres"/>
      <sheetName val="Maç."/>
      <sheetName val="Rénov."/>
      <sheetName val="Murets"/>
      <sheetName val="Conduits"/>
      <sheetName val="Divers"/>
    </sheetNames>
    <sheetDataSet>
      <sheetData sheetId="0" refreshError="1">
        <row r="10">
          <cell r="F10" t="str">
            <v>-</v>
          </cell>
        </row>
        <row r="11">
          <cell r="F11" t="str">
            <v>-</v>
          </cell>
        </row>
        <row r="12">
          <cell r="F12" t="str">
            <v>-</v>
          </cell>
        </row>
        <row r="13">
          <cell r="F13" t="str">
            <v>-</v>
          </cell>
        </row>
        <row r="14">
          <cell r="F14" t="str">
            <v>-</v>
          </cell>
        </row>
        <row r="15">
          <cell r="F15" t="str">
            <v>-</v>
          </cell>
        </row>
        <row r="16">
          <cell r="F16" t="str">
            <v>-</v>
          </cell>
        </row>
        <row r="17">
          <cell r="F17" t="str">
            <v>-</v>
          </cell>
        </row>
        <row r="18">
          <cell r="F18" t="str">
            <v>-</v>
          </cell>
        </row>
        <row r="19">
          <cell r="F19" t="str">
            <v>-</v>
          </cell>
        </row>
        <row r="20">
          <cell r="F20" t="str">
            <v>-</v>
          </cell>
        </row>
        <row r="21">
          <cell r="F21" t="str">
            <v>-</v>
          </cell>
        </row>
        <row r="22">
          <cell r="F22" t="str">
            <v>-</v>
          </cell>
        </row>
        <row r="23">
          <cell r="F23" t="str">
            <v>-</v>
          </cell>
        </row>
        <row r="24">
          <cell r="F24" t="str">
            <v>-</v>
          </cell>
        </row>
        <row r="25">
          <cell r="F25" t="str">
            <v>-</v>
          </cell>
        </row>
        <row r="26">
          <cell r="F26" t="str">
            <v>-</v>
          </cell>
        </row>
        <row r="27">
          <cell r="F27" t="str">
            <v>-</v>
          </cell>
        </row>
        <row r="28">
          <cell r="F28" t="str">
            <v>-</v>
          </cell>
        </row>
        <row r="29">
          <cell r="F29" t="str">
            <v>-</v>
          </cell>
        </row>
        <row r="30">
          <cell r="F30" t="str">
            <v>-</v>
          </cell>
        </row>
        <row r="31">
          <cell r="F31" t="str">
            <v>-</v>
          </cell>
        </row>
        <row r="32">
          <cell r="F32" t="str">
            <v>-</v>
          </cell>
        </row>
        <row r="33">
          <cell r="F33" t="str">
            <v>-</v>
          </cell>
        </row>
        <row r="34">
          <cell r="F34" t="str">
            <v>-</v>
          </cell>
        </row>
        <row r="35">
          <cell r="F35" t="str">
            <v>-</v>
          </cell>
        </row>
        <row r="36">
          <cell r="F36" t="str">
            <v>-</v>
          </cell>
        </row>
        <row r="38">
          <cell r="F38" t="str">
            <v>-</v>
          </cell>
        </row>
        <row r="39">
          <cell r="F39" t="str">
            <v>-</v>
          </cell>
        </row>
      </sheetData>
      <sheetData sheetId="1" refreshError="1">
        <row r="50">
          <cell r="D50">
            <v>0</v>
          </cell>
        </row>
        <row r="51">
          <cell r="D51" t="str">
            <v xml:space="preserve">     U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Bord."/>
      <sheetName val="CES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RECAP Vente"/>
      <sheetName val="RECAP Variantes"/>
      <sheetName val="Lot n°02 V"/>
      <sheetName val="RECAP"/>
      <sheetName val="Lot n°01"/>
      <sheetName val="Lot n°03"/>
      <sheetName val="lot n°04"/>
      <sheetName val="Lot n°05"/>
      <sheetName val="Lot n°06"/>
      <sheetName val="Lot n°07"/>
      <sheetName val="Lot n°08"/>
      <sheetName val="Lot n°09"/>
      <sheetName val="Lot n°10"/>
      <sheetName val="Lot n°11"/>
      <sheetName val="Lot n°12"/>
      <sheetName val="Lot n°13"/>
      <sheetName val="Lot n°14"/>
      <sheetName val="Lot n°19"/>
      <sheetName val="Lot n°20"/>
      <sheetName val="Lot n°2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Feuil1"/>
      <sheetName val="CATPRO"/>
    </sheetNames>
    <sheetDataSet>
      <sheetData sheetId="0" refreshError="1"/>
      <sheetData sheetId="1">
        <row r="1">
          <cell r="A1" t="str">
            <v xml:space="preserve"> </v>
          </cell>
          <cell r="D1">
            <v>0</v>
          </cell>
          <cell r="E1">
            <v>0</v>
          </cell>
        </row>
        <row r="5">
          <cell r="A5" t="str">
            <v>IPE</v>
          </cell>
        </row>
        <row r="6">
          <cell r="A6" t="str">
            <v>IPE80</v>
          </cell>
          <cell r="B6">
            <v>80</v>
          </cell>
          <cell r="D6">
            <v>6</v>
          </cell>
          <cell r="E6">
            <v>0.32900000000000001</v>
          </cell>
        </row>
        <row r="7">
          <cell r="A7" t="str">
            <v>IPE100</v>
          </cell>
          <cell r="B7">
            <v>100</v>
          </cell>
          <cell r="D7">
            <v>8.1</v>
          </cell>
          <cell r="E7">
            <v>0.40100000000000002</v>
          </cell>
        </row>
        <row r="8">
          <cell r="A8" t="str">
            <v>IPE120</v>
          </cell>
          <cell r="B8">
            <v>120</v>
          </cell>
          <cell r="D8">
            <v>10.4</v>
          </cell>
          <cell r="E8">
            <v>0.47399999999999998</v>
          </cell>
        </row>
        <row r="9">
          <cell r="A9" t="str">
            <v>IPE140</v>
          </cell>
          <cell r="B9">
            <v>140</v>
          </cell>
          <cell r="D9">
            <v>12.9</v>
          </cell>
          <cell r="E9">
            <v>0.55000000000000004</v>
          </cell>
        </row>
        <row r="10">
          <cell r="A10" t="str">
            <v>IPE160</v>
          </cell>
          <cell r="B10">
            <v>160</v>
          </cell>
          <cell r="D10">
            <v>15.8</v>
          </cell>
          <cell r="E10">
            <v>0.622</v>
          </cell>
        </row>
        <row r="11">
          <cell r="A11" t="str">
            <v>IPE180</v>
          </cell>
          <cell r="B11">
            <v>180</v>
          </cell>
          <cell r="D11">
            <v>18.8</v>
          </cell>
          <cell r="E11">
            <v>0.69799999999999995</v>
          </cell>
        </row>
        <row r="12">
          <cell r="A12" t="str">
            <v>IPE200</v>
          </cell>
          <cell r="B12">
            <v>200</v>
          </cell>
          <cell r="D12">
            <v>22.4</v>
          </cell>
          <cell r="E12">
            <v>0.76800000000000002</v>
          </cell>
        </row>
        <row r="13">
          <cell r="A13" t="str">
            <v>IPE220</v>
          </cell>
          <cell r="B13">
            <v>220</v>
          </cell>
          <cell r="D13">
            <v>26.2</v>
          </cell>
          <cell r="E13">
            <v>0.84799999999999998</v>
          </cell>
        </row>
        <row r="14">
          <cell r="A14" t="str">
            <v>IPE240</v>
          </cell>
          <cell r="B14">
            <v>240</v>
          </cell>
          <cell r="D14">
            <v>30.7</v>
          </cell>
          <cell r="E14">
            <v>0.92100000000000004</v>
          </cell>
        </row>
        <row r="15">
          <cell r="A15" t="str">
            <v>IPE270</v>
          </cell>
          <cell r="B15">
            <v>270</v>
          </cell>
          <cell r="D15">
            <v>36.1</v>
          </cell>
          <cell r="E15">
            <v>1.04</v>
          </cell>
        </row>
        <row r="16">
          <cell r="A16" t="str">
            <v>IPE300</v>
          </cell>
          <cell r="B16">
            <v>300</v>
          </cell>
          <cell r="D16">
            <v>42.2</v>
          </cell>
          <cell r="E16">
            <v>1.1599999999999999</v>
          </cell>
        </row>
        <row r="17">
          <cell r="A17" t="str">
            <v>IPE330</v>
          </cell>
          <cell r="B17">
            <v>330</v>
          </cell>
          <cell r="D17">
            <v>49.1</v>
          </cell>
          <cell r="E17">
            <v>1.25</v>
          </cell>
        </row>
        <row r="18">
          <cell r="A18" t="str">
            <v>IPE360</v>
          </cell>
          <cell r="B18">
            <v>360</v>
          </cell>
          <cell r="D18">
            <v>57.1</v>
          </cell>
          <cell r="E18">
            <v>1.35</v>
          </cell>
        </row>
        <row r="19">
          <cell r="A19" t="str">
            <v>IPE400</v>
          </cell>
          <cell r="B19">
            <v>400</v>
          </cell>
          <cell r="D19">
            <v>66.3</v>
          </cell>
          <cell r="E19">
            <v>1.47</v>
          </cell>
        </row>
        <row r="20">
          <cell r="A20" t="str">
            <v>IPE450</v>
          </cell>
          <cell r="B20">
            <v>450</v>
          </cell>
          <cell r="D20">
            <v>77.599999999999994</v>
          </cell>
          <cell r="E20">
            <v>1.61</v>
          </cell>
        </row>
        <row r="21">
          <cell r="A21" t="str">
            <v>IPE500</v>
          </cell>
          <cell r="B21">
            <v>500</v>
          </cell>
          <cell r="D21">
            <v>90.7</v>
          </cell>
          <cell r="E21">
            <v>1.74</v>
          </cell>
        </row>
        <row r="22">
          <cell r="A22" t="str">
            <v>IPE550</v>
          </cell>
          <cell r="B22">
            <v>550</v>
          </cell>
          <cell r="D22">
            <v>106</v>
          </cell>
          <cell r="E22">
            <v>1.88</v>
          </cell>
        </row>
        <row r="23">
          <cell r="A23" t="str">
            <v>IPE600</v>
          </cell>
          <cell r="B23">
            <v>600</v>
          </cell>
          <cell r="D23">
            <v>122</v>
          </cell>
          <cell r="E23">
            <v>2.02</v>
          </cell>
        </row>
        <row r="24">
          <cell r="B24" t="str">
            <v xml:space="preserve"> </v>
          </cell>
        </row>
        <row r="26">
          <cell r="A26" t="str">
            <v>HEA</v>
          </cell>
        </row>
        <row r="27">
          <cell r="A27" t="str">
            <v>HEA100</v>
          </cell>
          <cell r="B27">
            <v>100</v>
          </cell>
          <cell r="D27">
            <v>16.7</v>
          </cell>
          <cell r="E27">
            <v>0.56200000000000006</v>
          </cell>
          <cell r="K27" t="str">
            <v xml:space="preserve"> </v>
          </cell>
        </row>
        <row r="28">
          <cell r="A28" t="str">
            <v>HEA120</v>
          </cell>
          <cell r="B28">
            <v>120</v>
          </cell>
          <cell r="D28">
            <v>19.899999999999999</v>
          </cell>
          <cell r="E28">
            <v>0.67700000000000005</v>
          </cell>
        </row>
        <row r="29">
          <cell r="A29" t="str">
            <v>HEA140</v>
          </cell>
          <cell r="B29">
            <v>140</v>
          </cell>
          <cell r="D29">
            <v>24.7</v>
          </cell>
          <cell r="E29">
            <v>0.79400000000000004</v>
          </cell>
        </row>
        <row r="30">
          <cell r="A30" t="str">
            <v>HEA160</v>
          </cell>
          <cell r="B30">
            <v>160</v>
          </cell>
          <cell r="D30">
            <v>30.4</v>
          </cell>
          <cell r="E30">
            <v>0.89600000000000002</v>
          </cell>
        </row>
        <row r="31">
          <cell r="A31" t="str">
            <v>HEA180</v>
          </cell>
          <cell r="B31">
            <v>180</v>
          </cell>
          <cell r="D31">
            <v>35.5</v>
          </cell>
          <cell r="E31">
            <v>1.02</v>
          </cell>
        </row>
        <row r="32">
          <cell r="A32" t="str">
            <v>HEA200</v>
          </cell>
          <cell r="B32">
            <v>200</v>
          </cell>
          <cell r="D32">
            <v>42.3</v>
          </cell>
          <cell r="E32">
            <v>1.1399999999999999</v>
          </cell>
        </row>
        <row r="33">
          <cell r="A33" t="str">
            <v>HEA220</v>
          </cell>
          <cell r="B33">
            <v>220</v>
          </cell>
          <cell r="D33">
            <v>50.5</v>
          </cell>
          <cell r="E33">
            <v>1.26</v>
          </cell>
        </row>
        <row r="34">
          <cell r="A34" t="str">
            <v>HEA240</v>
          </cell>
          <cell r="B34">
            <v>240</v>
          </cell>
          <cell r="D34">
            <v>60.3</v>
          </cell>
          <cell r="E34">
            <v>1.37</v>
          </cell>
        </row>
        <row r="35">
          <cell r="A35" t="str">
            <v>HEA260</v>
          </cell>
          <cell r="B35">
            <v>260</v>
          </cell>
          <cell r="D35">
            <v>68.2</v>
          </cell>
          <cell r="E35">
            <v>1.48</v>
          </cell>
        </row>
        <row r="36">
          <cell r="A36" t="str">
            <v>HEA280</v>
          </cell>
          <cell r="B36">
            <v>280</v>
          </cell>
          <cell r="D36">
            <v>76.400000000000006</v>
          </cell>
          <cell r="E36">
            <v>1.6</v>
          </cell>
        </row>
        <row r="37">
          <cell r="A37" t="str">
            <v>HEA300</v>
          </cell>
          <cell r="B37">
            <v>300</v>
          </cell>
          <cell r="D37">
            <v>88.3</v>
          </cell>
          <cell r="E37">
            <v>1.72</v>
          </cell>
        </row>
        <row r="38">
          <cell r="A38" t="str">
            <v>HEA320</v>
          </cell>
          <cell r="B38">
            <v>320</v>
          </cell>
          <cell r="D38">
            <v>97.6</v>
          </cell>
          <cell r="E38">
            <v>1.76</v>
          </cell>
        </row>
        <row r="39">
          <cell r="A39" t="str">
            <v>HEA340</v>
          </cell>
          <cell r="B39">
            <v>340</v>
          </cell>
          <cell r="D39">
            <v>105</v>
          </cell>
          <cell r="E39">
            <v>1.79</v>
          </cell>
        </row>
        <row r="40">
          <cell r="A40" t="str">
            <v>HEA360</v>
          </cell>
          <cell r="B40">
            <v>360</v>
          </cell>
          <cell r="D40">
            <v>112</v>
          </cell>
          <cell r="E40">
            <v>1.83</v>
          </cell>
        </row>
        <row r="41">
          <cell r="A41" t="str">
            <v>HEA400</v>
          </cell>
          <cell r="B41">
            <v>400</v>
          </cell>
          <cell r="D41">
            <v>125</v>
          </cell>
          <cell r="E41">
            <v>1.91</v>
          </cell>
        </row>
        <row r="42">
          <cell r="A42" t="str">
            <v>HEA450</v>
          </cell>
          <cell r="B42">
            <v>450</v>
          </cell>
          <cell r="D42">
            <v>140</v>
          </cell>
          <cell r="E42">
            <v>2.0099999999999998</v>
          </cell>
        </row>
        <row r="43">
          <cell r="A43" t="str">
            <v>HEA500</v>
          </cell>
          <cell r="B43">
            <v>500</v>
          </cell>
          <cell r="D43">
            <v>155</v>
          </cell>
          <cell r="E43">
            <v>2.11</v>
          </cell>
        </row>
        <row r="44">
          <cell r="A44" t="str">
            <v>HEA550</v>
          </cell>
          <cell r="B44">
            <v>550</v>
          </cell>
          <cell r="D44">
            <v>166</v>
          </cell>
          <cell r="E44">
            <v>2.21</v>
          </cell>
        </row>
        <row r="45">
          <cell r="A45" t="str">
            <v>HEA600</v>
          </cell>
          <cell r="B45">
            <v>600</v>
          </cell>
          <cell r="D45">
            <v>178</v>
          </cell>
          <cell r="E45">
            <v>2.31</v>
          </cell>
        </row>
        <row r="46">
          <cell r="A46" t="str">
            <v>HEA650</v>
          </cell>
          <cell r="B46">
            <v>650</v>
          </cell>
          <cell r="D46">
            <v>190</v>
          </cell>
          <cell r="E46">
            <v>2.41</v>
          </cell>
        </row>
        <row r="47">
          <cell r="A47" t="str">
            <v>HEA700</v>
          </cell>
          <cell r="B47">
            <v>700</v>
          </cell>
          <cell r="D47">
            <v>204</v>
          </cell>
          <cell r="E47">
            <v>2.5</v>
          </cell>
        </row>
        <row r="49">
          <cell r="A49" t="str">
            <v>HEB</v>
          </cell>
        </row>
        <row r="50">
          <cell r="A50" t="str">
            <v>HEB100</v>
          </cell>
          <cell r="B50">
            <v>100</v>
          </cell>
          <cell r="D50">
            <v>20.399999999999999</v>
          </cell>
          <cell r="E50">
            <v>0.56699999999999995</v>
          </cell>
        </row>
        <row r="51">
          <cell r="A51" t="str">
            <v>HEB120</v>
          </cell>
          <cell r="B51">
            <v>120</v>
          </cell>
          <cell r="D51">
            <v>26.7</v>
          </cell>
          <cell r="E51">
            <v>0.68600000000000005</v>
          </cell>
        </row>
        <row r="52">
          <cell r="A52" t="str">
            <v>HEB140</v>
          </cell>
          <cell r="B52">
            <v>140</v>
          </cell>
          <cell r="D52">
            <v>33.700000000000003</v>
          </cell>
          <cell r="E52">
            <v>0.80500000000000005</v>
          </cell>
        </row>
        <row r="53">
          <cell r="A53" t="str">
            <v>HEB160</v>
          </cell>
          <cell r="B53">
            <v>160</v>
          </cell>
          <cell r="D53">
            <v>42.6</v>
          </cell>
          <cell r="E53">
            <v>0.91800000000000004</v>
          </cell>
        </row>
        <row r="54">
          <cell r="A54" t="str">
            <v>HEB180</v>
          </cell>
          <cell r="B54">
            <v>180</v>
          </cell>
          <cell r="D54">
            <v>51.2</v>
          </cell>
          <cell r="E54">
            <v>1.03</v>
          </cell>
        </row>
        <row r="55">
          <cell r="A55" t="str">
            <v>HEB200</v>
          </cell>
          <cell r="B55">
            <v>200</v>
          </cell>
          <cell r="D55">
            <v>61.3</v>
          </cell>
          <cell r="E55">
            <v>1.1499999999999999</v>
          </cell>
        </row>
        <row r="56">
          <cell r="A56" t="str">
            <v>HEB220</v>
          </cell>
          <cell r="B56">
            <v>220</v>
          </cell>
          <cell r="D56">
            <v>71.5</v>
          </cell>
          <cell r="E56">
            <v>1.27</v>
          </cell>
        </row>
        <row r="57">
          <cell r="A57" t="str">
            <v>HEB240</v>
          </cell>
          <cell r="B57">
            <v>240</v>
          </cell>
          <cell r="D57">
            <v>83.2</v>
          </cell>
          <cell r="E57">
            <v>1.38</v>
          </cell>
        </row>
        <row r="58">
          <cell r="A58" t="str">
            <v>HEB260</v>
          </cell>
          <cell r="B58">
            <v>260</v>
          </cell>
          <cell r="D58">
            <v>93</v>
          </cell>
          <cell r="E58">
            <v>1.5</v>
          </cell>
        </row>
        <row r="59">
          <cell r="A59" t="str">
            <v>HEB280</v>
          </cell>
          <cell r="B59">
            <v>280</v>
          </cell>
          <cell r="D59">
            <v>103</v>
          </cell>
          <cell r="E59">
            <v>1.62</v>
          </cell>
        </row>
        <row r="60">
          <cell r="A60" t="str">
            <v>HEB300</v>
          </cell>
          <cell r="B60">
            <v>300</v>
          </cell>
          <cell r="D60">
            <v>117</v>
          </cell>
          <cell r="E60">
            <v>1.73</v>
          </cell>
        </row>
        <row r="61">
          <cell r="A61" t="str">
            <v>HEB320</v>
          </cell>
          <cell r="B61">
            <v>320</v>
          </cell>
          <cell r="D61">
            <v>127</v>
          </cell>
          <cell r="E61">
            <v>1.77</v>
          </cell>
        </row>
        <row r="62">
          <cell r="A62" t="str">
            <v>HEB340</v>
          </cell>
          <cell r="B62">
            <v>340</v>
          </cell>
          <cell r="D62">
            <v>135</v>
          </cell>
          <cell r="E62">
            <v>1.81</v>
          </cell>
        </row>
        <row r="63">
          <cell r="A63" t="str">
            <v>HEB360</v>
          </cell>
          <cell r="B63">
            <v>360</v>
          </cell>
          <cell r="D63">
            <v>142</v>
          </cell>
          <cell r="E63">
            <v>1.85</v>
          </cell>
        </row>
        <row r="64">
          <cell r="A64" t="str">
            <v>HEB400</v>
          </cell>
          <cell r="B64">
            <v>400</v>
          </cell>
          <cell r="D64">
            <v>155</v>
          </cell>
          <cell r="E64">
            <v>1.93</v>
          </cell>
        </row>
        <row r="65">
          <cell r="A65" t="str">
            <v>HEB450</v>
          </cell>
          <cell r="B65">
            <v>450</v>
          </cell>
          <cell r="D65">
            <v>171</v>
          </cell>
          <cell r="E65">
            <v>1.99</v>
          </cell>
        </row>
        <row r="66">
          <cell r="A66" t="str">
            <v>HEB500</v>
          </cell>
          <cell r="B66">
            <v>500</v>
          </cell>
          <cell r="D66">
            <v>187</v>
          </cell>
          <cell r="E66">
            <v>2.12</v>
          </cell>
        </row>
        <row r="67">
          <cell r="A67" t="str">
            <v>HEB550</v>
          </cell>
          <cell r="B67">
            <v>550</v>
          </cell>
          <cell r="D67">
            <v>199</v>
          </cell>
          <cell r="E67">
            <v>2.2200000000000002</v>
          </cell>
        </row>
        <row r="68">
          <cell r="A68" t="str">
            <v>HEB600</v>
          </cell>
          <cell r="B68">
            <v>600</v>
          </cell>
          <cell r="D68">
            <v>212</v>
          </cell>
          <cell r="E68">
            <v>2.3199999999999998</v>
          </cell>
        </row>
        <row r="69">
          <cell r="A69" t="str">
            <v>HEB650</v>
          </cell>
          <cell r="B69">
            <v>650</v>
          </cell>
          <cell r="D69">
            <v>225</v>
          </cell>
          <cell r="E69">
            <v>2.42</v>
          </cell>
        </row>
        <row r="70">
          <cell r="A70" t="str">
            <v>HEB700</v>
          </cell>
          <cell r="B70">
            <v>700</v>
          </cell>
          <cell r="D70">
            <v>241</v>
          </cell>
          <cell r="E70">
            <v>2.52</v>
          </cell>
        </row>
        <row r="72">
          <cell r="A72" t="str">
            <v>HEM</v>
          </cell>
        </row>
        <row r="73">
          <cell r="A73" t="str">
            <v>HEM100</v>
          </cell>
          <cell r="B73">
            <v>100</v>
          </cell>
          <cell r="C73">
            <v>0</v>
          </cell>
          <cell r="D73">
            <v>41.8</v>
          </cell>
          <cell r="E73">
            <v>0.61899999999999999</v>
          </cell>
        </row>
        <row r="74">
          <cell r="A74" t="str">
            <v>HEM120</v>
          </cell>
          <cell r="B74">
            <v>120</v>
          </cell>
          <cell r="C74">
            <v>0</v>
          </cell>
          <cell r="D74">
            <v>52.1</v>
          </cell>
          <cell r="E74">
            <v>0.73799999999999999</v>
          </cell>
        </row>
        <row r="75">
          <cell r="A75" t="str">
            <v>HEM140</v>
          </cell>
          <cell r="B75">
            <v>140</v>
          </cell>
          <cell r="C75">
            <v>0</v>
          </cell>
          <cell r="D75">
            <v>63.2</v>
          </cell>
          <cell r="E75">
            <v>0.83499999999999996</v>
          </cell>
        </row>
        <row r="76">
          <cell r="A76" t="str">
            <v>HEM160</v>
          </cell>
          <cell r="B76">
            <v>160</v>
          </cell>
          <cell r="C76">
            <v>0</v>
          </cell>
          <cell r="D76">
            <v>76.2</v>
          </cell>
          <cell r="E76">
            <v>0.97</v>
          </cell>
        </row>
        <row r="77">
          <cell r="A77" t="str">
            <v>HEM180</v>
          </cell>
          <cell r="B77">
            <v>180</v>
          </cell>
          <cell r="C77">
            <v>0</v>
          </cell>
          <cell r="D77">
            <v>88.9</v>
          </cell>
          <cell r="E77">
            <v>1.0900000000000001</v>
          </cell>
        </row>
        <row r="78">
          <cell r="A78" t="str">
            <v>HEM200</v>
          </cell>
          <cell r="B78">
            <v>200</v>
          </cell>
          <cell r="C78">
            <v>0</v>
          </cell>
          <cell r="D78">
            <v>103</v>
          </cell>
          <cell r="E78">
            <v>1.2</v>
          </cell>
        </row>
        <row r="79">
          <cell r="A79" t="str">
            <v>HEM220</v>
          </cell>
          <cell r="B79">
            <v>220</v>
          </cell>
          <cell r="C79">
            <v>0</v>
          </cell>
          <cell r="D79">
            <v>117</v>
          </cell>
          <cell r="E79">
            <v>1.32</v>
          </cell>
        </row>
        <row r="80">
          <cell r="A80" t="str">
            <v>HEM240</v>
          </cell>
          <cell r="B80">
            <v>240</v>
          </cell>
          <cell r="C80">
            <v>0</v>
          </cell>
          <cell r="D80">
            <v>157</v>
          </cell>
          <cell r="E80">
            <v>1.46</v>
          </cell>
        </row>
        <row r="81">
          <cell r="A81" t="str">
            <v>HEM260</v>
          </cell>
          <cell r="B81">
            <v>260</v>
          </cell>
          <cell r="C81">
            <v>0</v>
          </cell>
          <cell r="D81">
            <v>172</v>
          </cell>
          <cell r="E81">
            <v>1.57</v>
          </cell>
        </row>
        <row r="82">
          <cell r="A82" t="str">
            <v>HEM280</v>
          </cell>
          <cell r="B82">
            <v>280</v>
          </cell>
          <cell r="C82">
            <v>0</v>
          </cell>
          <cell r="D82">
            <v>189</v>
          </cell>
          <cell r="E82">
            <v>1.69</v>
          </cell>
        </row>
        <row r="83">
          <cell r="A83" t="str">
            <v>HEM300</v>
          </cell>
          <cell r="B83">
            <v>300</v>
          </cell>
          <cell r="C83">
            <v>0</v>
          </cell>
          <cell r="D83">
            <v>238</v>
          </cell>
          <cell r="E83">
            <v>1.83</v>
          </cell>
        </row>
        <row r="84">
          <cell r="A84" t="str">
            <v>HEM320</v>
          </cell>
          <cell r="B84">
            <v>320</v>
          </cell>
          <cell r="C84">
            <v>0</v>
          </cell>
          <cell r="D84">
            <v>245</v>
          </cell>
          <cell r="E84">
            <v>1.87</v>
          </cell>
        </row>
        <row r="85">
          <cell r="A85" t="str">
            <v>HEM340</v>
          </cell>
          <cell r="B85">
            <v>340</v>
          </cell>
          <cell r="C85">
            <v>0</v>
          </cell>
          <cell r="D85">
            <v>248</v>
          </cell>
          <cell r="E85">
            <v>1.9</v>
          </cell>
        </row>
        <row r="86">
          <cell r="A86" t="str">
            <v>HEM360</v>
          </cell>
          <cell r="B86">
            <v>360</v>
          </cell>
          <cell r="C86">
            <v>0</v>
          </cell>
          <cell r="D86">
            <v>250</v>
          </cell>
          <cell r="E86">
            <v>1.93</v>
          </cell>
        </row>
        <row r="87">
          <cell r="A87" t="str">
            <v>HEM400</v>
          </cell>
          <cell r="B87">
            <v>400</v>
          </cell>
          <cell r="C87">
            <v>0</v>
          </cell>
          <cell r="D87">
            <v>256</v>
          </cell>
          <cell r="E87">
            <v>2</v>
          </cell>
        </row>
        <row r="88">
          <cell r="A88" t="str">
            <v>HEM450</v>
          </cell>
          <cell r="B88">
            <v>450</v>
          </cell>
          <cell r="C88">
            <v>0</v>
          </cell>
          <cell r="D88">
            <v>263</v>
          </cell>
          <cell r="E88">
            <v>2.1</v>
          </cell>
        </row>
        <row r="89">
          <cell r="A89" t="str">
            <v>HEM500</v>
          </cell>
          <cell r="B89">
            <v>500</v>
          </cell>
          <cell r="C89">
            <v>0</v>
          </cell>
          <cell r="D89">
            <v>270</v>
          </cell>
          <cell r="E89">
            <v>2.1800000000000002</v>
          </cell>
        </row>
        <row r="90">
          <cell r="A90" t="str">
            <v>HEM550</v>
          </cell>
          <cell r="B90">
            <v>550</v>
          </cell>
          <cell r="C90">
            <v>0</v>
          </cell>
          <cell r="D90">
            <v>278</v>
          </cell>
          <cell r="E90">
            <v>2.2799999999999998</v>
          </cell>
        </row>
        <row r="91">
          <cell r="A91" t="str">
            <v>HEM600</v>
          </cell>
          <cell r="B91">
            <v>600</v>
          </cell>
          <cell r="C91">
            <v>0</v>
          </cell>
          <cell r="D91">
            <v>285</v>
          </cell>
          <cell r="E91">
            <v>2.37</v>
          </cell>
        </row>
        <row r="92">
          <cell r="A92" t="str">
            <v>HEM650</v>
          </cell>
          <cell r="B92">
            <v>650</v>
          </cell>
          <cell r="C92">
            <v>0</v>
          </cell>
          <cell r="D92">
            <v>293</v>
          </cell>
          <cell r="E92">
            <v>2.4700000000000002</v>
          </cell>
        </row>
        <row r="93">
          <cell r="A93" t="str">
            <v>HEM700</v>
          </cell>
          <cell r="B93">
            <v>700</v>
          </cell>
          <cell r="C93">
            <v>0</v>
          </cell>
          <cell r="D93">
            <v>301</v>
          </cell>
          <cell r="E93">
            <v>2.56</v>
          </cell>
        </row>
        <row r="96">
          <cell r="K96" t="str">
            <v xml:space="preserve"> </v>
          </cell>
        </row>
        <row r="97">
          <cell r="A97" t="str">
            <v>&gt;40</v>
          </cell>
          <cell r="B97">
            <v>40</v>
          </cell>
          <cell r="D97">
            <v>2.42</v>
          </cell>
          <cell r="E97">
            <v>0.155</v>
          </cell>
        </row>
        <row r="98">
          <cell r="A98" t="str">
            <v>&gt;45</v>
          </cell>
          <cell r="B98">
            <v>45</v>
          </cell>
          <cell r="D98">
            <v>3.04</v>
          </cell>
          <cell r="E98">
            <v>0.17399999999999999</v>
          </cell>
        </row>
        <row r="99">
          <cell r="A99" t="str">
            <v>&gt;50</v>
          </cell>
          <cell r="B99">
            <v>50</v>
          </cell>
          <cell r="D99">
            <v>3.77</v>
          </cell>
          <cell r="E99">
            <v>0.19400000000000001</v>
          </cell>
        </row>
        <row r="100">
          <cell r="A100" t="str">
            <v>&gt;60</v>
          </cell>
          <cell r="B100">
            <v>60</v>
          </cell>
          <cell r="D100">
            <v>5.42</v>
          </cell>
          <cell r="E100">
            <v>0.23300000000000001</v>
          </cell>
        </row>
        <row r="101">
          <cell r="A101" t="str">
            <v>&gt;70</v>
          </cell>
          <cell r="B101">
            <v>70</v>
          </cell>
          <cell r="D101">
            <v>7.38</v>
          </cell>
          <cell r="E101">
            <v>0.27200000000000002</v>
          </cell>
        </row>
        <row r="102">
          <cell r="A102" t="str">
            <v>&gt;80</v>
          </cell>
          <cell r="B102">
            <v>80</v>
          </cell>
          <cell r="D102">
            <v>9.66</v>
          </cell>
          <cell r="E102">
            <v>0.311</v>
          </cell>
        </row>
        <row r="103">
          <cell r="A103" t="str">
            <v>&gt;90</v>
          </cell>
          <cell r="B103">
            <v>90</v>
          </cell>
          <cell r="D103">
            <v>12.2</v>
          </cell>
          <cell r="E103">
            <v>0.35099999999999998</v>
          </cell>
        </row>
        <row r="104">
          <cell r="A104" t="str">
            <v>&gt;100</v>
          </cell>
          <cell r="B104">
            <v>100</v>
          </cell>
          <cell r="D104">
            <v>15.1</v>
          </cell>
          <cell r="E104">
            <v>0.39</v>
          </cell>
        </row>
        <row r="105">
          <cell r="A105" t="str">
            <v>&gt;120</v>
          </cell>
          <cell r="B105">
            <v>120</v>
          </cell>
          <cell r="D105">
            <v>21.6</v>
          </cell>
          <cell r="E105">
            <v>0.46800000000000003</v>
          </cell>
        </row>
        <row r="106">
          <cell r="A106" t="str">
            <v>&gt;150</v>
          </cell>
          <cell r="B106">
            <v>150</v>
          </cell>
          <cell r="D106">
            <v>33.799999999999997</v>
          </cell>
          <cell r="E106">
            <v>0.58499999999999996</v>
          </cell>
        </row>
        <row r="107">
          <cell r="A107" t="str">
            <v>&gt;200</v>
          </cell>
          <cell r="B107">
            <v>200</v>
          </cell>
        </row>
        <row r="109">
          <cell r="A109" t="str">
            <v>&gt;&lt;40</v>
          </cell>
          <cell r="B109">
            <v>40</v>
          </cell>
          <cell r="D109">
            <v>4.84</v>
          </cell>
          <cell r="E109">
            <v>0.31</v>
          </cell>
        </row>
        <row r="110">
          <cell r="A110" t="str">
            <v>&gt;&lt;45</v>
          </cell>
          <cell r="B110">
            <v>45</v>
          </cell>
          <cell r="D110">
            <v>6.08</v>
          </cell>
          <cell r="E110">
            <v>0.34799999999999998</v>
          </cell>
        </row>
        <row r="111">
          <cell r="A111" t="str">
            <v>&gt;&lt;50</v>
          </cell>
          <cell r="B111">
            <v>50</v>
          </cell>
          <cell r="D111">
            <v>7.54</v>
          </cell>
          <cell r="E111">
            <v>0.38800000000000001</v>
          </cell>
        </row>
        <row r="112">
          <cell r="A112" t="str">
            <v>&gt;&lt;60</v>
          </cell>
          <cell r="B112">
            <v>60</v>
          </cell>
          <cell r="D112">
            <v>10.84</v>
          </cell>
          <cell r="E112">
            <v>0.46600000000000003</v>
          </cell>
        </row>
        <row r="113">
          <cell r="A113" t="str">
            <v>&gt;&lt;70</v>
          </cell>
          <cell r="B113">
            <v>70</v>
          </cell>
          <cell r="D113">
            <v>14.76</v>
          </cell>
          <cell r="E113">
            <v>0.54400000000000004</v>
          </cell>
        </row>
        <row r="114">
          <cell r="A114" t="str">
            <v>&gt;&lt;80</v>
          </cell>
          <cell r="B114">
            <v>80</v>
          </cell>
          <cell r="D114">
            <v>19.32</v>
          </cell>
          <cell r="E114">
            <v>0.622</v>
          </cell>
        </row>
        <row r="115">
          <cell r="A115" t="str">
            <v>&gt;&lt;90</v>
          </cell>
          <cell r="B115">
            <v>90</v>
          </cell>
          <cell r="D115">
            <v>24.4</v>
          </cell>
          <cell r="E115">
            <v>0.70199999999999996</v>
          </cell>
        </row>
        <row r="116">
          <cell r="A116" t="str">
            <v>&gt;&lt;100</v>
          </cell>
          <cell r="B116">
            <v>100</v>
          </cell>
          <cell r="D116">
            <v>30.2</v>
          </cell>
          <cell r="E116">
            <v>0.78</v>
          </cell>
        </row>
        <row r="117">
          <cell r="A117" t="str">
            <v>&gt;&lt;120</v>
          </cell>
          <cell r="B117">
            <v>120</v>
          </cell>
          <cell r="D117">
            <v>43.2</v>
          </cell>
          <cell r="E117">
            <v>0.93600000000000005</v>
          </cell>
        </row>
        <row r="118">
          <cell r="A118" t="str">
            <v>&gt;&lt;150</v>
          </cell>
          <cell r="B118">
            <v>150</v>
          </cell>
          <cell r="D118">
            <v>67.599999999999994</v>
          </cell>
          <cell r="E118">
            <v>1.17</v>
          </cell>
        </row>
        <row r="119">
          <cell r="A119" t="str">
            <v>&gt;&lt;200</v>
          </cell>
          <cell r="B119">
            <v>200</v>
          </cell>
        </row>
        <row r="121">
          <cell r="A121" t="str">
            <v>UAP80</v>
          </cell>
          <cell r="B121">
            <v>80</v>
          </cell>
          <cell r="D121">
            <v>8.3800000000000008</v>
          </cell>
          <cell r="E121">
            <v>0.33</v>
          </cell>
        </row>
        <row r="122">
          <cell r="A122" t="str">
            <v>UAP100</v>
          </cell>
          <cell r="B122">
            <v>100</v>
          </cell>
          <cell r="D122">
            <v>10.5</v>
          </cell>
          <cell r="E122">
            <v>0.38900000000000001</v>
          </cell>
        </row>
        <row r="123">
          <cell r="A123" t="str">
            <v>UAP130</v>
          </cell>
          <cell r="B123">
            <v>130</v>
          </cell>
          <cell r="D123">
            <v>13.7</v>
          </cell>
          <cell r="E123">
            <v>0.46800000000000003</v>
          </cell>
        </row>
        <row r="124">
          <cell r="A124" t="str">
            <v>UAP150</v>
          </cell>
          <cell r="B124">
            <v>150</v>
          </cell>
          <cell r="D124">
            <v>17.899999999999999</v>
          </cell>
          <cell r="E124">
            <v>0.54600000000000004</v>
          </cell>
        </row>
        <row r="125">
          <cell r="A125" t="str">
            <v>UAP175</v>
          </cell>
          <cell r="B125">
            <v>175</v>
          </cell>
          <cell r="D125">
            <v>21.2</v>
          </cell>
          <cell r="E125">
            <v>0.61499999999999999</v>
          </cell>
        </row>
        <row r="126">
          <cell r="A126" t="str">
            <v>UAP200</v>
          </cell>
          <cell r="B126">
            <v>200</v>
          </cell>
          <cell r="D126">
            <v>25.1</v>
          </cell>
          <cell r="E126">
            <v>0.68400000000000005</v>
          </cell>
        </row>
        <row r="127">
          <cell r="A127" t="str">
            <v>UAP220</v>
          </cell>
          <cell r="B127">
            <v>220</v>
          </cell>
          <cell r="D127">
            <v>28.5</v>
          </cell>
          <cell r="E127">
            <v>0.74399999999999999</v>
          </cell>
        </row>
        <row r="128">
          <cell r="A128" t="str">
            <v>UAP250</v>
          </cell>
          <cell r="B128">
            <v>250</v>
          </cell>
          <cell r="D128">
            <v>34.4</v>
          </cell>
          <cell r="E128">
            <v>0.82199999999999995</v>
          </cell>
        </row>
        <row r="129">
          <cell r="A129" t="str">
            <v>UAP300</v>
          </cell>
          <cell r="B129">
            <v>300</v>
          </cell>
          <cell r="D129">
            <v>46</v>
          </cell>
          <cell r="E129">
            <v>0.98099999999999998</v>
          </cell>
        </row>
        <row r="131">
          <cell r="A131" t="str">
            <v>UPN 80</v>
          </cell>
          <cell r="B131">
            <v>80</v>
          </cell>
          <cell r="D131">
            <v>8.64</v>
          </cell>
          <cell r="E131">
            <v>0.312</v>
          </cell>
        </row>
        <row r="132">
          <cell r="A132" t="str">
            <v>UPN100</v>
          </cell>
          <cell r="B132">
            <v>100</v>
          </cell>
          <cell r="D132">
            <v>10.6</v>
          </cell>
          <cell r="E132">
            <v>0.372</v>
          </cell>
        </row>
        <row r="133">
          <cell r="A133" t="str">
            <v>UPN120</v>
          </cell>
          <cell r="B133">
            <v>120</v>
          </cell>
          <cell r="D133">
            <v>13.4</v>
          </cell>
          <cell r="E133">
            <v>0.434</v>
          </cell>
        </row>
        <row r="134">
          <cell r="A134" t="str">
            <v>UPN140</v>
          </cell>
          <cell r="B134">
            <v>140</v>
          </cell>
          <cell r="D134">
            <v>16</v>
          </cell>
          <cell r="E134">
            <v>0.48899999999999999</v>
          </cell>
        </row>
        <row r="135">
          <cell r="A135" t="str">
            <v>UPN160</v>
          </cell>
          <cell r="B135">
            <v>160</v>
          </cell>
          <cell r="D135">
            <v>18.8</v>
          </cell>
          <cell r="E135">
            <v>0.54600000000000004</v>
          </cell>
        </row>
        <row r="136">
          <cell r="A136" t="str">
            <v>UPN180</v>
          </cell>
          <cell r="B136">
            <v>180</v>
          </cell>
          <cell r="D136">
            <v>22</v>
          </cell>
          <cell r="E136">
            <v>0.61099999999999999</v>
          </cell>
        </row>
        <row r="137">
          <cell r="A137" t="str">
            <v>UPN200</v>
          </cell>
          <cell r="B137">
            <v>200</v>
          </cell>
          <cell r="D137">
            <v>25.3</v>
          </cell>
          <cell r="E137">
            <v>0.66100000000000003</v>
          </cell>
        </row>
        <row r="138">
          <cell r="A138" t="str">
            <v>UPN220</v>
          </cell>
          <cell r="B138">
            <v>220</v>
          </cell>
          <cell r="D138">
            <v>29.4</v>
          </cell>
          <cell r="E138">
            <v>0.71799999999999997</v>
          </cell>
        </row>
        <row r="139">
          <cell r="A139" t="str">
            <v>UPN240</v>
          </cell>
          <cell r="B139">
            <v>240</v>
          </cell>
          <cell r="D139">
            <v>33.200000000000003</v>
          </cell>
          <cell r="E139">
            <v>0.77500000000000002</v>
          </cell>
        </row>
        <row r="140">
          <cell r="A140" t="str">
            <v>UPN260</v>
          </cell>
          <cell r="B140">
            <v>260</v>
          </cell>
          <cell r="D140">
            <v>37.9</v>
          </cell>
          <cell r="E140">
            <v>0.83399999999999996</v>
          </cell>
        </row>
        <row r="141">
          <cell r="A141" t="str">
            <v>UPN280</v>
          </cell>
          <cell r="B141">
            <v>280</v>
          </cell>
          <cell r="D141">
            <v>41.8</v>
          </cell>
          <cell r="E141">
            <v>0.89</v>
          </cell>
        </row>
        <row r="142">
          <cell r="A142" t="str">
            <v>UPN300</v>
          </cell>
          <cell r="B142">
            <v>300</v>
          </cell>
          <cell r="D142">
            <v>46.2</v>
          </cell>
          <cell r="E142">
            <v>0.95</v>
          </cell>
        </row>
        <row r="143">
          <cell r="A143" t="str">
            <v>UPN400</v>
          </cell>
          <cell r="B143">
            <v>400</v>
          </cell>
          <cell r="D143">
            <v>71.8</v>
          </cell>
          <cell r="E143">
            <v>1.1819999999999999</v>
          </cell>
        </row>
        <row r="145">
          <cell r="A145" t="str">
            <v>Tr</v>
          </cell>
          <cell r="B145">
            <v>21.3</v>
          </cell>
          <cell r="C145">
            <v>2.2999999999999998</v>
          </cell>
          <cell r="D145">
            <v>1.0777076518507103</v>
          </cell>
          <cell r="E145">
            <v>6.6915923521462597E-2</v>
          </cell>
        </row>
        <row r="146">
          <cell r="A146" t="str">
            <v>Tr</v>
          </cell>
          <cell r="B146">
            <v>26.9</v>
          </cell>
          <cell r="C146">
            <v>2.2999999999999998</v>
          </cell>
          <cell r="D146">
            <v>1.3953478018698675</v>
          </cell>
          <cell r="E146">
            <v>8.4508842381565433E-2</v>
          </cell>
        </row>
        <row r="147">
          <cell r="A147" t="str">
            <v>Tr</v>
          </cell>
          <cell r="B147">
            <v>33.700000000000003</v>
          </cell>
          <cell r="C147">
            <v>2.6</v>
          </cell>
          <cell r="D147">
            <v>1.9941290784587751</v>
          </cell>
          <cell r="E147">
            <v>0.10587167242597605</v>
          </cell>
        </row>
        <row r="148">
          <cell r="A148" t="str">
            <v>Tr</v>
          </cell>
          <cell r="B148">
            <v>42.4</v>
          </cell>
          <cell r="C148">
            <v>2.6</v>
          </cell>
          <cell r="D148">
            <v>2.5519722611787552</v>
          </cell>
          <cell r="E148">
            <v>0.13320352851220721</v>
          </cell>
        </row>
        <row r="149">
          <cell r="A149" t="str">
            <v>Tr</v>
          </cell>
          <cell r="B149">
            <v>48.3</v>
          </cell>
          <cell r="C149">
            <v>3.2</v>
          </cell>
          <cell r="D149">
            <v>3.5591480163637192</v>
          </cell>
          <cell r="E149">
            <v>0.151738925168387</v>
          </cell>
        </row>
        <row r="150">
          <cell r="A150" t="str">
            <v>Tr</v>
          </cell>
          <cell r="B150">
            <v>60.3</v>
          </cell>
          <cell r="C150">
            <v>3.2</v>
          </cell>
          <cell r="D150">
            <v>4.5061497058618247</v>
          </cell>
          <cell r="E150">
            <v>0.1894380370114645</v>
          </cell>
        </row>
        <row r="151">
          <cell r="A151" t="str">
            <v>Tr</v>
          </cell>
          <cell r="B151">
            <v>76.099999999999994</v>
          </cell>
          <cell r="C151">
            <v>3.6</v>
          </cell>
          <cell r="D151">
            <v>6.4366521083074471</v>
          </cell>
          <cell r="E151">
            <v>0.23907520093818324</v>
          </cell>
        </row>
        <row r="152">
          <cell r="A152" t="str">
            <v>Tr</v>
          </cell>
          <cell r="B152">
            <v>88.9</v>
          </cell>
          <cell r="C152">
            <v>3.2</v>
          </cell>
          <cell r="D152">
            <v>6.7631703991656549</v>
          </cell>
          <cell r="E152">
            <v>0.27928758690413263</v>
          </cell>
        </row>
        <row r="153">
          <cell r="A153" t="str">
            <v>Tr</v>
          </cell>
          <cell r="B153">
            <v>101.6</v>
          </cell>
          <cell r="C153">
            <v>3.6</v>
          </cell>
          <cell r="D153">
            <v>8.7005780222638638</v>
          </cell>
          <cell r="E153">
            <v>0.31918581360472298</v>
          </cell>
        </row>
        <row r="154">
          <cell r="A154" t="str">
            <v>Tr</v>
          </cell>
          <cell r="B154">
            <v>114.3</v>
          </cell>
          <cell r="C154">
            <v>3.6</v>
          </cell>
          <cell r="D154">
            <v>9.8281019088225552</v>
          </cell>
          <cell r="E154">
            <v>0.35908404030531338</v>
          </cell>
        </row>
        <row r="155">
          <cell r="A155" t="str">
            <v>Tr</v>
          </cell>
          <cell r="B155">
            <v>139.69999999999999</v>
          </cell>
          <cell r="C155">
            <v>5</v>
          </cell>
          <cell r="D155">
            <v>16.609521819712896</v>
          </cell>
          <cell r="E155">
            <v>0.43888049370649407</v>
          </cell>
        </row>
        <row r="156">
          <cell r="A156" t="str">
            <v>Tr</v>
          </cell>
          <cell r="B156">
            <v>168.3</v>
          </cell>
          <cell r="C156">
            <v>4.5</v>
          </cell>
          <cell r="D156">
            <v>18.177993367944122</v>
          </cell>
          <cell r="E156">
            <v>0.5287300435991622</v>
          </cell>
        </row>
        <row r="157">
          <cell r="A157" t="str">
            <v>Tr</v>
          </cell>
          <cell r="B157">
            <v>219.1</v>
          </cell>
          <cell r="C157">
            <v>4.5</v>
          </cell>
          <cell r="D157">
            <v>23.815612800737572</v>
          </cell>
          <cell r="E157">
            <v>0.68832295040152358</v>
          </cell>
        </row>
        <row r="158">
          <cell r="A158" t="str">
            <v>Tr</v>
          </cell>
          <cell r="B158">
            <v>244.5</v>
          </cell>
          <cell r="C158">
            <v>5.0999999999999996</v>
          </cell>
          <cell r="D158">
            <v>30.110214655620254</v>
          </cell>
          <cell r="E158">
            <v>0.76811940380270438</v>
          </cell>
        </row>
        <row r="159">
          <cell r="A159" t="str">
            <v>Tr</v>
          </cell>
          <cell r="B159">
            <v>273</v>
          </cell>
          <cell r="C159">
            <v>6.3</v>
          </cell>
          <cell r="D159">
            <v>41.436502831031696</v>
          </cell>
          <cell r="E159">
            <v>0.85765479443001358</v>
          </cell>
        </row>
        <row r="161">
          <cell r="A161" t="str">
            <v>IPN80</v>
          </cell>
          <cell r="B161">
            <v>80</v>
          </cell>
          <cell r="D161">
            <v>5.95</v>
          </cell>
          <cell r="E161">
            <v>0.30399999999999999</v>
          </cell>
        </row>
        <row r="162">
          <cell r="A162" t="str">
            <v>IPN100</v>
          </cell>
          <cell r="B162">
            <v>100</v>
          </cell>
          <cell r="D162">
            <v>8.32</v>
          </cell>
          <cell r="E162">
            <v>0.37</v>
          </cell>
        </row>
        <row r="163">
          <cell r="A163" t="str">
            <v>IPN120</v>
          </cell>
          <cell r="B163">
            <v>120</v>
          </cell>
          <cell r="D163">
            <v>11.2</v>
          </cell>
          <cell r="E163">
            <v>0.439</v>
          </cell>
        </row>
        <row r="164">
          <cell r="A164" t="str">
            <v>IPN140</v>
          </cell>
          <cell r="B164">
            <v>140</v>
          </cell>
          <cell r="D164">
            <v>14.4</v>
          </cell>
          <cell r="E164">
            <v>0.502</v>
          </cell>
        </row>
        <row r="165">
          <cell r="A165" t="str">
            <v>IPN160</v>
          </cell>
          <cell r="B165">
            <v>160</v>
          </cell>
          <cell r="D165">
            <v>17.899999999999999</v>
          </cell>
          <cell r="E165">
            <v>0.57499999999999996</v>
          </cell>
        </row>
        <row r="166">
          <cell r="A166" t="str">
            <v>IPN180</v>
          </cell>
          <cell r="B166">
            <v>180</v>
          </cell>
          <cell r="D166">
            <v>21.9</v>
          </cell>
          <cell r="E166">
            <v>0.64</v>
          </cell>
        </row>
        <row r="167">
          <cell r="A167" t="str">
            <v>IPN200</v>
          </cell>
          <cell r="B167">
            <v>200</v>
          </cell>
          <cell r="D167">
            <v>26.3</v>
          </cell>
          <cell r="E167">
            <v>0.70899999999999996</v>
          </cell>
        </row>
        <row r="168">
          <cell r="A168" t="str">
            <v>IPN220</v>
          </cell>
          <cell r="B168">
            <v>220</v>
          </cell>
          <cell r="D168">
            <v>31.1</v>
          </cell>
          <cell r="E168">
            <v>0.77500000000000002</v>
          </cell>
        </row>
        <row r="169">
          <cell r="A169" t="str">
            <v>IPN240</v>
          </cell>
          <cell r="B169">
            <v>240</v>
          </cell>
          <cell r="D169">
            <v>36.200000000000003</v>
          </cell>
          <cell r="E169">
            <v>0.84399999999999997</v>
          </cell>
        </row>
        <row r="170">
          <cell r="A170" t="str">
            <v>IPN260</v>
          </cell>
          <cell r="B170">
            <v>260</v>
          </cell>
          <cell r="D170">
            <v>41.9</v>
          </cell>
          <cell r="E170">
            <v>0.90600000000000003</v>
          </cell>
        </row>
        <row r="171">
          <cell r="A171" t="str">
            <v>IPN280</v>
          </cell>
          <cell r="B171">
            <v>280</v>
          </cell>
          <cell r="D171">
            <v>48</v>
          </cell>
          <cell r="E171">
            <v>0.96599999999999997</v>
          </cell>
        </row>
        <row r="172">
          <cell r="A172" t="str">
            <v>IPN300</v>
          </cell>
          <cell r="B172">
            <v>300</v>
          </cell>
          <cell r="D172">
            <v>54.2</v>
          </cell>
          <cell r="E172">
            <v>1.03</v>
          </cell>
        </row>
        <row r="173">
          <cell r="A173" t="str">
            <v>IPN320</v>
          </cell>
          <cell r="B173">
            <v>320</v>
          </cell>
          <cell r="D173">
            <v>61.1</v>
          </cell>
          <cell r="E173">
            <v>1.0900000000000001</v>
          </cell>
        </row>
        <row r="174">
          <cell r="A174" t="str">
            <v>IPN340</v>
          </cell>
          <cell r="B174">
            <v>340</v>
          </cell>
          <cell r="D174">
            <v>68.099999999999994</v>
          </cell>
          <cell r="E174">
            <v>1.1499999999999999</v>
          </cell>
        </row>
        <row r="175">
          <cell r="A175" t="str">
            <v>IPN360</v>
          </cell>
          <cell r="B175">
            <v>360</v>
          </cell>
          <cell r="D175">
            <v>76.2</v>
          </cell>
          <cell r="E175">
            <v>1.21</v>
          </cell>
        </row>
        <row r="176">
          <cell r="A176" t="str">
            <v>IPN380</v>
          </cell>
          <cell r="B176">
            <v>380</v>
          </cell>
          <cell r="D176">
            <v>84</v>
          </cell>
          <cell r="E176">
            <v>1.27</v>
          </cell>
        </row>
        <row r="177">
          <cell r="A177" t="str">
            <v>IPN400</v>
          </cell>
          <cell r="B177">
            <v>400</v>
          </cell>
          <cell r="D177">
            <v>92.6</v>
          </cell>
          <cell r="E177">
            <v>1.33</v>
          </cell>
        </row>
        <row r="178">
          <cell r="A178" t="str">
            <v>IPN450</v>
          </cell>
          <cell r="B178">
            <v>450</v>
          </cell>
          <cell r="D178">
            <v>115</v>
          </cell>
          <cell r="E178">
            <v>1.48</v>
          </cell>
        </row>
        <row r="179">
          <cell r="A179" t="str">
            <v>IPN500</v>
          </cell>
          <cell r="B179">
            <v>500</v>
          </cell>
          <cell r="D179">
            <v>141</v>
          </cell>
          <cell r="E179">
            <v>1.63</v>
          </cell>
        </row>
        <row r="180">
          <cell r="A180" t="str">
            <v>IPN550</v>
          </cell>
          <cell r="B180">
            <v>550</v>
          </cell>
          <cell r="D180">
            <v>167</v>
          </cell>
          <cell r="E180">
            <v>1.8</v>
          </cell>
        </row>
        <row r="184">
          <cell r="A184" t="str">
            <v>R</v>
          </cell>
          <cell r="B184">
            <v>6</v>
          </cell>
          <cell r="D184">
            <v>0.2219535209761189</v>
          </cell>
          <cell r="E184">
            <v>1.8849555921538759E-2</v>
          </cell>
        </row>
        <row r="185">
          <cell r="A185" t="str">
            <v>R</v>
          </cell>
          <cell r="B185">
            <v>8</v>
          </cell>
          <cell r="D185">
            <v>0.39458403729087804</v>
          </cell>
          <cell r="E185">
            <v>2.5132741228718346E-2</v>
          </cell>
        </row>
        <row r="186">
          <cell r="A186" t="str">
            <v>R</v>
          </cell>
          <cell r="B186">
            <v>10</v>
          </cell>
          <cell r="D186">
            <v>0.61653755826699697</v>
          </cell>
          <cell r="E186">
            <v>3.1415926535897934E-2</v>
          </cell>
        </row>
        <row r="187">
          <cell r="A187" t="str">
            <v>R</v>
          </cell>
          <cell r="B187">
            <v>12</v>
          </cell>
          <cell r="D187">
            <v>0.88781408390447558</v>
          </cell>
          <cell r="E187">
            <v>3.7699111843077518E-2</v>
          </cell>
        </row>
        <row r="188">
          <cell r="A188" t="str">
            <v>R</v>
          </cell>
          <cell r="B188">
            <v>14</v>
          </cell>
          <cell r="D188">
            <v>1.2084136142033137</v>
          </cell>
          <cell r="E188">
            <v>4.3982297150257102E-2</v>
          </cell>
          <cell r="M188">
            <v>10</v>
          </cell>
        </row>
        <row r="189">
          <cell r="A189" t="str">
            <v>R</v>
          </cell>
          <cell r="B189">
            <v>15</v>
          </cell>
          <cell r="D189">
            <v>1.387209506100743</v>
          </cell>
          <cell r="E189">
            <v>4.7123889803846894E-2</v>
          </cell>
        </row>
        <row r="190">
          <cell r="A190" t="str">
            <v>R</v>
          </cell>
          <cell r="B190">
            <v>16</v>
          </cell>
          <cell r="D190">
            <v>1.5783361491635122</v>
          </cell>
          <cell r="E190">
            <v>5.0265482457436693E-2</v>
          </cell>
        </row>
        <row r="191">
          <cell r="A191" t="str">
            <v>R</v>
          </cell>
          <cell r="B191">
            <v>20</v>
          </cell>
          <cell r="D191">
            <v>2.4661502330679879</v>
          </cell>
          <cell r="E191">
            <v>6.2831853071795868E-2</v>
          </cell>
        </row>
        <row r="192">
          <cell r="A192" t="str">
            <v>R</v>
          </cell>
          <cell r="B192">
            <v>25</v>
          </cell>
          <cell r="D192">
            <v>3.8533597391687309</v>
          </cell>
          <cell r="E192">
            <v>7.8539816339744828E-2</v>
          </cell>
        </row>
        <row r="193">
          <cell r="A193" t="str">
            <v>R</v>
          </cell>
          <cell r="B193">
            <v>30</v>
          </cell>
          <cell r="D193">
            <v>5.548838024402972</v>
          </cell>
          <cell r="E193">
            <v>9.4247779607693788E-2</v>
          </cell>
        </row>
        <row r="194">
          <cell r="A194" t="str">
            <v>R</v>
          </cell>
          <cell r="B194">
            <v>40</v>
          </cell>
          <cell r="D194">
            <v>9.8646009322719515</v>
          </cell>
          <cell r="E194">
            <v>0.12566370614359174</v>
          </cell>
        </row>
        <row r="195">
          <cell r="A195" t="str">
            <v>R</v>
          </cell>
          <cell r="B195">
            <v>50</v>
          </cell>
          <cell r="D195">
            <v>15.413438956674923</v>
          </cell>
          <cell r="E195">
            <v>0.15707963267948966</v>
          </cell>
        </row>
        <row r="196">
          <cell r="A196" t="str">
            <v>R</v>
          </cell>
          <cell r="B196">
            <v>60</v>
          </cell>
          <cell r="D196">
            <v>22.195352097611888</v>
          </cell>
          <cell r="E196">
            <v>0.18849555921538758</v>
          </cell>
        </row>
        <row r="197">
          <cell r="A197" t="str">
            <v>R</v>
          </cell>
          <cell r="B197">
            <v>80</v>
          </cell>
          <cell r="D197">
            <v>39.458403729087806</v>
          </cell>
          <cell r="E197">
            <v>0.25132741228718347</v>
          </cell>
        </row>
        <row r="198">
          <cell r="A198" t="str">
            <v>R</v>
          </cell>
          <cell r="B198">
            <v>100</v>
          </cell>
          <cell r="D198">
            <v>61.653755826699694</v>
          </cell>
          <cell r="E198">
            <v>0.31415926535897931</v>
          </cell>
        </row>
        <row r="199">
          <cell r="A199" t="str">
            <v>R</v>
          </cell>
          <cell r="B199">
            <v>120</v>
          </cell>
          <cell r="D199">
            <v>88.781408390447552</v>
          </cell>
          <cell r="E199">
            <v>0.37699111843077515</v>
          </cell>
        </row>
        <row r="200">
          <cell r="A200" t="str">
            <v>R</v>
          </cell>
          <cell r="B200">
            <v>150</v>
          </cell>
          <cell r="D200">
            <v>138.72095061007431</v>
          </cell>
          <cell r="E200">
            <v>0.47123889803846897</v>
          </cell>
        </row>
        <row r="201">
          <cell r="A201" t="str">
            <v>R</v>
          </cell>
          <cell r="B201">
            <v>200</v>
          </cell>
          <cell r="D201">
            <v>246.61502330679878</v>
          </cell>
          <cell r="E201">
            <v>0.62831853071795862</v>
          </cell>
        </row>
        <row r="203">
          <cell r="A203" t="str">
            <v>Plat</v>
          </cell>
          <cell r="B203">
            <v>50</v>
          </cell>
          <cell r="C203">
            <v>10</v>
          </cell>
          <cell r="D203">
            <v>3.9250000000000003</v>
          </cell>
          <cell r="E203">
            <v>0.12</v>
          </cell>
        </row>
        <row r="205">
          <cell r="A205" t="str">
            <v>Te25</v>
          </cell>
          <cell r="B205">
            <v>25</v>
          </cell>
          <cell r="C205">
            <v>3.5</v>
          </cell>
          <cell r="D205">
            <v>1.29</v>
          </cell>
          <cell r="E205">
            <v>0.1</v>
          </cell>
        </row>
        <row r="206">
          <cell r="A206" t="str">
            <v>Te30</v>
          </cell>
          <cell r="B206">
            <v>30</v>
          </cell>
          <cell r="C206">
            <v>4</v>
          </cell>
          <cell r="D206">
            <v>1.77</v>
          </cell>
          <cell r="E206">
            <v>0.12</v>
          </cell>
        </row>
        <row r="207">
          <cell r="A207" t="str">
            <v>Te35</v>
          </cell>
          <cell r="B207">
            <v>35</v>
          </cell>
          <cell r="C207">
            <v>4.5</v>
          </cell>
          <cell r="D207">
            <v>2.33</v>
          </cell>
          <cell r="E207">
            <v>0.13</v>
          </cell>
        </row>
        <row r="208">
          <cell r="A208" t="str">
            <v>Te40</v>
          </cell>
          <cell r="B208">
            <v>40</v>
          </cell>
          <cell r="C208">
            <v>4</v>
          </cell>
          <cell r="D208">
            <v>2.4</v>
          </cell>
          <cell r="E208">
            <v>0.15</v>
          </cell>
        </row>
        <row r="209">
          <cell r="A209" t="str">
            <v>Te404.5</v>
          </cell>
          <cell r="B209">
            <v>40</v>
          </cell>
          <cell r="C209">
            <v>4.5</v>
          </cell>
          <cell r="D209">
            <v>2.67</v>
          </cell>
          <cell r="E209">
            <v>0.15</v>
          </cell>
        </row>
        <row r="210">
          <cell r="A210" t="str">
            <v>Te405</v>
          </cell>
          <cell r="B210">
            <v>40</v>
          </cell>
          <cell r="C210">
            <v>5</v>
          </cell>
          <cell r="D210">
            <v>2.96</v>
          </cell>
          <cell r="E210">
            <v>3.77</v>
          </cell>
        </row>
        <row r="211">
          <cell r="A211" t="str">
            <v>Te505</v>
          </cell>
          <cell r="B211">
            <v>50</v>
          </cell>
          <cell r="C211">
            <v>5</v>
          </cell>
          <cell r="D211">
            <v>3.75</v>
          </cell>
          <cell r="E211">
            <v>0.19</v>
          </cell>
        </row>
        <row r="212">
          <cell r="A212" t="str">
            <v>Te506</v>
          </cell>
          <cell r="B212">
            <v>50</v>
          </cell>
          <cell r="C212">
            <v>6</v>
          </cell>
          <cell r="D212">
            <v>4.4400000000000004</v>
          </cell>
          <cell r="E212">
            <v>0.2</v>
          </cell>
        </row>
        <row r="213">
          <cell r="A213" t="str">
            <v>Te60</v>
          </cell>
          <cell r="B213">
            <v>60</v>
          </cell>
          <cell r="C213">
            <v>7</v>
          </cell>
          <cell r="D213">
            <v>6.25</v>
          </cell>
          <cell r="E213">
            <v>0.23</v>
          </cell>
        </row>
        <row r="214">
          <cell r="A214" t="str">
            <v>Te70</v>
          </cell>
          <cell r="B214">
            <v>70</v>
          </cell>
          <cell r="C214">
            <v>8</v>
          </cell>
          <cell r="D214">
            <v>8.34</v>
          </cell>
          <cell r="E214">
            <v>0.27</v>
          </cell>
        </row>
        <row r="215">
          <cell r="A215" t="str">
            <v>Te80</v>
          </cell>
          <cell r="B215">
            <v>80</v>
          </cell>
          <cell r="C215">
            <v>9</v>
          </cell>
          <cell r="D215">
            <v>10.73</v>
          </cell>
          <cell r="E215">
            <v>0.31</v>
          </cell>
        </row>
        <row r="217">
          <cell r="A217" t="str">
            <v>Tcar35x2.7</v>
          </cell>
          <cell r="D217">
            <v>2.738</v>
          </cell>
          <cell r="E217">
            <v>0.14000000000000001</v>
          </cell>
          <cell r="K217" t="str">
            <v>Tcar</v>
          </cell>
          <cell r="L217" t="str">
            <v>35x2.7</v>
          </cell>
        </row>
        <row r="218">
          <cell r="A218" t="str">
            <v>Tcar40-3.2</v>
          </cell>
          <cell r="D218">
            <v>3.66</v>
          </cell>
          <cell r="E218">
            <v>0.16</v>
          </cell>
          <cell r="K218" t="str">
            <v>Tcar</v>
          </cell>
          <cell r="L218" t="str">
            <v>40-3.2</v>
          </cell>
        </row>
        <row r="219">
          <cell r="A219" t="str">
            <v>Tcar45-4</v>
          </cell>
          <cell r="D219">
            <v>5.09</v>
          </cell>
          <cell r="E219">
            <v>0.18</v>
          </cell>
          <cell r="K219" t="str">
            <v>Tcar</v>
          </cell>
          <cell r="L219" t="str">
            <v>45-4</v>
          </cell>
        </row>
        <row r="220">
          <cell r="A220" t="str">
            <v>Tcar50-4</v>
          </cell>
          <cell r="D220">
            <v>5.72</v>
          </cell>
          <cell r="E220">
            <v>0.2</v>
          </cell>
          <cell r="K220" t="str">
            <v>Tcar</v>
          </cell>
          <cell r="L220" t="str">
            <v>50-4</v>
          </cell>
        </row>
        <row r="221">
          <cell r="A221" t="str">
            <v>Tcar50-5</v>
          </cell>
          <cell r="D221">
            <v>6.97</v>
          </cell>
          <cell r="E221">
            <v>0.2</v>
          </cell>
          <cell r="K221" t="str">
            <v>Tcar</v>
          </cell>
          <cell r="L221" t="str">
            <v>50-5</v>
          </cell>
        </row>
        <row r="222">
          <cell r="A222" t="str">
            <v>Tcar60-4</v>
          </cell>
          <cell r="D222">
            <v>6.97</v>
          </cell>
          <cell r="E222">
            <v>0.24</v>
          </cell>
          <cell r="K222" t="str">
            <v>Tcar</v>
          </cell>
          <cell r="L222" t="str">
            <v>60-4</v>
          </cell>
        </row>
        <row r="223">
          <cell r="A223" t="str">
            <v>Tcar60-5</v>
          </cell>
          <cell r="D223">
            <v>8.5399999999999991</v>
          </cell>
          <cell r="E223">
            <v>0.24</v>
          </cell>
          <cell r="K223" t="str">
            <v>Tcar</v>
          </cell>
          <cell r="L223" t="str">
            <v>60-5</v>
          </cell>
        </row>
        <row r="224">
          <cell r="A224" t="str">
            <v>Tcar70-5</v>
          </cell>
          <cell r="D224">
            <v>10.1</v>
          </cell>
          <cell r="E224">
            <v>0.28000000000000003</v>
          </cell>
          <cell r="K224" t="str">
            <v>Tcar</v>
          </cell>
          <cell r="L224" t="str">
            <v>70-5</v>
          </cell>
        </row>
        <row r="225">
          <cell r="A225" t="str">
            <v>Tcar80-4</v>
          </cell>
          <cell r="D225">
            <v>9.5459999999999994</v>
          </cell>
          <cell r="E225">
            <v>0.32</v>
          </cell>
          <cell r="K225" t="str">
            <v>Tcar</v>
          </cell>
          <cell r="L225" t="str">
            <v>80-4</v>
          </cell>
        </row>
        <row r="226">
          <cell r="A226" t="str">
            <v>Tcar80-5</v>
          </cell>
          <cell r="D226">
            <v>13.8</v>
          </cell>
          <cell r="E226">
            <v>0.32</v>
          </cell>
          <cell r="K226" t="str">
            <v>Tcar</v>
          </cell>
          <cell r="L226" t="str">
            <v>80-5</v>
          </cell>
        </row>
        <row r="227">
          <cell r="A227" t="str">
            <v>Tcar90-5</v>
          </cell>
          <cell r="D227">
            <v>13.3</v>
          </cell>
          <cell r="E227">
            <v>0.36</v>
          </cell>
          <cell r="K227" t="str">
            <v>Tcar</v>
          </cell>
          <cell r="L227" t="str">
            <v>90-5</v>
          </cell>
        </row>
        <row r="228">
          <cell r="A228" t="str">
            <v>Tcar100-4</v>
          </cell>
          <cell r="D228">
            <v>12</v>
          </cell>
          <cell r="E228">
            <v>0.4</v>
          </cell>
          <cell r="K228" t="str">
            <v>Tcar</v>
          </cell>
          <cell r="L228" t="str">
            <v>100-4</v>
          </cell>
        </row>
        <row r="229">
          <cell r="A229" t="str">
            <v>Tcar100-5</v>
          </cell>
          <cell r="D229">
            <v>14.8</v>
          </cell>
          <cell r="E229">
            <v>0.4</v>
          </cell>
          <cell r="K229" t="str">
            <v>Tcar</v>
          </cell>
          <cell r="L229" t="str">
            <v>100-5</v>
          </cell>
        </row>
        <row r="230">
          <cell r="A230" t="str">
            <v>Tcar100-6</v>
          </cell>
          <cell r="D230">
            <v>17.600000000000001</v>
          </cell>
          <cell r="E230">
            <v>0.4</v>
          </cell>
          <cell r="K230" t="str">
            <v>Tcar</v>
          </cell>
          <cell r="L230" t="str">
            <v>100-6</v>
          </cell>
        </row>
        <row r="231">
          <cell r="A231" t="str">
            <v>Tcar120-4</v>
          </cell>
          <cell r="D231">
            <v>14.5</v>
          </cell>
          <cell r="E231">
            <v>0.48</v>
          </cell>
          <cell r="K231" t="str">
            <v>Tcar</v>
          </cell>
          <cell r="L231" t="str">
            <v>120-4</v>
          </cell>
        </row>
        <row r="232">
          <cell r="A232" t="str">
            <v>Tcar120-5</v>
          </cell>
          <cell r="D232">
            <v>18</v>
          </cell>
          <cell r="E232">
            <v>0.48</v>
          </cell>
          <cell r="K232" t="str">
            <v>Tcar</v>
          </cell>
          <cell r="L232" t="str">
            <v>120-5</v>
          </cell>
        </row>
        <row r="233">
          <cell r="A233" t="str">
            <v>Tcar120-6</v>
          </cell>
          <cell r="D233">
            <v>21.3</v>
          </cell>
          <cell r="E233">
            <v>0.48</v>
          </cell>
          <cell r="K233" t="str">
            <v>Tcar</v>
          </cell>
          <cell r="L233" t="str">
            <v>120-6</v>
          </cell>
        </row>
        <row r="234">
          <cell r="A234" t="str">
            <v>Tcar135-4</v>
          </cell>
          <cell r="D234">
            <v>16.399999999999999</v>
          </cell>
          <cell r="E234">
            <v>0.54</v>
          </cell>
          <cell r="K234" t="str">
            <v>Tcar</v>
          </cell>
          <cell r="L234" t="str">
            <v>135-4</v>
          </cell>
        </row>
        <row r="235">
          <cell r="A235" t="str">
            <v>Tcar140-4</v>
          </cell>
          <cell r="D235">
            <v>16.7</v>
          </cell>
          <cell r="E235">
            <v>0.56000000000000005</v>
          </cell>
          <cell r="K235" t="str">
            <v>Tcar</v>
          </cell>
          <cell r="L235" t="str">
            <v>140-4</v>
          </cell>
        </row>
        <row r="236">
          <cell r="A236" t="str">
            <v>Tcar140-5</v>
          </cell>
          <cell r="D236">
            <v>20.6</v>
          </cell>
          <cell r="E236">
            <v>0.56000000000000005</v>
          </cell>
          <cell r="K236" t="str">
            <v>Tcar</v>
          </cell>
          <cell r="L236" t="str">
            <v>140-5</v>
          </cell>
        </row>
        <row r="237">
          <cell r="A237" t="str">
            <v>Tcar140-6</v>
          </cell>
          <cell r="D237">
            <v>24.4</v>
          </cell>
          <cell r="E237">
            <v>0.56000000000000005</v>
          </cell>
          <cell r="K237" t="str">
            <v>Tcar</v>
          </cell>
          <cell r="L237" t="str">
            <v>140-6</v>
          </cell>
        </row>
        <row r="238">
          <cell r="A238" t="str">
            <v>Tcar150-4</v>
          </cell>
          <cell r="D238">
            <v>17.899999999999999</v>
          </cell>
          <cell r="E238">
            <v>0.6</v>
          </cell>
          <cell r="K238" t="str">
            <v>Tcar</v>
          </cell>
          <cell r="L238" t="str">
            <v>150-4</v>
          </cell>
        </row>
        <row r="239">
          <cell r="A239" t="str">
            <v>Tcar150-5</v>
          </cell>
          <cell r="D239">
            <v>22.2</v>
          </cell>
          <cell r="E239">
            <v>0.6</v>
          </cell>
          <cell r="K239" t="str">
            <v>Tcar</v>
          </cell>
          <cell r="L239" t="str">
            <v>150-5</v>
          </cell>
        </row>
        <row r="240">
          <cell r="A240" t="str">
            <v>Tcar150-6</v>
          </cell>
          <cell r="D240">
            <v>26.3</v>
          </cell>
          <cell r="E240">
            <v>0.6</v>
          </cell>
          <cell r="K240" t="str">
            <v>Tcar</v>
          </cell>
          <cell r="L240" t="str">
            <v>150-6</v>
          </cell>
        </row>
        <row r="241">
          <cell r="A241" t="str">
            <v>Tcar150-8</v>
          </cell>
          <cell r="D241">
            <v>34.1</v>
          </cell>
          <cell r="E241">
            <v>0.6</v>
          </cell>
          <cell r="K241" t="str">
            <v>Tcar</v>
          </cell>
          <cell r="L241" t="str">
            <v>150-8</v>
          </cell>
        </row>
        <row r="242">
          <cell r="A242" t="str">
            <v>Tcar150-10</v>
          </cell>
          <cell r="D242">
            <v>41.5</v>
          </cell>
          <cell r="E242">
            <v>0.6</v>
          </cell>
          <cell r="K242" t="str">
            <v>Tcar</v>
          </cell>
          <cell r="L242" t="str">
            <v>150-10</v>
          </cell>
        </row>
        <row r="243">
          <cell r="A243" t="str">
            <v>Tcar180-6</v>
          </cell>
          <cell r="D243">
            <v>31.9</v>
          </cell>
          <cell r="E243">
            <v>0.72</v>
          </cell>
          <cell r="K243" t="str">
            <v>Tcar</v>
          </cell>
          <cell r="L243" t="str">
            <v>180-6</v>
          </cell>
        </row>
        <row r="244">
          <cell r="A244" t="str">
            <v>Tcar180-8</v>
          </cell>
          <cell r="D244">
            <v>41.5</v>
          </cell>
          <cell r="E244">
            <v>0.72</v>
          </cell>
          <cell r="K244" t="str">
            <v>Tcar</v>
          </cell>
          <cell r="L244" t="str">
            <v>180-8</v>
          </cell>
        </row>
        <row r="245">
          <cell r="A245" t="str">
            <v>Tcar180-10</v>
          </cell>
          <cell r="D245">
            <v>51.4</v>
          </cell>
          <cell r="E245">
            <v>0.72</v>
          </cell>
          <cell r="K245" t="str">
            <v>Tcar</v>
          </cell>
          <cell r="L245" t="str">
            <v>180-10</v>
          </cell>
        </row>
        <row r="246">
          <cell r="A246" t="str">
            <v>Tcar200-5</v>
          </cell>
          <cell r="D246">
            <v>30</v>
          </cell>
          <cell r="E246">
            <v>0.8</v>
          </cell>
          <cell r="K246" t="str">
            <v>Tcar</v>
          </cell>
          <cell r="L246" t="str">
            <v>200-5</v>
          </cell>
        </row>
        <row r="247">
          <cell r="A247" t="str">
            <v>Tcar200-6</v>
          </cell>
          <cell r="D247">
            <v>35.700000000000003</v>
          </cell>
          <cell r="E247">
            <v>0.8</v>
          </cell>
          <cell r="K247" t="str">
            <v>Tcar</v>
          </cell>
          <cell r="L247" t="str">
            <v>200-6</v>
          </cell>
        </row>
        <row r="248">
          <cell r="A248" t="str">
            <v>Tcar200-8</v>
          </cell>
          <cell r="D248">
            <v>46.7</v>
          </cell>
          <cell r="E248">
            <v>0.8</v>
          </cell>
          <cell r="K248" t="str">
            <v>Tcar</v>
          </cell>
          <cell r="L248" t="str">
            <v>200-8</v>
          </cell>
        </row>
        <row r="249">
          <cell r="A249" t="str">
            <v>Tcar200-10</v>
          </cell>
          <cell r="D249">
            <v>57.2</v>
          </cell>
          <cell r="E249">
            <v>0.8</v>
          </cell>
          <cell r="K249" t="str">
            <v>Tcar</v>
          </cell>
          <cell r="L249" t="str">
            <v>200-10</v>
          </cell>
        </row>
        <row r="250">
          <cell r="A250" t="str">
            <v>Tcar250-6</v>
          </cell>
          <cell r="D250">
            <v>45.1</v>
          </cell>
          <cell r="E250">
            <v>1</v>
          </cell>
          <cell r="K250" t="str">
            <v>Tcar</v>
          </cell>
          <cell r="L250" t="str">
            <v>250-6</v>
          </cell>
        </row>
        <row r="251">
          <cell r="A251" t="str">
            <v>Tcar250-8</v>
          </cell>
          <cell r="D251">
            <v>59.2</v>
          </cell>
          <cell r="E251">
            <v>1</v>
          </cell>
          <cell r="K251" t="str">
            <v>Tcar</v>
          </cell>
          <cell r="L251" t="str">
            <v>250-8</v>
          </cell>
        </row>
        <row r="252">
          <cell r="A252" t="str">
            <v>Tcar250-10</v>
          </cell>
          <cell r="D252">
            <v>72.900000000000006</v>
          </cell>
          <cell r="E252">
            <v>1</v>
          </cell>
          <cell r="K252" t="str">
            <v>Tcar</v>
          </cell>
          <cell r="L252" t="str">
            <v>250-10</v>
          </cell>
        </row>
        <row r="253">
          <cell r="A253" t="str">
            <v>Tcar250-12</v>
          </cell>
          <cell r="D253">
            <v>86.2</v>
          </cell>
          <cell r="E253">
            <v>1</v>
          </cell>
          <cell r="K253" t="str">
            <v>Tcar</v>
          </cell>
          <cell r="L253" t="str">
            <v>250-12</v>
          </cell>
        </row>
        <row r="254">
          <cell r="A254" t="str">
            <v>Tcar300-6</v>
          </cell>
          <cell r="D254">
            <v>54.5</v>
          </cell>
          <cell r="E254">
            <v>1.2</v>
          </cell>
          <cell r="K254" t="str">
            <v>Tcar</v>
          </cell>
          <cell r="L254" t="str">
            <v>300-6</v>
          </cell>
        </row>
        <row r="255">
          <cell r="A255" t="str">
            <v>Tcar300-8</v>
          </cell>
          <cell r="D255">
            <v>71.8</v>
          </cell>
          <cell r="E255">
            <v>1.2</v>
          </cell>
          <cell r="K255" t="str">
            <v>Tcar</v>
          </cell>
          <cell r="L255" t="str">
            <v>300-8</v>
          </cell>
        </row>
        <row r="256">
          <cell r="A256" t="str">
            <v>Tcar300-10</v>
          </cell>
          <cell r="D256">
            <v>88.6</v>
          </cell>
          <cell r="E256">
            <v>1.2</v>
          </cell>
          <cell r="K256" t="str">
            <v>Tcar</v>
          </cell>
          <cell r="L256" t="str">
            <v>300-10</v>
          </cell>
        </row>
        <row r="257">
          <cell r="A257" t="str">
            <v>Tcar300-12</v>
          </cell>
          <cell r="D257">
            <v>105</v>
          </cell>
          <cell r="E257">
            <v>1.2</v>
          </cell>
          <cell r="K257" t="str">
            <v>Tcar</v>
          </cell>
          <cell r="L257" t="str">
            <v>300-12</v>
          </cell>
        </row>
        <row r="258">
          <cell r="A258" t="str">
            <v>Tcar350-8</v>
          </cell>
          <cell r="D258">
            <v>84.4</v>
          </cell>
          <cell r="E258">
            <v>1.4</v>
          </cell>
          <cell r="K258" t="str">
            <v>Tcar</v>
          </cell>
          <cell r="L258" t="str">
            <v>350-8</v>
          </cell>
        </row>
        <row r="259">
          <cell r="A259" t="str">
            <v>Tcar350-10</v>
          </cell>
          <cell r="D259">
            <v>104.3</v>
          </cell>
          <cell r="E259">
            <v>1.4</v>
          </cell>
          <cell r="K259" t="str">
            <v>Tcar</v>
          </cell>
          <cell r="L259" t="str">
            <v>350-10</v>
          </cell>
        </row>
        <row r="260">
          <cell r="A260" t="str">
            <v>Tcar350-12</v>
          </cell>
          <cell r="D260">
            <v>123.9</v>
          </cell>
          <cell r="E260">
            <v>1.4</v>
          </cell>
          <cell r="K260" t="str">
            <v>Tcar</v>
          </cell>
          <cell r="L260" t="str">
            <v>350-12</v>
          </cell>
        </row>
        <row r="261">
          <cell r="A261" t="str">
            <v>Tcar400-20</v>
          </cell>
          <cell r="D261">
            <v>238.64000000000001</v>
          </cell>
          <cell r="E261">
            <v>1.6</v>
          </cell>
          <cell r="K261" t="str">
            <v>Tcar</v>
          </cell>
          <cell r="L261" t="str">
            <v>400-20</v>
          </cell>
        </row>
        <row r="263">
          <cell r="A263" t="str">
            <v>Trc50x252.6</v>
          </cell>
          <cell r="D263">
            <v>2.95</v>
          </cell>
          <cell r="E263" t="str">
            <v xml:space="preserve"> </v>
          </cell>
          <cell r="I263" t="str">
            <v>Trc</v>
          </cell>
          <cell r="J263" t="str">
            <v>50x25</v>
          </cell>
          <cell r="K263">
            <v>2.6</v>
          </cell>
        </row>
        <row r="264">
          <cell r="A264" t="str">
            <v>Trc60x302.6</v>
          </cell>
          <cell r="D264">
            <v>3.59</v>
          </cell>
          <cell r="E264" t="str">
            <v xml:space="preserve"> </v>
          </cell>
          <cell r="I264" t="str">
            <v>Trc</v>
          </cell>
          <cell r="J264" t="str">
            <v>60x30</v>
          </cell>
          <cell r="K264">
            <v>2.6</v>
          </cell>
        </row>
        <row r="265">
          <cell r="A265" t="str">
            <v>Trc60x303.2</v>
          </cell>
          <cell r="D265">
            <v>4.2</v>
          </cell>
          <cell r="E265" t="str">
            <v xml:space="preserve"> </v>
          </cell>
          <cell r="I265" t="str">
            <v>Trc</v>
          </cell>
          <cell r="J265" t="str">
            <v>60x30</v>
          </cell>
          <cell r="K265">
            <v>3.2</v>
          </cell>
        </row>
        <row r="266">
          <cell r="A266" t="str">
            <v>Trc60x403.2</v>
          </cell>
          <cell r="D266">
            <v>4.43</v>
          </cell>
          <cell r="E266" t="str">
            <v xml:space="preserve"> </v>
          </cell>
          <cell r="I266" t="str">
            <v>Trc</v>
          </cell>
          <cell r="J266" t="str">
            <v>60x40</v>
          </cell>
          <cell r="K266">
            <v>3.2</v>
          </cell>
        </row>
        <row r="267">
          <cell r="A267" t="str">
            <v>Trc70x353.2</v>
          </cell>
          <cell r="D267">
            <v>4.95</v>
          </cell>
          <cell r="E267" t="str">
            <v xml:space="preserve"> </v>
          </cell>
          <cell r="I267" t="str">
            <v>Trc</v>
          </cell>
          <cell r="J267" t="str">
            <v>70x35</v>
          </cell>
          <cell r="K267">
            <v>3.2</v>
          </cell>
        </row>
        <row r="268">
          <cell r="A268" t="str">
            <v>Trc70x403.2</v>
          </cell>
          <cell r="D268">
            <v>4.9000000000000004</v>
          </cell>
          <cell r="E268" t="str">
            <v xml:space="preserve"> </v>
          </cell>
          <cell r="I268" t="str">
            <v>Trc</v>
          </cell>
          <cell r="J268" t="str">
            <v>70x40</v>
          </cell>
          <cell r="K268">
            <v>3.2</v>
          </cell>
        </row>
        <row r="269">
          <cell r="A269" t="str">
            <v>Trc80x403.2</v>
          </cell>
          <cell r="D269">
            <v>5.71</v>
          </cell>
          <cell r="E269" t="str">
            <v xml:space="preserve"> </v>
          </cell>
          <cell r="I269" t="str">
            <v>Trc</v>
          </cell>
          <cell r="J269" t="str">
            <v>80x40</v>
          </cell>
          <cell r="K269">
            <v>3.2</v>
          </cell>
        </row>
        <row r="270">
          <cell r="A270" t="str">
            <v>Trc80x404</v>
          </cell>
          <cell r="D270">
            <v>7.03</v>
          </cell>
          <cell r="E270">
            <v>0.24</v>
          </cell>
          <cell r="I270" t="str">
            <v>Trc</v>
          </cell>
          <cell r="J270" t="str">
            <v>80x40</v>
          </cell>
          <cell r="K270">
            <v>4</v>
          </cell>
        </row>
        <row r="271">
          <cell r="A271" t="str">
            <v>Trc80x505</v>
          </cell>
          <cell r="D271">
            <v>10.1</v>
          </cell>
          <cell r="E271">
            <v>0.26</v>
          </cell>
          <cell r="I271" t="str">
            <v>Trc</v>
          </cell>
          <cell r="J271" t="str">
            <v>80x50</v>
          </cell>
          <cell r="K271">
            <v>5</v>
          </cell>
        </row>
        <row r="272">
          <cell r="A272" t="str">
            <v>Trc90x503.2</v>
          </cell>
          <cell r="D272">
            <v>6.71</v>
          </cell>
          <cell r="E272">
            <v>0.28000000000000003</v>
          </cell>
          <cell r="I272" t="str">
            <v>Trc</v>
          </cell>
          <cell r="J272" t="str">
            <v>90x50</v>
          </cell>
          <cell r="K272">
            <v>3.2</v>
          </cell>
        </row>
        <row r="273">
          <cell r="A273" t="str">
            <v>Trc90x504</v>
          </cell>
          <cell r="D273">
            <v>8.92</v>
          </cell>
          <cell r="E273" t="str">
            <v xml:space="preserve"> </v>
          </cell>
          <cell r="I273" t="str">
            <v>Trc</v>
          </cell>
          <cell r="J273" t="str">
            <v>90x50</v>
          </cell>
          <cell r="K273">
            <v>4</v>
          </cell>
        </row>
        <row r="274">
          <cell r="A274" t="str">
            <v>Trc100x503.2</v>
          </cell>
          <cell r="D274">
            <v>7.21</v>
          </cell>
          <cell r="E274">
            <v>0.3</v>
          </cell>
          <cell r="I274" t="str">
            <v>Trc</v>
          </cell>
          <cell r="J274" t="str">
            <v>100x50</v>
          </cell>
          <cell r="K274">
            <v>3.2</v>
          </cell>
        </row>
        <row r="275">
          <cell r="A275" t="str">
            <v>Trc100x504</v>
          </cell>
          <cell r="D275">
            <v>8.92</v>
          </cell>
          <cell r="E275" t="str">
            <v xml:space="preserve"> </v>
          </cell>
          <cell r="I275" t="str">
            <v>Trc</v>
          </cell>
          <cell r="J275" t="str">
            <v>100x50</v>
          </cell>
          <cell r="K275">
            <v>4</v>
          </cell>
        </row>
        <row r="276">
          <cell r="A276" t="str">
            <v>Trc100x505</v>
          </cell>
          <cell r="D276">
            <v>11</v>
          </cell>
          <cell r="E276" t="str">
            <v xml:space="preserve"> </v>
          </cell>
          <cell r="I276" t="str">
            <v>Trc</v>
          </cell>
          <cell r="J276" t="str">
            <v>100x50</v>
          </cell>
          <cell r="K276">
            <v>5</v>
          </cell>
        </row>
        <row r="277">
          <cell r="A277" t="str">
            <v>Trc120x603.2</v>
          </cell>
          <cell r="D277">
            <v>8.7200000000000006</v>
          </cell>
          <cell r="E277" t="str">
            <v xml:space="preserve"> </v>
          </cell>
          <cell r="I277" t="str">
            <v>Trc</v>
          </cell>
          <cell r="J277" t="str">
            <v>120x60</v>
          </cell>
          <cell r="K277">
            <v>3.2</v>
          </cell>
        </row>
        <row r="278">
          <cell r="A278" t="str">
            <v>Trc120x605</v>
          </cell>
          <cell r="D278">
            <v>13.3</v>
          </cell>
          <cell r="E278">
            <v>0.36</v>
          </cell>
          <cell r="I278" t="str">
            <v>Trc</v>
          </cell>
          <cell r="J278" t="str">
            <v>120x60</v>
          </cell>
          <cell r="K278">
            <v>5</v>
          </cell>
        </row>
        <row r="279">
          <cell r="A279" t="str">
            <v>Trc120x606.3</v>
          </cell>
          <cell r="D279">
            <v>16.600000000000001</v>
          </cell>
          <cell r="E279">
            <v>0.36</v>
          </cell>
          <cell r="I279" t="str">
            <v>Trc</v>
          </cell>
          <cell r="J279" t="str">
            <v>120x60</v>
          </cell>
          <cell r="K279">
            <v>6.3</v>
          </cell>
        </row>
        <row r="280">
          <cell r="A280" t="str">
            <v>Trc140x803.2</v>
          </cell>
          <cell r="D280">
            <v>10.7</v>
          </cell>
          <cell r="E280">
            <v>0.42</v>
          </cell>
          <cell r="I280" t="str">
            <v>Trc</v>
          </cell>
          <cell r="J280" t="str">
            <v>140x80</v>
          </cell>
          <cell r="K280">
            <v>3.2</v>
          </cell>
        </row>
        <row r="281">
          <cell r="A281" t="str">
            <v>Trc140x805</v>
          </cell>
          <cell r="D281">
            <v>16.5</v>
          </cell>
          <cell r="E281">
            <v>0.44</v>
          </cell>
          <cell r="I281" t="str">
            <v>Trc</v>
          </cell>
          <cell r="J281" t="str">
            <v>140x80</v>
          </cell>
          <cell r="K281">
            <v>5</v>
          </cell>
        </row>
        <row r="282">
          <cell r="A282" t="str">
            <v>Trc140x806.3</v>
          </cell>
          <cell r="D282">
            <v>20.5</v>
          </cell>
          <cell r="E282">
            <v>0.44</v>
          </cell>
          <cell r="I282" t="str">
            <v>Trc</v>
          </cell>
          <cell r="J282" t="str">
            <v>140x80</v>
          </cell>
          <cell r="K282">
            <v>6.3</v>
          </cell>
        </row>
        <row r="283">
          <cell r="A283" t="str">
            <v>Trc150x503.2</v>
          </cell>
          <cell r="D283">
            <v>9.73</v>
          </cell>
          <cell r="E283">
            <v>0.4</v>
          </cell>
          <cell r="I283" t="str">
            <v>Trc</v>
          </cell>
          <cell r="J283" t="str">
            <v>150x50</v>
          </cell>
          <cell r="K283">
            <v>3.2</v>
          </cell>
        </row>
        <row r="284">
          <cell r="A284" t="str">
            <v>Trc150x505</v>
          </cell>
          <cell r="D284">
            <v>14.9</v>
          </cell>
          <cell r="E284">
            <v>0.4</v>
          </cell>
          <cell r="I284" t="str">
            <v>Trc</v>
          </cell>
          <cell r="J284" t="str">
            <v>150x50</v>
          </cell>
          <cell r="K284">
            <v>5</v>
          </cell>
        </row>
        <row r="285">
          <cell r="A285" t="str">
            <v>Trc150x506.3</v>
          </cell>
          <cell r="D285">
            <v>18.5</v>
          </cell>
          <cell r="E285">
            <v>0.4</v>
          </cell>
          <cell r="I285" t="str">
            <v>Trc</v>
          </cell>
          <cell r="J285" t="str">
            <v>150x50</v>
          </cell>
          <cell r="K285">
            <v>6.3</v>
          </cell>
        </row>
        <row r="286">
          <cell r="A286" t="str">
            <v>Trc150x507.1</v>
          </cell>
          <cell r="D286">
            <v>20.7</v>
          </cell>
          <cell r="E286">
            <v>0.4</v>
          </cell>
          <cell r="I286" t="str">
            <v>Trc</v>
          </cell>
          <cell r="J286" t="str">
            <v>150x50</v>
          </cell>
          <cell r="K286">
            <v>7.1</v>
          </cell>
        </row>
        <row r="287">
          <cell r="A287" t="str">
            <v>Trc150x1003.2</v>
          </cell>
          <cell r="D287">
            <v>12.2</v>
          </cell>
          <cell r="E287">
            <v>0.5</v>
          </cell>
          <cell r="I287" t="str">
            <v>Trc</v>
          </cell>
          <cell r="J287" t="str">
            <v>150x100</v>
          </cell>
          <cell r="K287">
            <v>3.2</v>
          </cell>
        </row>
        <row r="288">
          <cell r="A288" t="str">
            <v>Trc150x1005</v>
          </cell>
          <cell r="D288">
            <v>18.8</v>
          </cell>
          <cell r="E288" t="str">
            <v xml:space="preserve"> </v>
          </cell>
          <cell r="I288" t="str">
            <v>Trc</v>
          </cell>
          <cell r="J288" t="str">
            <v>150x100</v>
          </cell>
          <cell r="K288">
            <v>5</v>
          </cell>
        </row>
        <row r="289">
          <cell r="A289" t="str">
            <v>Trc150x1006.3</v>
          </cell>
          <cell r="D289">
            <v>23.5</v>
          </cell>
          <cell r="E289" t="str">
            <v xml:space="preserve"> </v>
          </cell>
          <cell r="I289" t="str">
            <v>Trc</v>
          </cell>
          <cell r="J289" t="str">
            <v>150x100</v>
          </cell>
          <cell r="K289">
            <v>6.3</v>
          </cell>
        </row>
        <row r="290">
          <cell r="A290" t="str">
            <v>Trc150x1007.1</v>
          </cell>
          <cell r="D290">
            <v>26.3</v>
          </cell>
          <cell r="E290" t="str">
            <v xml:space="preserve"> </v>
          </cell>
          <cell r="I290" t="str">
            <v>Trc</v>
          </cell>
          <cell r="J290" t="str">
            <v>150x100</v>
          </cell>
          <cell r="K290">
            <v>7.1</v>
          </cell>
        </row>
        <row r="291">
          <cell r="A291" t="str">
            <v>Trc160x903.2</v>
          </cell>
          <cell r="D291">
            <v>12.2</v>
          </cell>
          <cell r="E291">
            <v>0.5</v>
          </cell>
          <cell r="I291" t="str">
            <v>Trc</v>
          </cell>
          <cell r="J291" t="str">
            <v>160x90</v>
          </cell>
          <cell r="K291">
            <v>3.2</v>
          </cell>
        </row>
        <row r="292">
          <cell r="A292" t="str">
            <v>Trc160x905</v>
          </cell>
          <cell r="D292">
            <v>18.8</v>
          </cell>
          <cell r="E292">
            <v>0.5</v>
          </cell>
          <cell r="I292" t="str">
            <v>Trc</v>
          </cell>
          <cell r="J292" t="str">
            <v>160x90</v>
          </cell>
          <cell r="K292">
            <v>5</v>
          </cell>
        </row>
        <row r="293">
          <cell r="A293" t="str">
            <v>Trc160x907.1</v>
          </cell>
          <cell r="D293">
            <v>26.3</v>
          </cell>
          <cell r="E293">
            <v>0.5</v>
          </cell>
          <cell r="I293" t="str">
            <v>Trc</v>
          </cell>
          <cell r="J293" t="str">
            <v>160x90</v>
          </cell>
          <cell r="K293">
            <v>7.1</v>
          </cell>
        </row>
        <row r="294">
          <cell r="A294" t="str">
            <v>Trc180x803.2</v>
          </cell>
          <cell r="D294">
            <v>12.7</v>
          </cell>
          <cell r="E294">
            <v>0.52</v>
          </cell>
          <cell r="I294" t="str">
            <v>Trc</v>
          </cell>
          <cell r="J294" t="str">
            <v>180x80</v>
          </cell>
          <cell r="K294">
            <v>3.2</v>
          </cell>
        </row>
        <row r="295">
          <cell r="A295" t="str">
            <v>Trc180x805</v>
          </cell>
          <cell r="D295">
            <v>19.600000000000001</v>
          </cell>
          <cell r="E295">
            <v>0.52</v>
          </cell>
          <cell r="I295" t="str">
            <v>Trc</v>
          </cell>
          <cell r="J295" t="str">
            <v>180x80</v>
          </cell>
          <cell r="K295">
            <v>5</v>
          </cell>
        </row>
        <row r="296">
          <cell r="A296" t="str">
            <v>Trc180x807.1</v>
          </cell>
          <cell r="D296">
            <v>27.4</v>
          </cell>
          <cell r="E296">
            <v>0.52</v>
          </cell>
          <cell r="I296" t="str">
            <v>Trc</v>
          </cell>
          <cell r="J296" t="str">
            <v>180x80</v>
          </cell>
          <cell r="K296">
            <v>7.1</v>
          </cell>
        </row>
        <row r="297">
          <cell r="A297" t="str">
            <v>Trc180x1003</v>
          </cell>
          <cell r="D297">
            <v>12.7</v>
          </cell>
          <cell r="E297" t="str">
            <v xml:space="preserve"> </v>
          </cell>
          <cell r="I297" t="str">
            <v>Trc</v>
          </cell>
          <cell r="J297" t="str">
            <v>180x100</v>
          </cell>
          <cell r="K297">
            <v>3</v>
          </cell>
        </row>
        <row r="298">
          <cell r="A298" t="str">
            <v>Trc180x100</v>
          </cell>
          <cell r="E298" t="str">
            <v xml:space="preserve"> </v>
          </cell>
          <cell r="I298" t="str">
            <v>Trc</v>
          </cell>
          <cell r="J298" t="str">
            <v>180x100</v>
          </cell>
        </row>
        <row r="299">
          <cell r="A299" t="str">
            <v>Trc200x1004</v>
          </cell>
          <cell r="D299">
            <v>17.899999999999999</v>
          </cell>
          <cell r="E299">
            <v>0.6</v>
          </cell>
          <cell r="I299" t="str">
            <v>Trc</v>
          </cell>
          <cell r="J299" t="str">
            <v>200x100</v>
          </cell>
          <cell r="K299">
            <v>4</v>
          </cell>
        </row>
        <row r="300">
          <cell r="A300" t="str">
            <v>Trc200x1005</v>
          </cell>
          <cell r="D300">
            <v>22.2</v>
          </cell>
          <cell r="E300">
            <v>0.6</v>
          </cell>
          <cell r="I300" t="str">
            <v>Trc</v>
          </cell>
          <cell r="J300" t="str">
            <v>200x100</v>
          </cell>
          <cell r="K300">
            <v>5</v>
          </cell>
        </row>
        <row r="301">
          <cell r="A301" t="str">
            <v>Trc200x1006</v>
          </cell>
          <cell r="D301">
            <v>26.3</v>
          </cell>
          <cell r="E301">
            <v>0.6</v>
          </cell>
          <cell r="I301" t="str">
            <v>Trc</v>
          </cell>
          <cell r="J301" t="str">
            <v>200x100</v>
          </cell>
          <cell r="K301">
            <v>6</v>
          </cell>
        </row>
        <row r="302">
          <cell r="A302" t="str">
            <v>Trc200x1008</v>
          </cell>
          <cell r="D302">
            <v>34.1</v>
          </cell>
          <cell r="E302">
            <v>0.6</v>
          </cell>
          <cell r="I302" t="str">
            <v>Trc</v>
          </cell>
          <cell r="J302" t="str">
            <v>200x100</v>
          </cell>
          <cell r="K302">
            <v>8</v>
          </cell>
        </row>
        <row r="303">
          <cell r="A303" t="str">
            <v>Trc200x10010</v>
          </cell>
          <cell r="D303">
            <v>41.5</v>
          </cell>
          <cell r="E303">
            <v>0.6</v>
          </cell>
          <cell r="I303" t="str">
            <v>Trc</v>
          </cell>
          <cell r="J303" t="str">
            <v>200x100</v>
          </cell>
          <cell r="K303">
            <v>10</v>
          </cell>
        </row>
        <row r="304">
          <cell r="A304" t="str">
            <v>Trc200x1206</v>
          </cell>
          <cell r="D304">
            <v>28.1</v>
          </cell>
          <cell r="E304" t="str">
            <v xml:space="preserve"> </v>
          </cell>
          <cell r="I304" t="str">
            <v>Trc</v>
          </cell>
          <cell r="J304" t="str">
            <v>200x120</v>
          </cell>
          <cell r="K304">
            <v>6</v>
          </cell>
        </row>
        <row r="305">
          <cell r="A305" t="str">
            <v>Trc200x1208</v>
          </cell>
          <cell r="D305">
            <v>36.6</v>
          </cell>
          <cell r="E305" t="str">
            <v xml:space="preserve"> </v>
          </cell>
          <cell r="I305" t="str">
            <v>Trc</v>
          </cell>
          <cell r="J305" t="str">
            <v>200x120</v>
          </cell>
          <cell r="K305">
            <v>8</v>
          </cell>
        </row>
        <row r="306">
          <cell r="A306" t="str">
            <v>Trc200x12010</v>
          </cell>
          <cell r="D306">
            <v>44.7</v>
          </cell>
          <cell r="E306" t="str">
            <v xml:space="preserve"> </v>
          </cell>
          <cell r="I306" t="str">
            <v>Trc</v>
          </cell>
          <cell r="J306" t="str">
            <v>200x120</v>
          </cell>
          <cell r="K306">
            <v>10</v>
          </cell>
        </row>
        <row r="307">
          <cell r="A307" t="str">
            <v>Trc200x1505</v>
          </cell>
          <cell r="D307">
            <v>26.1</v>
          </cell>
          <cell r="E307" t="str">
            <v xml:space="preserve"> </v>
          </cell>
          <cell r="I307" t="str">
            <v>Trc</v>
          </cell>
          <cell r="J307" t="str">
            <v>200x150</v>
          </cell>
          <cell r="K307">
            <v>5</v>
          </cell>
        </row>
        <row r="308">
          <cell r="A308" t="str">
            <v>Trc200x1506</v>
          </cell>
          <cell r="D308">
            <v>31</v>
          </cell>
          <cell r="E308" t="str">
            <v xml:space="preserve"> </v>
          </cell>
          <cell r="I308" t="str">
            <v>Trc</v>
          </cell>
          <cell r="J308" t="str">
            <v>200x150</v>
          </cell>
          <cell r="K308">
            <v>6</v>
          </cell>
        </row>
        <row r="309">
          <cell r="A309" t="str">
            <v>Trc200x1508</v>
          </cell>
          <cell r="D309">
            <v>40.4</v>
          </cell>
          <cell r="E309" t="str">
            <v xml:space="preserve"> </v>
          </cell>
          <cell r="I309" t="str">
            <v>Trc</v>
          </cell>
          <cell r="J309" t="str">
            <v>200x150</v>
          </cell>
          <cell r="K309">
            <v>8</v>
          </cell>
        </row>
        <row r="310">
          <cell r="A310" t="str">
            <v>Trc200x15010</v>
          </cell>
          <cell r="D310">
            <v>49.4</v>
          </cell>
          <cell r="E310" t="str">
            <v xml:space="preserve"> </v>
          </cell>
          <cell r="I310" t="str">
            <v>Trc</v>
          </cell>
          <cell r="J310" t="str">
            <v>200x150</v>
          </cell>
          <cell r="K310">
            <v>10</v>
          </cell>
        </row>
        <row r="311">
          <cell r="A311" t="str">
            <v>Trc200x15012</v>
          </cell>
          <cell r="D311">
            <v>57.9</v>
          </cell>
          <cell r="E311" t="str">
            <v xml:space="preserve"> </v>
          </cell>
          <cell r="I311" t="str">
            <v>Trc</v>
          </cell>
          <cell r="J311" t="str">
            <v>200x150</v>
          </cell>
          <cell r="K311">
            <v>12</v>
          </cell>
        </row>
        <row r="312">
          <cell r="A312" t="str">
            <v>Trc250x1005</v>
          </cell>
          <cell r="D312">
            <v>26.1</v>
          </cell>
          <cell r="E312" t="str">
            <v xml:space="preserve"> </v>
          </cell>
          <cell r="I312" t="str">
            <v>Trc</v>
          </cell>
          <cell r="J312" t="str">
            <v>250x100</v>
          </cell>
          <cell r="K312">
            <v>5</v>
          </cell>
        </row>
        <row r="313">
          <cell r="A313" t="str">
            <v>Trc250x1006</v>
          </cell>
          <cell r="D313">
            <v>31</v>
          </cell>
          <cell r="E313" t="str">
            <v xml:space="preserve"> </v>
          </cell>
          <cell r="I313" t="str">
            <v>Trc</v>
          </cell>
          <cell r="J313" t="str">
            <v>250x100</v>
          </cell>
          <cell r="K313">
            <v>6</v>
          </cell>
        </row>
        <row r="314">
          <cell r="A314" t="str">
            <v>Trc250x1008</v>
          </cell>
          <cell r="D314">
            <v>40.4</v>
          </cell>
          <cell r="E314" t="str">
            <v xml:space="preserve"> </v>
          </cell>
          <cell r="I314" t="str">
            <v>Trc</v>
          </cell>
          <cell r="J314" t="str">
            <v>250x100</v>
          </cell>
          <cell r="K314">
            <v>8</v>
          </cell>
        </row>
        <row r="315">
          <cell r="A315" t="str">
            <v>Trc250x10010</v>
          </cell>
          <cell r="D315">
            <v>49.4</v>
          </cell>
          <cell r="E315" t="str">
            <v xml:space="preserve"> </v>
          </cell>
          <cell r="I315" t="str">
            <v>Trc</v>
          </cell>
          <cell r="J315" t="str">
            <v>250x100</v>
          </cell>
          <cell r="K315">
            <v>10</v>
          </cell>
        </row>
        <row r="316">
          <cell r="A316" t="str">
            <v>Trc250x10012</v>
          </cell>
          <cell r="D316">
            <v>57.9</v>
          </cell>
          <cell r="E316" t="str">
            <v xml:space="preserve"> </v>
          </cell>
          <cell r="I316" t="str">
            <v>Trc</v>
          </cell>
          <cell r="J316" t="str">
            <v>250x100</v>
          </cell>
          <cell r="K316">
            <v>12</v>
          </cell>
        </row>
        <row r="317">
          <cell r="A317" t="str">
            <v>Trc250x1505</v>
          </cell>
          <cell r="D317">
            <v>30</v>
          </cell>
          <cell r="E317">
            <v>0.8</v>
          </cell>
          <cell r="I317" t="str">
            <v>Trc</v>
          </cell>
          <cell r="J317" t="str">
            <v>250x150</v>
          </cell>
          <cell r="K317">
            <v>5</v>
          </cell>
        </row>
        <row r="318">
          <cell r="A318" t="str">
            <v>Trc250x1506</v>
          </cell>
          <cell r="D318">
            <v>35.700000000000003</v>
          </cell>
          <cell r="E318">
            <v>0.8</v>
          </cell>
          <cell r="I318" t="str">
            <v>Trc</v>
          </cell>
          <cell r="J318" t="str">
            <v>250x150</v>
          </cell>
          <cell r="K318">
            <v>6</v>
          </cell>
        </row>
        <row r="319">
          <cell r="A319" t="str">
            <v>Trc250x1508</v>
          </cell>
          <cell r="D319">
            <v>46.7</v>
          </cell>
          <cell r="E319">
            <v>0.8</v>
          </cell>
          <cell r="I319" t="str">
            <v>Trc</v>
          </cell>
          <cell r="J319" t="str">
            <v>250x150</v>
          </cell>
          <cell r="K319">
            <v>8</v>
          </cell>
        </row>
        <row r="320">
          <cell r="A320" t="str">
            <v>Trc250x15010</v>
          </cell>
          <cell r="D320">
            <v>57.2</v>
          </cell>
          <cell r="E320">
            <v>0.8</v>
          </cell>
          <cell r="I320" t="str">
            <v>Trc</v>
          </cell>
          <cell r="J320" t="str">
            <v>250x150</v>
          </cell>
          <cell r="K320">
            <v>10</v>
          </cell>
        </row>
        <row r="321">
          <cell r="A321" t="str">
            <v>Trc250x15012</v>
          </cell>
          <cell r="D321">
            <v>67.3</v>
          </cell>
          <cell r="E321">
            <v>0.8</v>
          </cell>
          <cell r="I321" t="str">
            <v>Trc</v>
          </cell>
          <cell r="J321" t="str">
            <v>250x150</v>
          </cell>
          <cell r="K321">
            <v>12</v>
          </cell>
        </row>
        <row r="322">
          <cell r="A322" t="str">
            <v>Trc300x1005</v>
          </cell>
          <cell r="D322">
            <v>30</v>
          </cell>
          <cell r="E322" t="str">
            <v xml:space="preserve"> </v>
          </cell>
          <cell r="I322" t="str">
            <v>Trc</v>
          </cell>
          <cell r="J322" t="str">
            <v>300x100</v>
          </cell>
          <cell r="K322">
            <v>5</v>
          </cell>
        </row>
        <row r="323">
          <cell r="A323" t="str">
            <v>Trc300x1006</v>
          </cell>
          <cell r="D323">
            <v>35.700000000000003</v>
          </cell>
          <cell r="E323" t="str">
            <v xml:space="preserve"> </v>
          </cell>
          <cell r="I323" t="str">
            <v>Trc</v>
          </cell>
          <cell r="J323" t="str">
            <v>300x100</v>
          </cell>
          <cell r="K323">
            <v>6</v>
          </cell>
        </row>
        <row r="324">
          <cell r="A324" t="str">
            <v>Trc300x1008</v>
          </cell>
          <cell r="D324">
            <v>46.7</v>
          </cell>
          <cell r="E324" t="str">
            <v xml:space="preserve"> </v>
          </cell>
          <cell r="I324" t="str">
            <v>Trc</v>
          </cell>
          <cell r="J324" t="str">
            <v>300x100</v>
          </cell>
          <cell r="K324">
            <v>8</v>
          </cell>
        </row>
        <row r="325">
          <cell r="A325" t="str">
            <v>Trc300x10010</v>
          </cell>
          <cell r="D325">
            <v>57.2</v>
          </cell>
          <cell r="E325" t="str">
            <v xml:space="preserve"> </v>
          </cell>
          <cell r="I325" t="str">
            <v>Trc</v>
          </cell>
          <cell r="J325" t="str">
            <v>300x100</v>
          </cell>
          <cell r="K325">
            <v>10</v>
          </cell>
        </row>
        <row r="326">
          <cell r="A326" t="str">
            <v>Trc300x10012</v>
          </cell>
          <cell r="D326">
            <v>67.3</v>
          </cell>
          <cell r="E326" t="str">
            <v xml:space="preserve"> </v>
          </cell>
          <cell r="I326" t="str">
            <v>Trc</v>
          </cell>
          <cell r="J326" t="str">
            <v>300x100</v>
          </cell>
          <cell r="K326">
            <v>12</v>
          </cell>
        </row>
        <row r="327">
          <cell r="A327" t="str">
            <v>Trc300x2006</v>
          </cell>
          <cell r="D327">
            <v>45.1</v>
          </cell>
          <cell r="E327">
            <v>1</v>
          </cell>
          <cell r="I327" t="str">
            <v>Trc</v>
          </cell>
          <cell r="J327" t="str">
            <v>300x200</v>
          </cell>
          <cell r="K327">
            <v>6</v>
          </cell>
        </row>
        <row r="328">
          <cell r="A328" t="str">
            <v>Trc300x2008</v>
          </cell>
          <cell r="D328">
            <v>59.2</v>
          </cell>
          <cell r="E328" t="str">
            <v xml:space="preserve"> </v>
          </cell>
          <cell r="I328" t="str">
            <v>Trc</v>
          </cell>
          <cell r="J328" t="str">
            <v>300x200</v>
          </cell>
          <cell r="K328">
            <v>8</v>
          </cell>
        </row>
        <row r="329">
          <cell r="A329" t="str">
            <v>Trc300x20010</v>
          </cell>
          <cell r="D329">
            <v>72.900000000000006</v>
          </cell>
          <cell r="E329" t="str">
            <v xml:space="preserve"> </v>
          </cell>
          <cell r="I329" t="str">
            <v>Trc</v>
          </cell>
          <cell r="J329" t="str">
            <v>300x200</v>
          </cell>
          <cell r="K329">
            <v>10</v>
          </cell>
        </row>
        <row r="330">
          <cell r="A330" t="str">
            <v>Trc300x20012</v>
          </cell>
          <cell r="D330">
            <v>86.2</v>
          </cell>
          <cell r="E330" t="str">
            <v xml:space="preserve"> </v>
          </cell>
          <cell r="I330" t="str">
            <v>Trc</v>
          </cell>
          <cell r="J330" t="str">
            <v>300x200</v>
          </cell>
          <cell r="K330">
            <v>12</v>
          </cell>
        </row>
        <row r="331">
          <cell r="A331" t="str">
            <v>Trc400x2006</v>
          </cell>
          <cell r="D331">
            <v>54.5</v>
          </cell>
          <cell r="E331" t="str">
            <v xml:space="preserve"> </v>
          </cell>
          <cell r="I331" t="str">
            <v>Trc</v>
          </cell>
          <cell r="J331" t="str">
            <v>400x200</v>
          </cell>
          <cell r="K331">
            <v>6</v>
          </cell>
        </row>
        <row r="332">
          <cell r="A332" t="str">
            <v>Trc400x2008</v>
          </cell>
          <cell r="D332">
            <v>71.8</v>
          </cell>
          <cell r="E332" t="str">
            <v xml:space="preserve"> </v>
          </cell>
          <cell r="I332" t="str">
            <v>Trc</v>
          </cell>
          <cell r="J332" t="str">
            <v>400x200</v>
          </cell>
          <cell r="K332">
            <v>8</v>
          </cell>
        </row>
        <row r="333">
          <cell r="A333" t="str">
            <v>Trc400x20010</v>
          </cell>
          <cell r="D333">
            <v>88.6</v>
          </cell>
          <cell r="E333" t="str">
            <v xml:space="preserve"> </v>
          </cell>
          <cell r="I333" t="str">
            <v>Trc</v>
          </cell>
          <cell r="J333" t="str">
            <v>400x200</v>
          </cell>
          <cell r="K333">
            <v>10</v>
          </cell>
        </row>
        <row r="334">
          <cell r="A334" t="str">
            <v>Trc400x20012</v>
          </cell>
          <cell r="D334">
            <v>105</v>
          </cell>
          <cell r="E334" t="str">
            <v xml:space="preserve"> </v>
          </cell>
          <cell r="I334" t="str">
            <v>Trc</v>
          </cell>
          <cell r="J334" t="str">
            <v>400x200</v>
          </cell>
          <cell r="K334">
            <v>12</v>
          </cell>
        </row>
        <row r="335">
          <cell r="A335" t="str">
            <v>Trc400x3008</v>
          </cell>
          <cell r="D335">
            <v>84.4</v>
          </cell>
          <cell r="E335" t="str">
            <v xml:space="preserve"> </v>
          </cell>
          <cell r="I335" t="str">
            <v>Trc</v>
          </cell>
          <cell r="J335" t="str">
            <v>400x300</v>
          </cell>
          <cell r="K335">
            <v>8</v>
          </cell>
        </row>
        <row r="336">
          <cell r="A336" t="str">
            <v>Trc400x30010</v>
          </cell>
          <cell r="D336">
            <v>104.3</v>
          </cell>
          <cell r="E336" t="str">
            <v xml:space="preserve"> </v>
          </cell>
          <cell r="I336" t="str">
            <v>Trc</v>
          </cell>
          <cell r="J336" t="str">
            <v>400x300</v>
          </cell>
          <cell r="K336">
            <v>10</v>
          </cell>
        </row>
        <row r="337">
          <cell r="A337" t="str">
            <v>Trc400x30012</v>
          </cell>
          <cell r="D337">
            <v>123.9</v>
          </cell>
          <cell r="E337" t="str">
            <v xml:space="preserve">      </v>
          </cell>
          <cell r="I337" t="str">
            <v>Trc</v>
          </cell>
          <cell r="J337" t="str">
            <v>400x300</v>
          </cell>
          <cell r="K337">
            <v>12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récapitulatif"/>
      <sheetName val="Lot 6"/>
      <sheetName val="Lot 7"/>
      <sheetName val="Lot 8"/>
      <sheetName val="Lot 9"/>
      <sheetName val="Lot 10"/>
      <sheetName val="Lot 17"/>
      <sheetName val="Lot 18"/>
      <sheetName val="Lot 19"/>
      <sheetName val="Lot 20"/>
      <sheetName val="Lot 22"/>
      <sheetName val="Surface"/>
      <sheetName val="Phase 1 sol"/>
      <sheetName val="Phase 2 sol"/>
      <sheetName val="Phase 3 sol"/>
      <sheetName val="Phase 1 murs"/>
      <sheetName val="Phase 2 murs"/>
      <sheetName val="Phase 3 murs"/>
      <sheetName val="Phase 1 plafonds"/>
      <sheetName val="Phase 2 plafonds"/>
      <sheetName val="Phase 3 plafonds"/>
      <sheetName val="Phase 1 portes"/>
      <sheetName val="phase 2 portes"/>
      <sheetName val="Phase 3 portes"/>
      <sheetName val="Métré Lot 7 phase 1"/>
      <sheetName val="Métré Lot 7 phase 2"/>
      <sheetName val="Métré Lot 7 phase 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E2" t="str">
            <v>Plinthes</v>
          </cell>
        </row>
        <row r="4">
          <cell r="E4">
            <v>9.0299999999999994</v>
          </cell>
        </row>
        <row r="5">
          <cell r="E5">
            <v>10.92</v>
          </cell>
        </row>
        <row r="6">
          <cell r="E6">
            <v>20.2</v>
          </cell>
        </row>
        <row r="7">
          <cell r="E7">
            <v>17.93</v>
          </cell>
        </row>
        <row r="8">
          <cell r="E8">
            <v>14.95</v>
          </cell>
        </row>
        <row r="9">
          <cell r="E9">
            <v>10.19</v>
          </cell>
        </row>
        <row r="10">
          <cell r="E10">
            <v>22.46</v>
          </cell>
        </row>
        <row r="11">
          <cell r="E11">
            <v>16.559999999999999</v>
          </cell>
        </row>
        <row r="12">
          <cell r="E12">
            <v>11.32</v>
          </cell>
        </row>
        <row r="13">
          <cell r="E13">
            <v>22.39</v>
          </cell>
        </row>
        <row r="14">
          <cell r="E14">
            <v>44.65</v>
          </cell>
        </row>
        <row r="15">
          <cell r="E15">
            <v>13.11</v>
          </cell>
        </row>
        <row r="16">
          <cell r="E16">
            <v>15.46</v>
          </cell>
        </row>
        <row r="17">
          <cell r="E17">
            <v>15.56</v>
          </cell>
        </row>
        <row r="18">
          <cell r="E18">
            <v>15.36</v>
          </cell>
        </row>
        <row r="19">
          <cell r="E19">
            <v>12.76</v>
          </cell>
        </row>
        <row r="20">
          <cell r="E20">
            <v>3.45</v>
          </cell>
        </row>
        <row r="21">
          <cell r="E21">
            <v>6.4</v>
          </cell>
        </row>
        <row r="22">
          <cell r="E22">
            <v>2.35</v>
          </cell>
        </row>
        <row r="23">
          <cell r="E23">
            <v>2.35</v>
          </cell>
        </row>
        <row r="24">
          <cell r="E24">
            <v>6.4</v>
          </cell>
        </row>
        <row r="25">
          <cell r="E25">
            <v>2.35</v>
          </cell>
        </row>
        <row r="26">
          <cell r="E26">
            <v>2.35</v>
          </cell>
        </row>
        <row r="27">
          <cell r="E27">
            <v>13.9</v>
          </cell>
        </row>
        <row r="28">
          <cell r="E28">
            <v>11.94</v>
          </cell>
        </row>
        <row r="29">
          <cell r="E29">
            <v>17</v>
          </cell>
        </row>
        <row r="30">
          <cell r="E30">
            <v>16.260000000000002</v>
          </cell>
        </row>
        <row r="31">
          <cell r="E31">
            <v>18.100000000000001</v>
          </cell>
        </row>
        <row r="32">
          <cell r="E32">
            <v>17.2</v>
          </cell>
        </row>
        <row r="33">
          <cell r="E33">
            <v>27.88</v>
          </cell>
        </row>
        <row r="34">
          <cell r="E34">
            <v>10.76</v>
          </cell>
        </row>
        <row r="35">
          <cell r="E35">
            <v>67.680000000000007</v>
          </cell>
        </row>
        <row r="36">
          <cell r="E36">
            <v>5</v>
          </cell>
        </row>
        <row r="37">
          <cell r="E37">
            <v>11.53</v>
          </cell>
        </row>
        <row r="38">
          <cell r="E38">
            <v>33.89</v>
          </cell>
        </row>
        <row r="39">
          <cell r="E39">
            <v>13.27</v>
          </cell>
        </row>
        <row r="40">
          <cell r="E40">
            <v>29.24</v>
          </cell>
        </row>
        <row r="41">
          <cell r="E41">
            <v>19.559999999999999</v>
          </cell>
        </row>
        <row r="42">
          <cell r="E42">
            <v>22.49</v>
          </cell>
        </row>
        <row r="43">
          <cell r="E43">
            <v>25.8</v>
          </cell>
        </row>
        <row r="44">
          <cell r="E44">
            <v>17.940000000000001</v>
          </cell>
        </row>
        <row r="45">
          <cell r="E45">
            <v>9.5</v>
          </cell>
        </row>
        <row r="46">
          <cell r="E46">
            <v>15.04</v>
          </cell>
        </row>
        <row r="47">
          <cell r="E47">
            <v>11.7</v>
          </cell>
        </row>
        <row r="48">
          <cell r="E48">
            <v>8.15</v>
          </cell>
        </row>
        <row r="49">
          <cell r="E49">
            <v>3.9</v>
          </cell>
        </row>
        <row r="50">
          <cell r="E50">
            <v>10.46</v>
          </cell>
        </row>
        <row r="51">
          <cell r="E51">
            <v>15.08</v>
          </cell>
        </row>
        <row r="52">
          <cell r="E52">
            <v>11.9</v>
          </cell>
        </row>
        <row r="53">
          <cell r="E53">
            <v>8.15</v>
          </cell>
        </row>
        <row r="54">
          <cell r="E54">
            <v>3.9</v>
          </cell>
        </row>
        <row r="55">
          <cell r="E55">
            <v>15.1</v>
          </cell>
        </row>
        <row r="56">
          <cell r="E56">
            <v>16.89</v>
          </cell>
        </row>
        <row r="57">
          <cell r="E57">
            <v>13.27</v>
          </cell>
        </row>
        <row r="58">
          <cell r="E58">
            <v>10.86</v>
          </cell>
        </row>
        <row r="59">
          <cell r="E59">
            <v>9.9</v>
          </cell>
        </row>
        <row r="60">
          <cell r="E60">
            <v>5.16</v>
          </cell>
        </row>
        <row r="61">
          <cell r="E61">
            <v>33.89</v>
          </cell>
        </row>
        <row r="62">
          <cell r="E62">
            <v>13.27</v>
          </cell>
        </row>
        <row r="63">
          <cell r="E63">
            <v>29.24</v>
          </cell>
        </row>
        <row r="64">
          <cell r="E64">
            <v>19.559999999999999</v>
          </cell>
        </row>
        <row r="65">
          <cell r="E65">
            <v>22.49</v>
          </cell>
        </row>
        <row r="66">
          <cell r="E66">
            <v>25.8</v>
          </cell>
        </row>
        <row r="67">
          <cell r="E67">
            <v>16.54</v>
          </cell>
        </row>
        <row r="68">
          <cell r="E68">
            <v>9.61</v>
          </cell>
        </row>
        <row r="69">
          <cell r="E69">
            <v>29.8</v>
          </cell>
        </row>
        <row r="70">
          <cell r="E70">
            <v>9.4</v>
          </cell>
        </row>
        <row r="71">
          <cell r="E71">
            <v>1.58</v>
          </cell>
        </row>
        <row r="72">
          <cell r="E72">
            <v>14.3</v>
          </cell>
        </row>
        <row r="73">
          <cell r="E73">
            <v>8.15</v>
          </cell>
        </row>
        <row r="74">
          <cell r="E74">
            <v>3.9</v>
          </cell>
        </row>
        <row r="75">
          <cell r="E75">
            <v>15.08</v>
          </cell>
        </row>
        <row r="76">
          <cell r="E76">
            <v>6.16</v>
          </cell>
        </row>
        <row r="77">
          <cell r="E77">
            <v>14.3</v>
          </cell>
        </row>
        <row r="78">
          <cell r="E78">
            <v>8.15</v>
          </cell>
        </row>
        <row r="79">
          <cell r="E79">
            <v>3.9</v>
          </cell>
        </row>
        <row r="80">
          <cell r="E80">
            <v>15.08</v>
          </cell>
        </row>
        <row r="81">
          <cell r="E81">
            <v>14.22</v>
          </cell>
        </row>
        <row r="82">
          <cell r="E82">
            <v>7.52</v>
          </cell>
        </row>
        <row r="83">
          <cell r="E83">
            <v>9.4</v>
          </cell>
        </row>
        <row r="84">
          <cell r="E84">
            <v>10.06</v>
          </cell>
        </row>
        <row r="85">
          <cell r="E85">
            <v>7.52</v>
          </cell>
        </row>
        <row r="86">
          <cell r="E86">
            <v>5.16</v>
          </cell>
        </row>
        <row r="87">
          <cell r="E87">
            <v>29.8</v>
          </cell>
        </row>
        <row r="88">
          <cell r="E88">
            <v>9.4</v>
          </cell>
        </row>
        <row r="89">
          <cell r="E89">
            <v>1.58</v>
          </cell>
        </row>
        <row r="90">
          <cell r="E90">
            <v>14.3</v>
          </cell>
        </row>
        <row r="91">
          <cell r="E91">
            <v>8.15</v>
          </cell>
        </row>
        <row r="92">
          <cell r="E92">
            <v>3.9</v>
          </cell>
        </row>
        <row r="93">
          <cell r="E93">
            <v>15.08</v>
          </cell>
        </row>
        <row r="94">
          <cell r="E94">
            <v>6.16</v>
          </cell>
        </row>
        <row r="95">
          <cell r="E95">
            <v>14.3</v>
          </cell>
        </row>
        <row r="96">
          <cell r="E96">
            <v>8.15</v>
          </cell>
        </row>
        <row r="97">
          <cell r="E97">
            <v>3.9</v>
          </cell>
        </row>
        <row r="98">
          <cell r="E98">
            <v>15.08</v>
          </cell>
        </row>
        <row r="99">
          <cell r="E99">
            <v>14.22</v>
          </cell>
        </row>
        <row r="100">
          <cell r="E100">
            <v>7.52</v>
          </cell>
        </row>
        <row r="101">
          <cell r="E101">
            <v>9.4</v>
          </cell>
        </row>
        <row r="102">
          <cell r="E102">
            <v>10.06</v>
          </cell>
        </row>
        <row r="103">
          <cell r="E103">
            <v>7.52</v>
          </cell>
        </row>
        <row r="104">
          <cell r="E104">
            <v>5.16</v>
          </cell>
        </row>
        <row r="105">
          <cell r="E105">
            <v>69.69</v>
          </cell>
        </row>
        <row r="106">
          <cell r="E106">
            <v>7.4</v>
          </cell>
        </row>
        <row r="107">
          <cell r="E107">
            <v>4.8499999999999996</v>
          </cell>
        </row>
        <row r="108">
          <cell r="E108">
            <v>2.5499999999999998</v>
          </cell>
        </row>
        <row r="109">
          <cell r="E109">
            <v>2.5499999999999998</v>
          </cell>
        </row>
        <row r="110">
          <cell r="E110">
            <v>10.99</v>
          </cell>
        </row>
        <row r="111">
          <cell r="E111">
            <v>23.64</v>
          </cell>
        </row>
        <row r="112">
          <cell r="E112">
            <v>10.99</v>
          </cell>
        </row>
        <row r="113">
          <cell r="E113">
            <v>9.25</v>
          </cell>
        </row>
        <row r="114">
          <cell r="E114">
            <v>2.62</v>
          </cell>
        </row>
        <row r="115">
          <cell r="E115">
            <v>3.75</v>
          </cell>
        </row>
        <row r="116">
          <cell r="E116">
            <v>11.97</v>
          </cell>
        </row>
        <row r="117">
          <cell r="E117">
            <v>11.97</v>
          </cell>
        </row>
        <row r="118">
          <cell r="E118">
            <v>9.25</v>
          </cell>
        </row>
        <row r="119">
          <cell r="E119">
            <v>2.62</v>
          </cell>
        </row>
        <row r="120">
          <cell r="E120">
            <v>3.75</v>
          </cell>
        </row>
        <row r="121">
          <cell r="E121">
            <v>10.99</v>
          </cell>
        </row>
        <row r="122">
          <cell r="E122">
            <v>23.64</v>
          </cell>
        </row>
        <row r="123">
          <cell r="E123">
            <v>10.99</v>
          </cell>
        </row>
        <row r="124">
          <cell r="E124">
            <v>4.8499999999999996</v>
          </cell>
        </row>
        <row r="125">
          <cell r="E125">
            <v>2.5499999999999998</v>
          </cell>
        </row>
        <row r="126">
          <cell r="E126">
            <v>2.5499999999999998</v>
          </cell>
        </row>
        <row r="127">
          <cell r="E127">
            <v>22.6</v>
          </cell>
        </row>
        <row r="128">
          <cell r="E128">
            <v>12</v>
          </cell>
        </row>
        <row r="129">
          <cell r="E129">
            <v>6.6</v>
          </cell>
        </row>
        <row r="130">
          <cell r="E130">
            <v>7.2</v>
          </cell>
        </row>
        <row r="131">
          <cell r="E131">
            <v>7.2</v>
          </cell>
        </row>
        <row r="132">
          <cell r="E132">
            <v>7.2</v>
          </cell>
        </row>
        <row r="133">
          <cell r="E133">
            <v>7.2</v>
          </cell>
        </row>
        <row r="134">
          <cell r="E134">
            <v>40.92</v>
          </cell>
        </row>
        <row r="136">
          <cell r="E136">
            <v>2.83</v>
          </cell>
        </row>
        <row r="137">
          <cell r="E137">
            <v>4.8499999999999996</v>
          </cell>
        </row>
        <row r="138">
          <cell r="E138">
            <v>2.5499999999999998</v>
          </cell>
        </row>
        <row r="139">
          <cell r="E139">
            <v>2.5499999999999998</v>
          </cell>
        </row>
        <row r="141">
          <cell r="E141">
            <v>23.64</v>
          </cell>
        </row>
        <row r="142">
          <cell r="E142">
            <v>9.25</v>
          </cell>
        </row>
        <row r="143">
          <cell r="E143">
            <v>2.62</v>
          </cell>
        </row>
        <row r="144">
          <cell r="E144">
            <v>3.75</v>
          </cell>
        </row>
        <row r="145">
          <cell r="E145">
            <v>11.97</v>
          </cell>
        </row>
        <row r="146">
          <cell r="E146">
            <v>11.97</v>
          </cell>
        </row>
        <row r="147">
          <cell r="E147">
            <v>9.25</v>
          </cell>
        </row>
        <row r="148">
          <cell r="E148">
            <v>2.62</v>
          </cell>
        </row>
        <row r="149">
          <cell r="E149">
            <v>3.75</v>
          </cell>
        </row>
        <row r="151">
          <cell r="E151">
            <v>12.5</v>
          </cell>
        </row>
        <row r="152">
          <cell r="E152">
            <v>23.64</v>
          </cell>
        </row>
        <row r="153">
          <cell r="E153">
            <v>11.29</v>
          </cell>
        </row>
        <row r="154">
          <cell r="E154">
            <v>4.8499999999999996</v>
          </cell>
        </row>
        <row r="155">
          <cell r="E155">
            <v>2.5499999999999998</v>
          </cell>
        </row>
        <row r="156">
          <cell r="E156">
            <v>2.5499999999999998</v>
          </cell>
        </row>
        <row r="157">
          <cell r="E157">
            <v>30.8</v>
          </cell>
        </row>
        <row r="158">
          <cell r="E158">
            <v>7.4</v>
          </cell>
        </row>
        <row r="159">
          <cell r="E159">
            <v>22.6</v>
          </cell>
        </row>
        <row r="160">
          <cell r="E160">
            <v>12</v>
          </cell>
        </row>
        <row r="161">
          <cell r="E161">
            <v>6.6</v>
          </cell>
        </row>
        <row r="162">
          <cell r="E162">
            <v>7.6</v>
          </cell>
        </row>
        <row r="163">
          <cell r="E163">
            <v>7.2</v>
          </cell>
        </row>
        <row r="164">
          <cell r="E164">
            <v>7.2</v>
          </cell>
        </row>
        <row r="165">
          <cell r="E165">
            <v>7.2</v>
          </cell>
        </row>
        <row r="166">
          <cell r="E166">
            <v>7.2</v>
          </cell>
        </row>
        <row r="168">
          <cell r="E168">
            <v>40.92</v>
          </cell>
        </row>
        <row r="170">
          <cell r="E170">
            <v>4.8499999999999996</v>
          </cell>
        </row>
        <row r="171">
          <cell r="E171">
            <v>2.5499999999999998</v>
          </cell>
        </row>
        <row r="172">
          <cell r="E172">
            <v>2.5499999999999998</v>
          </cell>
        </row>
        <row r="173">
          <cell r="E173">
            <v>14.4</v>
          </cell>
        </row>
        <row r="174">
          <cell r="E174">
            <v>28.49</v>
          </cell>
        </row>
        <row r="175">
          <cell r="E175">
            <v>9.25</v>
          </cell>
        </row>
        <row r="176">
          <cell r="E176">
            <v>2.62</v>
          </cell>
        </row>
        <row r="177">
          <cell r="E177">
            <v>3.75</v>
          </cell>
        </row>
        <row r="178">
          <cell r="E178">
            <v>11.97</v>
          </cell>
        </row>
        <row r="179">
          <cell r="E179">
            <v>11.97</v>
          </cell>
        </row>
        <row r="180">
          <cell r="E180">
            <v>9.25</v>
          </cell>
        </row>
        <row r="181">
          <cell r="E181">
            <v>2.62</v>
          </cell>
        </row>
        <row r="182">
          <cell r="E182">
            <v>3.75</v>
          </cell>
        </row>
        <row r="183">
          <cell r="E183">
            <v>23.92</v>
          </cell>
        </row>
        <row r="184">
          <cell r="E184">
            <v>12</v>
          </cell>
        </row>
        <row r="185">
          <cell r="E185">
            <v>7</v>
          </cell>
        </row>
        <row r="186">
          <cell r="E186">
            <v>3.83</v>
          </cell>
        </row>
        <row r="187">
          <cell r="E187">
            <v>5.35</v>
          </cell>
        </row>
        <row r="188">
          <cell r="E188">
            <v>4.8499999999999996</v>
          </cell>
        </row>
        <row r="189">
          <cell r="E189">
            <v>2.5499999999999998</v>
          </cell>
        </row>
        <row r="190">
          <cell r="E190">
            <v>2.5499999999999998</v>
          </cell>
        </row>
        <row r="191">
          <cell r="E191">
            <v>30.8</v>
          </cell>
        </row>
        <row r="192">
          <cell r="E192">
            <v>7.4</v>
          </cell>
        </row>
        <row r="193">
          <cell r="E193">
            <v>22.6</v>
          </cell>
        </row>
        <row r="194">
          <cell r="E194">
            <v>12</v>
          </cell>
        </row>
        <row r="195">
          <cell r="E195">
            <v>6.6</v>
          </cell>
        </row>
        <row r="196">
          <cell r="E196">
            <v>7.6</v>
          </cell>
        </row>
        <row r="197">
          <cell r="E197">
            <v>7.2</v>
          </cell>
        </row>
        <row r="198">
          <cell r="E198">
            <v>7.2</v>
          </cell>
        </row>
        <row r="199">
          <cell r="E199">
            <v>7.2</v>
          </cell>
        </row>
        <row r="200">
          <cell r="E200">
            <v>7.2</v>
          </cell>
        </row>
        <row r="201">
          <cell r="E201">
            <v>11.9</v>
          </cell>
        </row>
        <row r="202">
          <cell r="E202">
            <v>12.6</v>
          </cell>
        </row>
        <row r="203">
          <cell r="E203">
            <v>66.91</v>
          </cell>
        </row>
        <row r="205">
          <cell r="E205">
            <v>23.48</v>
          </cell>
        </row>
        <row r="206">
          <cell r="E206">
            <v>25.55</v>
          </cell>
        </row>
        <row r="207">
          <cell r="E207">
            <v>3.9</v>
          </cell>
        </row>
        <row r="208">
          <cell r="E208">
            <v>29.07</v>
          </cell>
        </row>
        <row r="209">
          <cell r="E209">
            <v>26.6</v>
          </cell>
        </row>
        <row r="210">
          <cell r="E210">
            <v>34.700000000000003</v>
          </cell>
        </row>
        <row r="211">
          <cell r="E211">
            <v>31.49</v>
          </cell>
        </row>
        <row r="212">
          <cell r="E212">
            <v>3.9</v>
          </cell>
        </row>
        <row r="213">
          <cell r="E213">
            <v>27.6</v>
          </cell>
        </row>
        <row r="214">
          <cell r="E214">
            <v>22.19</v>
          </cell>
        </row>
        <row r="215">
          <cell r="E215">
            <v>18.88</v>
          </cell>
        </row>
        <row r="216">
          <cell r="E216">
            <v>29.12</v>
          </cell>
        </row>
        <row r="217">
          <cell r="E217">
            <v>24.67</v>
          </cell>
        </row>
        <row r="218">
          <cell r="E218">
            <v>25.79</v>
          </cell>
        </row>
        <row r="219">
          <cell r="E219">
            <v>18.8</v>
          </cell>
        </row>
        <row r="220">
          <cell r="E220">
            <v>21.27</v>
          </cell>
        </row>
        <row r="221">
          <cell r="E221">
            <v>21.1</v>
          </cell>
        </row>
        <row r="222">
          <cell r="E222">
            <v>23.34</v>
          </cell>
        </row>
        <row r="223">
          <cell r="E223">
            <v>26.26</v>
          </cell>
        </row>
        <row r="224">
          <cell r="E224">
            <v>25.09</v>
          </cell>
        </row>
        <row r="225">
          <cell r="E225">
            <v>27.28</v>
          </cell>
        </row>
        <row r="226">
          <cell r="E226">
            <v>23.56</v>
          </cell>
        </row>
        <row r="227">
          <cell r="E227">
            <v>23.34</v>
          </cell>
        </row>
        <row r="228">
          <cell r="E228">
            <v>21.1</v>
          </cell>
        </row>
        <row r="229">
          <cell r="E229">
            <v>22.73</v>
          </cell>
        </row>
        <row r="230">
          <cell r="E230">
            <v>29.82</v>
          </cell>
        </row>
        <row r="231">
          <cell r="E231">
            <v>20.170000000000002</v>
          </cell>
        </row>
        <row r="232">
          <cell r="E232">
            <v>31.16</v>
          </cell>
        </row>
        <row r="233">
          <cell r="E233">
            <v>23.56</v>
          </cell>
        </row>
        <row r="234">
          <cell r="E234">
            <v>21.27</v>
          </cell>
        </row>
        <row r="235">
          <cell r="E235">
            <v>21.1</v>
          </cell>
        </row>
        <row r="236">
          <cell r="E236">
            <v>23.34</v>
          </cell>
        </row>
        <row r="237">
          <cell r="E237">
            <v>28.8</v>
          </cell>
        </row>
        <row r="238">
          <cell r="E238">
            <v>25</v>
          </cell>
        </row>
        <row r="239">
          <cell r="E239">
            <v>27.38</v>
          </cell>
        </row>
        <row r="240">
          <cell r="E240">
            <v>23.56</v>
          </cell>
        </row>
        <row r="241">
          <cell r="E241">
            <v>42.4</v>
          </cell>
        </row>
        <row r="242">
          <cell r="E242">
            <v>16.95</v>
          </cell>
        </row>
        <row r="243">
          <cell r="E243">
            <v>49.55</v>
          </cell>
        </row>
        <row r="244">
          <cell r="E244">
            <v>15.59</v>
          </cell>
        </row>
        <row r="245">
          <cell r="E245">
            <v>49.55</v>
          </cell>
        </row>
        <row r="246">
          <cell r="E246">
            <v>15.59</v>
          </cell>
        </row>
        <row r="265">
          <cell r="E265">
            <v>9.94</v>
          </cell>
        </row>
        <row r="266">
          <cell r="E266">
            <v>9.6999999999999993</v>
          </cell>
        </row>
        <row r="267">
          <cell r="E267">
            <v>8.6999999999999993</v>
          </cell>
        </row>
        <row r="268">
          <cell r="E268">
            <v>4.3600000000000003</v>
          </cell>
        </row>
        <row r="269">
          <cell r="E269">
            <v>4.3600000000000003</v>
          </cell>
        </row>
        <row r="270">
          <cell r="E270">
            <v>7.9</v>
          </cell>
        </row>
        <row r="271">
          <cell r="E271">
            <v>4.3600000000000003</v>
          </cell>
        </row>
        <row r="272">
          <cell r="E272">
            <v>4.3600000000000003</v>
          </cell>
        </row>
        <row r="273">
          <cell r="E273">
            <v>17</v>
          </cell>
        </row>
        <row r="274">
          <cell r="E274">
            <v>20.100000000000001</v>
          </cell>
        </row>
        <row r="275">
          <cell r="E275">
            <v>42.13</v>
          </cell>
        </row>
        <row r="276">
          <cell r="E276">
            <v>2.2599999999999998</v>
          </cell>
        </row>
        <row r="277">
          <cell r="E277">
            <v>4.3</v>
          </cell>
        </row>
        <row r="278">
          <cell r="E278">
            <v>13</v>
          </cell>
        </row>
        <row r="283">
          <cell r="E283">
            <v>2.9</v>
          </cell>
        </row>
        <row r="285">
          <cell r="E285">
            <v>9.68</v>
          </cell>
        </row>
        <row r="286">
          <cell r="E286">
            <v>8</v>
          </cell>
        </row>
        <row r="287">
          <cell r="E287">
            <v>7</v>
          </cell>
        </row>
        <row r="288">
          <cell r="E288">
            <v>28.54</v>
          </cell>
        </row>
        <row r="289">
          <cell r="E289">
            <v>17.850000000000001</v>
          </cell>
        </row>
        <row r="290">
          <cell r="E290">
            <v>6.7</v>
          </cell>
        </row>
        <row r="291">
          <cell r="E291">
            <v>6.7</v>
          </cell>
        </row>
        <row r="292">
          <cell r="E292">
            <v>23.2</v>
          </cell>
        </row>
        <row r="294">
          <cell r="E294">
            <v>6.06</v>
          </cell>
        </row>
        <row r="295">
          <cell r="E295">
            <v>11.09</v>
          </cell>
        </row>
        <row r="296">
          <cell r="E296">
            <v>9.6999999999999993</v>
          </cell>
        </row>
        <row r="297">
          <cell r="E297">
            <v>12.1</v>
          </cell>
        </row>
        <row r="298">
          <cell r="E298">
            <v>20.350000000000001</v>
          </cell>
        </row>
        <row r="299">
          <cell r="E299">
            <v>5.74</v>
          </cell>
        </row>
        <row r="300">
          <cell r="E300">
            <v>4.45</v>
          </cell>
        </row>
        <row r="301">
          <cell r="E301">
            <v>2.33</v>
          </cell>
        </row>
        <row r="302">
          <cell r="E302">
            <v>2.33</v>
          </cell>
        </row>
        <row r="303">
          <cell r="E303">
            <v>21.45</v>
          </cell>
        </row>
        <row r="305">
          <cell r="E305">
            <v>23.31</v>
          </cell>
        </row>
        <row r="307">
          <cell r="E307">
            <v>21.22</v>
          </cell>
        </row>
        <row r="308">
          <cell r="E308">
            <v>25.06</v>
          </cell>
        </row>
        <row r="309">
          <cell r="E309">
            <v>24.94</v>
          </cell>
        </row>
        <row r="310">
          <cell r="E310">
            <v>24.92</v>
          </cell>
        </row>
        <row r="311">
          <cell r="E311">
            <v>25.1</v>
          </cell>
        </row>
        <row r="312">
          <cell r="E312">
            <v>51.62</v>
          </cell>
        </row>
        <row r="313">
          <cell r="E313">
            <v>12.74</v>
          </cell>
        </row>
        <row r="314">
          <cell r="E314">
            <v>12.34</v>
          </cell>
        </row>
        <row r="315">
          <cell r="E315">
            <v>22.62</v>
          </cell>
        </row>
        <row r="316">
          <cell r="E316">
            <v>24.18</v>
          </cell>
        </row>
        <row r="317">
          <cell r="E317">
            <v>29.76</v>
          </cell>
        </row>
        <row r="318">
          <cell r="E318">
            <v>24.8</v>
          </cell>
        </row>
        <row r="319">
          <cell r="E319">
            <v>43.42</v>
          </cell>
        </row>
        <row r="320">
          <cell r="E320">
            <v>5</v>
          </cell>
        </row>
        <row r="321">
          <cell r="E321">
            <v>14.3</v>
          </cell>
        </row>
        <row r="322">
          <cell r="E322">
            <v>17.7</v>
          </cell>
        </row>
        <row r="323">
          <cell r="E323">
            <v>22.46</v>
          </cell>
        </row>
        <row r="324">
          <cell r="E324">
            <v>49.3</v>
          </cell>
        </row>
        <row r="326">
          <cell r="E326">
            <v>70.2</v>
          </cell>
        </row>
        <row r="327">
          <cell r="E327">
            <v>22.3</v>
          </cell>
        </row>
        <row r="328">
          <cell r="E328">
            <v>54.1</v>
          </cell>
        </row>
        <row r="329">
          <cell r="E329">
            <v>37</v>
          </cell>
        </row>
        <row r="330">
          <cell r="E330">
            <v>16.399999999999999</v>
          </cell>
        </row>
        <row r="331">
          <cell r="E331">
            <v>9</v>
          </cell>
        </row>
        <row r="332">
          <cell r="E332">
            <v>4.3</v>
          </cell>
        </row>
        <row r="333">
          <cell r="E333">
            <v>7.2</v>
          </cell>
        </row>
        <row r="334">
          <cell r="E334">
            <v>12.42</v>
          </cell>
        </row>
        <row r="335">
          <cell r="E335">
            <v>10.28</v>
          </cell>
        </row>
        <row r="336">
          <cell r="E336">
            <v>7.3</v>
          </cell>
        </row>
        <row r="337">
          <cell r="E337">
            <v>17.52</v>
          </cell>
        </row>
        <row r="338">
          <cell r="E338">
            <v>25.1</v>
          </cell>
        </row>
        <row r="339">
          <cell r="E339">
            <v>24.94</v>
          </cell>
        </row>
        <row r="340">
          <cell r="E340">
            <v>22.52</v>
          </cell>
        </row>
        <row r="341">
          <cell r="E341">
            <v>17.52</v>
          </cell>
        </row>
        <row r="342">
          <cell r="E342">
            <v>23.4</v>
          </cell>
        </row>
        <row r="343">
          <cell r="E343">
            <v>44.7</v>
          </cell>
        </row>
        <row r="344">
          <cell r="E344">
            <v>32.42</v>
          </cell>
        </row>
        <row r="345">
          <cell r="E345">
            <v>22.52</v>
          </cell>
        </row>
        <row r="346">
          <cell r="E346">
            <v>22.62</v>
          </cell>
        </row>
        <row r="347">
          <cell r="E347">
            <v>22.52</v>
          </cell>
        </row>
        <row r="348">
          <cell r="E348">
            <v>22.3</v>
          </cell>
        </row>
        <row r="349">
          <cell r="E349">
            <v>42.7</v>
          </cell>
        </row>
        <row r="350">
          <cell r="E350">
            <v>19.399999999999999</v>
          </cell>
        </row>
        <row r="351">
          <cell r="E351">
            <v>7.1</v>
          </cell>
        </row>
        <row r="352">
          <cell r="E352">
            <v>5.65</v>
          </cell>
        </row>
        <row r="353">
          <cell r="E353">
            <v>2.8</v>
          </cell>
        </row>
        <row r="354">
          <cell r="E354">
            <v>2.65</v>
          </cell>
        </row>
        <row r="355">
          <cell r="E355">
            <v>6.2</v>
          </cell>
        </row>
        <row r="356">
          <cell r="E356">
            <v>3.05</v>
          </cell>
        </row>
        <row r="358">
          <cell r="E358">
            <v>0.95</v>
          </cell>
        </row>
        <row r="359">
          <cell r="E359">
            <v>10.199999999999999</v>
          </cell>
        </row>
        <row r="360">
          <cell r="E360">
            <v>16.899999999999999</v>
          </cell>
        </row>
        <row r="361">
          <cell r="E361">
            <v>37.25</v>
          </cell>
        </row>
        <row r="363">
          <cell r="E363">
            <v>62.6</v>
          </cell>
        </row>
        <row r="364">
          <cell r="E364">
            <v>34.5</v>
          </cell>
        </row>
        <row r="365">
          <cell r="E365">
            <v>63.8</v>
          </cell>
        </row>
        <row r="366">
          <cell r="E366">
            <v>6.2</v>
          </cell>
        </row>
        <row r="367">
          <cell r="E367">
            <v>3.05</v>
          </cell>
        </row>
        <row r="369">
          <cell r="E369">
            <v>0.95</v>
          </cell>
        </row>
        <row r="370">
          <cell r="E370">
            <v>10.199999999999999</v>
          </cell>
        </row>
        <row r="371">
          <cell r="E371">
            <v>32.799999999999997</v>
          </cell>
        </row>
        <row r="372">
          <cell r="E372">
            <v>27.53</v>
          </cell>
        </row>
        <row r="373">
          <cell r="E373">
            <v>10.7</v>
          </cell>
        </row>
        <row r="374">
          <cell r="E374">
            <v>24.9</v>
          </cell>
        </row>
        <row r="375">
          <cell r="E375">
            <v>6</v>
          </cell>
        </row>
        <row r="376">
          <cell r="E376">
            <v>24.3</v>
          </cell>
        </row>
        <row r="377">
          <cell r="E377">
            <v>37.9</v>
          </cell>
        </row>
        <row r="378">
          <cell r="E378">
            <v>44.8</v>
          </cell>
        </row>
        <row r="379">
          <cell r="E379">
            <v>26.4</v>
          </cell>
        </row>
        <row r="380">
          <cell r="E380">
            <v>9.1</v>
          </cell>
        </row>
        <row r="381">
          <cell r="E381">
            <v>4.4000000000000004</v>
          </cell>
        </row>
        <row r="382">
          <cell r="E382">
            <v>17.63</v>
          </cell>
        </row>
        <row r="383">
          <cell r="E383">
            <v>13</v>
          </cell>
        </row>
        <row r="384">
          <cell r="E384">
            <v>7.8</v>
          </cell>
        </row>
        <row r="385">
          <cell r="E385">
            <v>8</v>
          </cell>
        </row>
        <row r="386">
          <cell r="E386">
            <v>7.8</v>
          </cell>
        </row>
        <row r="387">
          <cell r="E387">
            <v>12</v>
          </cell>
        </row>
        <row r="388">
          <cell r="E388">
            <v>16.899999999999999</v>
          </cell>
        </row>
        <row r="389">
          <cell r="E389">
            <v>15.86</v>
          </cell>
        </row>
        <row r="390">
          <cell r="E390">
            <v>15.86</v>
          </cell>
        </row>
        <row r="391">
          <cell r="E391">
            <v>16.899999999999999</v>
          </cell>
        </row>
        <row r="392">
          <cell r="E392">
            <v>9.9</v>
          </cell>
        </row>
        <row r="393">
          <cell r="E393">
            <v>12.02</v>
          </cell>
        </row>
        <row r="394">
          <cell r="E394">
            <v>11.12</v>
          </cell>
        </row>
        <row r="423">
          <cell r="E423">
            <v>5599.35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recap"/>
      <sheetName val="recap (2)"/>
      <sheetName val="LOT2 VRD"/>
      <sheetName val="GO-detail"/>
      <sheetName val="charpente"/>
      <sheetName val="etanch couverture"/>
      <sheetName val="men ext"/>
      <sheetName val="cloisons"/>
      <sheetName val="men int"/>
      <sheetName val="serrurerie"/>
      <sheetName val="ssouples"/>
      <sheetName val="sdurs"/>
      <sheetName val="peinture"/>
      <sheetName val="plomberie"/>
      <sheetName val="cuisine"/>
      <sheetName val="CVC"/>
      <sheetName val="elec"/>
      <sheetName val="Cfaibles"/>
      <sheetName val="Asc"/>
      <sheetName val="Esp ve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RECAP DS"/>
      <sheetName val="METRé"/>
      <sheetName val="M. EXT."/>
      <sheetName val="CHAUSSEES"/>
      <sheetName val="RECAP CLIENT"/>
      <sheetName val="SUIVI OFFRES"/>
    </sheetNames>
    <sheetDataSet>
      <sheetData sheetId="0"/>
      <sheetData sheetId="1">
        <row r="21">
          <cell r="F21">
            <v>3381.4800000000005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RECAP"/>
      <sheetName val="3 (plâtrerie)"/>
      <sheetName val="3 (Asc)"/>
      <sheetName val="3 (gardien)"/>
      <sheetName val="4"/>
      <sheetName val="05"/>
      <sheetName val="05b"/>
      <sheetName val="06 (récap)"/>
      <sheetName val="06"/>
      <sheetName val="07"/>
      <sheetName val="08"/>
      <sheetName val="09"/>
      <sheetName val="09b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1"/>
      <sheetName val="22"/>
      <sheetName val="2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Semaines (2)"/>
      <sheetName val="Mois"/>
      <sheetName val="Semaines"/>
      <sheetName val="Jours"/>
      <sheetName val="Heures"/>
      <sheetName val="Feuil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DQE CVC"/>
      <sheetName val="Recap CVC"/>
    </sheetNames>
    <sheetDataSet>
      <sheetData sheetId="0">
        <row r="4">
          <cell r="B4">
            <v>1</v>
          </cell>
          <cell r="C4" t="str">
            <v>PRODUCTION FRIGORIFIQUE ECOLE</v>
          </cell>
        </row>
        <row r="5">
          <cell r="C5" t="str">
            <v>Groupe frigorifique condensation par air</v>
          </cell>
          <cell r="D5" t="str">
            <v>U</v>
          </cell>
          <cell r="E5">
            <v>2</v>
          </cell>
        </row>
        <row r="6">
          <cell r="C6" t="str">
            <v xml:space="preserve">* marque </v>
          </cell>
        </row>
        <row r="7">
          <cell r="C7" t="str">
            <v>* type</v>
          </cell>
        </row>
        <row r="8">
          <cell r="C8" t="str">
            <v>* puissance</v>
          </cell>
        </row>
        <row r="10">
          <cell r="C10" t="str">
            <v>Châssis mécano-soudé + remplissage acoustique</v>
          </cell>
          <cell r="D10" t="str">
            <v>Ens</v>
          </cell>
          <cell r="E10">
            <v>1</v>
          </cell>
        </row>
        <row r="12">
          <cell r="C12" t="str">
            <v xml:space="preserve">Equipement des groupes froids </v>
          </cell>
          <cell r="D12" t="str">
            <v>Ens 
U
Ens
Ens</v>
          </cell>
          <cell r="E12">
            <v>1</v>
          </cell>
        </row>
        <row r="14">
          <cell r="C14" t="str">
            <v>Pompes eau glacée GF1 et GF2 (équipement complet)</v>
          </cell>
          <cell r="D14" t="str">
            <v>Ens</v>
          </cell>
          <cell r="E14">
            <v>1</v>
          </cell>
        </row>
        <row r="16">
          <cell r="C16" t="str">
            <v>Bâche tampon</v>
          </cell>
          <cell r="D16" t="str">
            <v>U</v>
          </cell>
          <cell r="E16">
            <v>1</v>
          </cell>
        </row>
        <row r="18">
          <cell r="C18" t="str">
            <v>Expansion par vase sous pression d'azote</v>
          </cell>
          <cell r="D18" t="str">
            <v>Ens</v>
          </cell>
          <cell r="E18">
            <v>1</v>
          </cell>
        </row>
        <row r="20">
          <cell r="C20" t="str">
            <v>Option 1</v>
          </cell>
        </row>
        <row r="21">
          <cell r="C21" t="str">
            <v>Expansion par groupe de maintien de pression (Plus-value)</v>
          </cell>
          <cell r="D21" t="str">
            <v>PV</v>
          </cell>
          <cell r="E21">
            <v>1</v>
          </cell>
        </row>
        <row r="23">
          <cell r="C23" t="str">
            <v>Remplissage circuit eau glacée</v>
          </cell>
        </row>
        <row r="25">
          <cell r="C25" t="str">
            <v>Régulateur détendeur</v>
          </cell>
          <cell r="D25" t="str">
            <v>U</v>
          </cell>
          <cell r="E25">
            <v>1</v>
          </cell>
        </row>
        <row r="26">
          <cell r="C26" t="str">
            <v xml:space="preserve">* marque </v>
          </cell>
        </row>
        <row r="27">
          <cell r="C27" t="str">
            <v>* type</v>
          </cell>
        </row>
        <row r="29">
          <cell r="C29" t="str">
            <v>Adoucisseur</v>
          </cell>
          <cell r="D29" t="str">
            <v>U</v>
          </cell>
          <cell r="E29">
            <v>1</v>
          </cell>
        </row>
        <row r="30">
          <cell r="C30" t="str">
            <v xml:space="preserve">* marque </v>
          </cell>
        </row>
        <row r="31">
          <cell r="C31" t="str">
            <v>* type</v>
          </cell>
        </row>
        <row r="33">
          <cell r="C33" t="str">
            <v>Compteur avec télé-relevé</v>
          </cell>
          <cell r="D33" t="str">
            <v>U</v>
          </cell>
          <cell r="E33">
            <v>1</v>
          </cell>
        </row>
        <row r="34">
          <cell r="C34" t="str">
            <v xml:space="preserve">* marque </v>
          </cell>
        </row>
        <row r="35">
          <cell r="C35" t="str">
            <v>* type</v>
          </cell>
        </row>
        <row r="36">
          <cell r="C36" t="str">
            <v>* diamètre</v>
          </cell>
        </row>
        <row r="38">
          <cell r="C38" t="str">
            <v>Filtre diamètre</v>
          </cell>
          <cell r="D38" t="str">
            <v>U</v>
          </cell>
          <cell r="E38">
            <v>1</v>
          </cell>
        </row>
        <row r="40">
          <cell r="C40" t="str">
            <v>Disconnecteur</v>
          </cell>
          <cell r="D40" t="str">
            <v>U</v>
          </cell>
          <cell r="E40">
            <v>1</v>
          </cell>
        </row>
        <row r="41">
          <cell r="C41" t="str">
            <v xml:space="preserve">* marque </v>
          </cell>
        </row>
        <row r="42">
          <cell r="C42" t="str">
            <v>* type</v>
          </cell>
        </row>
        <row r="43">
          <cell r="C43" t="str">
            <v>* diamètre</v>
          </cell>
        </row>
        <row r="45">
          <cell r="C45" t="str">
            <v>Manchettes de contrôle</v>
          </cell>
          <cell r="D45" t="str">
            <v>Ens</v>
          </cell>
          <cell r="E45">
            <v>1</v>
          </cell>
        </row>
        <row r="46">
          <cell r="C46" t="str">
            <v>Traitement de remplissage EG</v>
          </cell>
        </row>
        <row r="47">
          <cell r="C47" t="str">
            <v xml:space="preserve">Pompe doseuse
</v>
          </cell>
          <cell r="D47" t="str">
            <v>Ens</v>
          </cell>
          <cell r="E47">
            <v>1</v>
          </cell>
        </row>
        <row r="48">
          <cell r="C48" t="str">
            <v xml:space="preserve">* marque </v>
          </cell>
        </row>
        <row r="49">
          <cell r="C49" t="str">
            <v>* type</v>
          </cell>
        </row>
        <row r="51">
          <cell r="C51" t="str">
            <v>Isolement du by pass diamètre</v>
          </cell>
          <cell r="D51" t="str">
            <v>Ens</v>
          </cell>
          <cell r="E51">
            <v>1</v>
          </cell>
        </row>
        <row r="53">
          <cell r="C53" t="str">
            <v>Pot d'introduction</v>
          </cell>
          <cell r="D53" t="str">
            <v>Ens</v>
          </cell>
          <cell r="E53">
            <v>1</v>
          </cell>
        </row>
        <row r="55">
          <cell r="C55" t="str">
            <v>Circuit Eau Glacée</v>
          </cell>
        </row>
        <row r="56">
          <cell r="C56" t="str">
            <v>Option 2</v>
          </cell>
        </row>
        <row r="57">
          <cell r="C57" t="str">
            <v>Comptage général eau glacée
* marque
* type
* diamètre
* équipement</v>
          </cell>
          <cell r="D57" t="str">
            <v>U</v>
          </cell>
        </row>
        <row r="59">
          <cell r="C59" t="str">
            <v>Isolement diamètre</v>
          </cell>
          <cell r="D59" t="str">
            <v>U</v>
          </cell>
        </row>
        <row r="61">
          <cell r="C61" t="str">
            <v>By-pass diamètre</v>
          </cell>
          <cell r="D61" t="str">
            <v>U</v>
          </cell>
        </row>
        <row r="63">
          <cell r="C63" t="str">
            <v xml:space="preserve">Filtre vertical diamètre </v>
          </cell>
          <cell r="D63" t="str">
            <v>U</v>
          </cell>
        </row>
        <row r="65">
          <cell r="C65" t="str">
            <v>Total Option 2</v>
          </cell>
        </row>
        <row r="67">
          <cell r="C67" t="str">
            <v>Pompes circuit eau glacée
* marque
* type
* débit unitaire
* HM
* vitesse
* équipement</v>
          </cell>
          <cell r="D67" t="str">
            <v>U
Ens</v>
          </cell>
          <cell r="E67" t="str">
            <v xml:space="preserve">
1</v>
          </cell>
        </row>
        <row r="69">
          <cell r="C69" t="str">
            <v>Equipement circuit eau glacée</v>
          </cell>
        </row>
        <row r="70">
          <cell r="C70" t="str">
            <v>Thermomètres</v>
          </cell>
          <cell r="D70" t="str">
            <v>U</v>
          </cell>
        </row>
        <row r="72">
          <cell r="C72" t="str">
            <v>Manomètres</v>
          </cell>
          <cell r="D72" t="str">
            <v>U</v>
          </cell>
        </row>
        <row r="74">
          <cell r="C74" t="str">
            <v>Isolement diamètre</v>
          </cell>
          <cell r="D74" t="str">
            <v>U</v>
          </cell>
        </row>
        <row r="76">
          <cell r="C76" t="str">
            <v>Isolement diamètre</v>
          </cell>
          <cell r="D76" t="str">
            <v>U</v>
          </cell>
        </row>
        <row r="78">
          <cell r="C78" t="str">
            <v>Equilibrage diamètre</v>
          </cell>
          <cell r="D78" t="str">
            <v>U</v>
          </cell>
        </row>
        <row r="80">
          <cell r="C80" t="str">
            <v>Nourrices</v>
          </cell>
          <cell r="D80" t="str">
            <v>U</v>
          </cell>
        </row>
        <row r="82">
          <cell r="C82" t="str">
            <v>Option 3</v>
          </cell>
        </row>
        <row r="83">
          <cell r="C83" t="str">
            <v>Circuit sol eau glacée et chauffage</v>
          </cell>
        </row>
        <row r="84">
          <cell r="C84" t="str">
            <v xml:space="preserve">Vanne trois voies eau glacée
* marque
* type
* diamètre
* équipement
</v>
          </cell>
          <cell r="D84" t="str">
            <v xml:space="preserve">
U
Ens</v>
          </cell>
          <cell r="E84" t="str">
            <v xml:space="preserve">
1</v>
          </cell>
        </row>
        <row r="86">
          <cell r="C86" t="str">
            <v>Pompes de circulation</v>
          </cell>
          <cell r="D86" t="str">
            <v>U</v>
          </cell>
        </row>
        <row r="87">
          <cell r="C87" t="str">
            <v xml:space="preserve">* marque
* type
* débit unitaire
* HM
* vitesse
* équipement 
</v>
          </cell>
        </row>
        <row r="89">
          <cell r="C89" t="str">
            <v>V2 voies motorisée eau glacée</v>
          </cell>
          <cell r="D89" t="str">
            <v>Ens</v>
          </cell>
          <cell r="E89">
            <v>1</v>
          </cell>
        </row>
        <row r="90">
          <cell r="C90" t="str">
            <v>*marque
* type
* diamètre</v>
          </cell>
        </row>
        <row r="92">
          <cell r="C92" t="str">
            <v>Vanne trois voies chauffage</v>
          </cell>
          <cell r="D92" t="str">
            <v>U</v>
          </cell>
        </row>
        <row r="93">
          <cell r="C93" t="str">
            <v>*marque
* type
* diamètre
* équipement</v>
          </cell>
        </row>
        <row r="95">
          <cell r="C95" t="str">
            <v>Vanne deux voies motorisée chauffage</v>
          </cell>
          <cell r="D95" t="str">
            <v>U</v>
          </cell>
        </row>
        <row r="96">
          <cell r="C96" t="str">
            <v>*marque
* type
* diamètre</v>
          </cell>
        </row>
        <row r="98">
          <cell r="C98" t="str">
            <v>Total Option 3</v>
          </cell>
        </row>
        <row r="101">
          <cell r="C101" t="str">
            <v>Compartiment technique</v>
          </cell>
          <cell r="D101" t="str">
            <v>Ens</v>
          </cell>
          <cell r="E101">
            <v>1</v>
          </cell>
        </row>
        <row r="102">
          <cell r="C102" t="str">
            <v xml:space="preserve">* marque </v>
          </cell>
        </row>
        <row r="104">
          <cell r="C104" t="str">
            <v>Châssis mécano-soudé de support du compartiment technique</v>
          </cell>
          <cell r="D104" t="str">
            <v>Ens</v>
          </cell>
          <cell r="E104">
            <v>1</v>
          </cell>
        </row>
        <row r="106">
          <cell r="C106" t="str">
            <v>Ensemble des canalisations eau glacée-circuit en terrasse et en LT y compris calorifuge et protection alu</v>
          </cell>
          <cell r="D106" t="str">
            <v>Ens</v>
          </cell>
          <cell r="E106">
            <v>1</v>
          </cell>
        </row>
        <row r="109">
          <cell r="C109" t="str">
            <v>Armoire électrique de commande et de protection, câblage…</v>
          </cell>
          <cell r="D109" t="str">
            <v xml:space="preserve">
Ens
Ens</v>
          </cell>
          <cell r="E109" t="str">
            <v xml:space="preserve">
1
1</v>
          </cell>
        </row>
        <row r="110">
          <cell r="C110" t="str">
            <v>* groupes froids</v>
          </cell>
          <cell r="D110" t="str">
            <v>Ens</v>
          </cell>
          <cell r="E110">
            <v>1</v>
          </cell>
        </row>
        <row r="111">
          <cell r="C111" t="str">
            <v>* compartiments technique</v>
          </cell>
          <cell r="D111" t="str">
            <v>Ens</v>
          </cell>
          <cell r="E111">
            <v>1</v>
          </cell>
        </row>
        <row r="114">
          <cell r="B114">
            <v>1</v>
          </cell>
          <cell r="C114" t="str">
            <v>SOUS-TOTAL PRODUCTION FRIGORIFIQUE ECOLE (HORS OPTIONS)</v>
          </cell>
        </row>
        <row r="116">
          <cell r="C116" t="str">
            <v>SOUS-TOTAL OPTION 1</v>
          </cell>
        </row>
        <row r="117">
          <cell r="C117" t="str">
            <v>SOUS-TOTAL OPTION 2</v>
          </cell>
        </row>
        <row r="118">
          <cell r="C118" t="str">
            <v>SOUS-TOTAL OPTION 3</v>
          </cell>
        </row>
        <row r="120">
          <cell r="B120">
            <v>2</v>
          </cell>
          <cell r="C120" t="str">
            <v>PRODUCTION FRIGORIFIQUE IMPRIMERIE</v>
          </cell>
        </row>
        <row r="122">
          <cell r="C122" t="str">
            <v>Groupe frigorifique condensation par air (ventilateurs centrifuge)</v>
          </cell>
          <cell r="D122" t="str">
            <v>U</v>
          </cell>
          <cell r="E122">
            <v>1</v>
          </cell>
        </row>
        <row r="123">
          <cell r="C123" t="str">
            <v xml:space="preserve">* marque </v>
          </cell>
        </row>
        <row r="124">
          <cell r="C124" t="str">
            <v>* type</v>
          </cell>
        </row>
        <row r="125">
          <cell r="C125" t="str">
            <v>* puissance</v>
          </cell>
        </row>
        <row r="127">
          <cell r="C127" t="str">
            <v xml:space="preserve">Equipement du groupe froid </v>
          </cell>
          <cell r="D127" t="str">
            <v>Ens 
U
Ens
Ens</v>
          </cell>
          <cell r="E127">
            <v>1</v>
          </cell>
        </row>
        <row r="129">
          <cell r="C129" t="str">
            <v>Pompes eau glacée  (équipement complet)</v>
          </cell>
          <cell r="D129" t="str">
            <v>Ens</v>
          </cell>
          <cell r="E129">
            <v>1</v>
          </cell>
        </row>
        <row r="131">
          <cell r="C131" t="str">
            <v>Bâche tampon</v>
          </cell>
          <cell r="D131" t="str">
            <v>U</v>
          </cell>
          <cell r="E131">
            <v>1</v>
          </cell>
        </row>
        <row r="133">
          <cell r="C133" t="str">
            <v>Expansion par vase sous pression d'azote</v>
          </cell>
          <cell r="D133" t="str">
            <v>Ens</v>
          </cell>
          <cell r="E133">
            <v>1</v>
          </cell>
        </row>
        <row r="135">
          <cell r="C135" t="str">
            <v>Option 4</v>
          </cell>
        </row>
        <row r="136">
          <cell r="C136" t="str">
            <v>Expansion par groupe de maintien de pression (Plus-Value)</v>
          </cell>
          <cell r="D136" t="str">
            <v>PV</v>
          </cell>
          <cell r="E136">
            <v>1</v>
          </cell>
        </row>
        <row r="138">
          <cell r="C138" t="str">
            <v>Remplissage circuit eau glacée</v>
          </cell>
        </row>
        <row r="139">
          <cell r="C139" t="str">
            <v>Régulateur détendeur</v>
          </cell>
          <cell r="D139" t="str">
            <v>U</v>
          </cell>
          <cell r="E139">
            <v>1</v>
          </cell>
        </row>
        <row r="140">
          <cell r="C140" t="str">
            <v xml:space="preserve">* marque </v>
          </cell>
        </row>
        <row r="141">
          <cell r="C141" t="str">
            <v>* type</v>
          </cell>
        </row>
        <row r="143">
          <cell r="C143" t="str">
            <v>Adoucisseur</v>
          </cell>
          <cell r="D143" t="str">
            <v>U</v>
          </cell>
          <cell r="E143">
            <v>1</v>
          </cell>
        </row>
        <row r="144">
          <cell r="C144" t="str">
            <v xml:space="preserve">* marque </v>
          </cell>
        </row>
        <row r="145">
          <cell r="C145" t="str">
            <v>* type</v>
          </cell>
        </row>
        <row r="147">
          <cell r="C147" t="str">
            <v>Compteur avec télé-relevé</v>
          </cell>
          <cell r="D147" t="str">
            <v>U</v>
          </cell>
          <cell r="E147">
            <v>1</v>
          </cell>
        </row>
        <row r="148">
          <cell r="C148" t="str">
            <v xml:space="preserve">* marque </v>
          </cell>
        </row>
        <row r="149">
          <cell r="C149" t="str">
            <v>* type</v>
          </cell>
        </row>
        <row r="150">
          <cell r="C150" t="str">
            <v>* diamètre</v>
          </cell>
        </row>
        <row r="152">
          <cell r="C152" t="str">
            <v>Isolement du by-pass</v>
          </cell>
          <cell r="D152" t="str">
            <v>U</v>
          </cell>
        </row>
        <row r="153">
          <cell r="C153" t="str">
            <v>* diamètre</v>
          </cell>
        </row>
        <row r="155">
          <cell r="C155" t="str">
            <v>Filtre diamètre</v>
          </cell>
          <cell r="D155" t="str">
            <v>U</v>
          </cell>
          <cell r="E155">
            <v>1</v>
          </cell>
        </row>
        <row r="157">
          <cell r="C157" t="str">
            <v>Disconnecteur</v>
          </cell>
          <cell r="D157" t="str">
            <v>U</v>
          </cell>
          <cell r="E157">
            <v>1</v>
          </cell>
        </row>
        <row r="158">
          <cell r="C158" t="str">
            <v xml:space="preserve">* marque </v>
          </cell>
        </row>
        <row r="159">
          <cell r="C159" t="str">
            <v>* type</v>
          </cell>
        </row>
        <row r="160">
          <cell r="C160" t="str">
            <v>* diamètre</v>
          </cell>
        </row>
        <row r="162">
          <cell r="C162" t="str">
            <v>Manchettes de contrôle</v>
          </cell>
          <cell r="D162" t="str">
            <v>Ens</v>
          </cell>
          <cell r="E162">
            <v>1</v>
          </cell>
        </row>
        <row r="164">
          <cell r="C164" t="str">
            <v>Traitement de remplissage EG</v>
          </cell>
        </row>
        <row r="165">
          <cell r="C165" t="str">
            <v>* pompe doseuse
- marque
- type
* isolement du by pass diamètre</v>
          </cell>
          <cell r="D165" t="str">
            <v>Ens</v>
          </cell>
          <cell r="E165">
            <v>1</v>
          </cell>
        </row>
        <row r="166">
          <cell r="C166" t="str">
            <v xml:space="preserve">* marque </v>
          </cell>
        </row>
        <row r="167">
          <cell r="C167" t="str">
            <v>* type</v>
          </cell>
        </row>
        <row r="169">
          <cell r="C169" t="str">
            <v>Isolement du by pass diamètre</v>
          </cell>
          <cell r="D169" t="str">
            <v>U</v>
          </cell>
          <cell r="E169">
            <v>1</v>
          </cell>
        </row>
        <row r="171">
          <cell r="C171" t="str">
            <v>Pot d'introduction</v>
          </cell>
          <cell r="D171" t="str">
            <v>U</v>
          </cell>
          <cell r="E171">
            <v>1</v>
          </cell>
        </row>
        <row r="173">
          <cell r="C173" t="str">
            <v>Circuit Eau Glacée</v>
          </cell>
        </row>
        <row r="175">
          <cell r="C175" t="str">
            <v>Pompes circuit eau glacée</v>
          </cell>
          <cell r="D175" t="str">
            <v>U</v>
          </cell>
        </row>
        <row r="176">
          <cell r="C176" t="str">
            <v>* marque
* type
* débit unitaire
* HM
* vitesse
* équipement</v>
          </cell>
        </row>
        <row r="178">
          <cell r="C178" t="str">
            <v>Equipement circuit eau glacée</v>
          </cell>
        </row>
        <row r="179">
          <cell r="C179" t="str">
            <v>Thermomètres</v>
          </cell>
          <cell r="D179" t="str">
            <v>U</v>
          </cell>
        </row>
        <row r="181">
          <cell r="C181" t="str">
            <v>Manomètres</v>
          </cell>
          <cell r="D181" t="str">
            <v>U</v>
          </cell>
        </row>
        <row r="183">
          <cell r="C183" t="str">
            <v>Isolement diamètre</v>
          </cell>
          <cell r="D183" t="str">
            <v>U</v>
          </cell>
        </row>
        <row r="185">
          <cell r="C185" t="str">
            <v>Isolement diamètre</v>
          </cell>
          <cell r="D185" t="str">
            <v>U</v>
          </cell>
        </row>
        <row r="187">
          <cell r="C187" t="str">
            <v>Equilibrage diamètre</v>
          </cell>
          <cell r="D187" t="str">
            <v>U</v>
          </cell>
        </row>
        <row r="189">
          <cell r="C189" t="str">
            <v>Nourrices</v>
          </cell>
          <cell r="D189" t="str">
            <v>U</v>
          </cell>
        </row>
        <row r="191">
          <cell r="C191" t="str">
            <v>Compartiment technique</v>
          </cell>
          <cell r="D191" t="str">
            <v>Ens</v>
          </cell>
          <cell r="E191">
            <v>1</v>
          </cell>
        </row>
        <row r="192">
          <cell r="C192" t="str">
            <v xml:space="preserve">* marque </v>
          </cell>
        </row>
        <row r="194">
          <cell r="C194" t="str">
            <v>Ensemble des canalisations eau glacée en LT y compris calorifuge et protection alu</v>
          </cell>
          <cell r="D194" t="str">
            <v>Ens</v>
          </cell>
          <cell r="E194">
            <v>1</v>
          </cell>
        </row>
        <row r="197">
          <cell r="C197" t="str">
            <v>Armoire électrique de commande et de protection, câblage…</v>
          </cell>
          <cell r="D197" t="str">
            <v xml:space="preserve">
Ens
Ens</v>
          </cell>
          <cell r="E197" t="str">
            <v xml:space="preserve">
1
1</v>
          </cell>
        </row>
        <row r="198">
          <cell r="C198" t="str">
            <v>* groupe froid</v>
          </cell>
          <cell r="D198" t="str">
            <v>Ens</v>
          </cell>
          <cell r="E198">
            <v>1</v>
          </cell>
        </row>
        <row r="199">
          <cell r="C199" t="str">
            <v>* compartiments techniques</v>
          </cell>
          <cell r="D199" t="str">
            <v>Ens</v>
          </cell>
          <cell r="E199">
            <v>1</v>
          </cell>
        </row>
        <row r="201">
          <cell r="C201" t="str">
            <v>Option 5</v>
          </cell>
        </row>
        <row r="202">
          <cell r="C202" t="str">
            <v>Comptage général eau glacée IMPRIMERIE</v>
          </cell>
          <cell r="D202" t="str">
            <v>U</v>
          </cell>
        </row>
        <row r="203">
          <cell r="C203" t="str">
            <v>* marque</v>
          </cell>
        </row>
        <row r="204">
          <cell r="C204" t="str">
            <v>* type</v>
          </cell>
        </row>
        <row r="205">
          <cell r="C205" t="str">
            <v>* diamètre</v>
          </cell>
        </row>
        <row r="206">
          <cell r="C206" t="str">
            <v>* équipement</v>
          </cell>
        </row>
        <row r="208">
          <cell r="C208" t="str">
            <v>Isolement diamètre</v>
          </cell>
          <cell r="D208" t="str">
            <v>U</v>
          </cell>
        </row>
        <row r="210">
          <cell r="C210" t="str">
            <v>By-pass diamètre</v>
          </cell>
          <cell r="D210" t="str">
            <v>U</v>
          </cell>
        </row>
        <row r="212">
          <cell r="C212" t="str">
            <v xml:space="preserve">Filtre vertical diamètre </v>
          </cell>
          <cell r="D212" t="str">
            <v>U</v>
          </cell>
        </row>
        <row r="214">
          <cell r="C214" t="str">
            <v>Total Option 5</v>
          </cell>
        </row>
        <row r="234">
          <cell r="B234">
            <v>2</v>
          </cell>
          <cell r="C234" t="str">
            <v>SOUS-TOTAL PRODUCTION FRIGORIFIQUE IMPRIMERIE (HORS OPTIONS)</v>
          </cell>
        </row>
        <row r="236">
          <cell r="C236" t="str">
            <v>SOUS-TOTAL OPTION 4</v>
          </cell>
        </row>
        <row r="237">
          <cell r="C237" t="str">
            <v>SOUS-TOTAL OPTION 5</v>
          </cell>
        </row>
        <row r="238">
          <cell r="B238">
            <v>3</v>
          </cell>
          <cell r="C238" t="str">
            <v>PRODUCTION CALORIFIQUE</v>
          </cell>
        </row>
        <row r="239">
          <cell r="C239" t="str">
            <v>Chaudière haut rendement entièrement équipée avec régulation numérique :</v>
          </cell>
          <cell r="D239" t="str">
            <v>Ens</v>
          </cell>
          <cell r="E239">
            <v>1</v>
          </cell>
        </row>
        <row r="240">
          <cell r="C240" t="str">
            <v xml:space="preserve">* marque </v>
          </cell>
        </row>
        <row r="241">
          <cell r="C241" t="str">
            <v>* type</v>
          </cell>
        </row>
        <row r="242">
          <cell r="C242" t="str">
            <v>* puissance</v>
          </cell>
        </row>
        <row r="244">
          <cell r="C244" t="str">
            <v>Chaudière à condensation entièrement équipée avec régulation numérique et neutralisation des condensats</v>
          </cell>
          <cell r="D244" t="str">
            <v>Ens</v>
          </cell>
          <cell r="E244">
            <v>1</v>
          </cell>
        </row>
        <row r="245">
          <cell r="C245" t="str">
            <v xml:space="preserve">* marque </v>
          </cell>
        </row>
        <row r="246">
          <cell r="C246" t="str">
            <v>* type</v>
          </cell>
        </row>
        <row r="247">
          <cell r="C247" t="str">
            <v>* puissance</v>
          </cell>
        </row>
        <row r="249">
          <cell r="C249" t="str">
            <v>Brûleur chaudière haut rendement</v>
          </cell>
          <cell r="D249" t="str">
            <v>U</v>
          </cell>
          <cell r="E249">
            <v>1</v>
          </cell>
        </row>
        <row r="250">
          <cell r="C250" t="str">
            <v xml:space="preserve">* marque </v>
          </cell>
        </row>
        <row r="251">
          <cell r="C251" t="str">
            <v>* type</v>
          </cell>
        </row>
        <row r="252">
          <cell r="C252" t="str">
            <v>(variation et piège à son)</v>
          </cell>
        </row>
        <row r="254">
          <cell r="C254" t="str">
            <v>Brûleur chaudière à condensation</v>
          </cell>
          <cell r="D254" t="str">
            <v>U</v>
          </cell>
          <cell r="E254">
            <v>1</v>
          </cell>
        </row>
        <row r="255">
          <cell r="C255" t="str">
            <v xml:space="preserve">* marque </v>
          </cell>
        </row>
        <row r="256">
          <cell r="C256" t="str">
            <v>* type</v>
          </cell>
        </row>
        <row r="257">
          <cell r="C257" t="str">
            <v>(variation et piège à son)</v>
          </cell>
        </row>
        <row r="259">
          <cell r="C259" t="str">
            <v>Alimentation GAZ de la chaufferie et des brûleurs y compris vanne police, vanne coupure manuelle</v>
          </cell>
          <cell r="D259" t="str">
            <v>Ens</v>
          </cell>
          <cell r="E259">
            <v>1</v>
          </cell>
        </row>
        <row r="261">
          <cell r="C261" t="str">
            <v>Protection CF 2 H canalisation GAZ en chaufferie</v>
          </cell>
          <cell r="D261" t="str">
            <v>Ens</v>
          </cell>
          <cell r="E261">
            <v>1</v>
          </cell>
        </row>
        <row r="263">
          <cell r="C263" t="str">
            <v>Option 6</v>
          </cell>
        </row>
        <row r="264">
          <cell r="C264" t="str">
            <v>Détection GAZ en chaufferie</v>
          </cell>
          <cell r="D264" t="str">
            <v>Ens</v>
          </cell>
          <cell r="E264">
            <v>1</v>
          </cell>
        </row>
        <row r="266">
          <cell r="C266" t="str">
            <v>Total Option 6</v>
          </cell>
        </row>
        <row r="267">
          <cell r="C267" t="str">
            <v>Option 7</v>
          </cell>
        </row>
        <row r="268">
          <cell r="C268" t="str">
            <v>Comptage général d'énergie thermique</v>
          </cell>
          <cell r="D268" t="str">
            <v>Ens</v>
          </cell>
          <cell r="E268">
            <v>1</v>
          </cell>
        </row>
        <row r="269">
          <cell r="C269" t="str">
            <v>* compteur retour chaudière haut rendement</v>
          </cell>
        </row>
        <row r="270">
          <cell r="C270" t="str">
            <v>* compteur retour une chaudière à condensation</v>
          </cell>
        </row>
        <row r="271">
          <cell r="C271" t="str">
            <v>* compteur retour deux chaudières à condensation</v>
          </cell>
        </row>
        <row r="272">
          <cell r="C272" t="str">
            <v>* by-pass, isolement…..</v>
          </cell>
        </row>
        <row r="273">
          <cell r="C273" t="str">
            <v>Total Option 7</v>
          </cell>
        </row>
        <row r="275">
          <cell r="C275" t="str">
            <v>Alimentation en EF du réseau chauffage</v>
          </cell>
          <cell r="D275" t="str">
            <v>Ens</v>
          </cell>
          <cell r="E275">
            <v>1</v>
          </cell>
        </row>
        <row r="277">
          <cell r="C277" t="str">
            <v>Expansion sous pression d'azote</v>
          </cell>
          <cell r="D277" t="str">
            <v xml:space="preserve">Ens </v>
          </cell>
          <cell r="E277">
            <v>1</v>
          </cell>
        </row>
        <row r="278">
          <cell r="C278" t="str">
            <v>Option 8</v>
          </cell>
        </row>
        <row r="279">
          <cell r="C279" t="str">
            <v>Groupe de maintien de pression (Plus-Value)</v>
          </cell>
          <cell r="D279" t="str">
            <v>PV</v>
          </cell>
          <cell r="E279">
            <v>1</v>
          </cell>
        </row>
        <row r="281">
          <cell r="C281" t="str">
            <v>Réseau circuit constant</v>
          </cell>
        </row>
        <row r="282">
          <cell r="C282" t="str">
            <v>2 pompes jumelées entièrement équipées</v>
          </cell>
          <cell r="D282" t="str">
            <v>Ens</v>
          </cell>
          <cell r="E282">
            <v>1</v>
          </cell>
        </row>
        <row r="284">
          <cell r="C284" t="str">
            <v>Manchons antivibratoires</v>
          </cell>
          <cell r="D284" t="str">
            <v>U</v>
          </cell>
        </row>
        <row r="286">
          <cell r="C286" t="str">
            <v>Filtre</v>
          </cell>
          <cell r="D286" t="str">
            <v>U</v>
          </cell>
        </row>
        <row r="288">
          <cell r="C288" t="str">
            <v>Manomètres et leur raccordement hydraulique, avec vannes</v>
          </cell>
          <cell r="D288" t="str">
            <v>Ens</v>
          </cell>
          <cell r="E288">
            <v>1</v>
          </cell>
        </row>
        <row r="290">
          <cell r="C290" t="str">
            <v>Vannes pressostatiques</v>
          </cell>
          <cell r="D290" t="str">
            <v>U</v>
          </cell>
        </row>
        <row r="292">
          <cell r="C292" t="str">
            <v>Réseau circuit régulé batteries terminaux</v>
          </cell>
        </row>
        <row r="293">
          <cell r="C293" t="str">
            <v>2 pompes jumelées entièrement équipées</v>
          </cell>
          <cell r="D293" t="str">
            <v>Ens</v>
          </cell>
          <cell r="E293">
            <v>1</v>
          </cell>
        </row>
        <row r="295">
          <cell r="C295" t="str">
            <v>Manchons antivibratoires</v>
          </cell>
          <cell r="D295" t="str">
            <v>U</v>
          </cell>
        </row>
        <row r="297">
          <cell r="C297" t="str">
            <v>Filtre</v>
          </cell>
          <cell r="D297" t="str">
            <v>U</v>
          </cell>
        </row>
        <row r="299">
          <cell r="C299" t="str">
            <v>Manomètres et leur raccordement hydraulique, avec vannes</v>
          </cell>
          <cell r="D299" t="str">
            <v>Ens</v>
          </cell>
          <cell r="E299">
            <v>1</v>
          </cell>
        </row>
        <row r="301">
          <cell r="C301" t="str">
            <v>Vannes pressostatiques</v>
          </cell>
          <cell r="D301" t="str">
            <v>U</v>
          </cell>
        </row>
        <row r="303">
          <cell r="C303" t="str">
            <v>Réseau circuit régulé radiateurs Ecole et Restaurant</v>
          </cell>
        </row>
        <row r="304">
          <cell r="C304" t="str">
            <v>2 pompes jumelées entièrement équipées</v>
          </cell>
          <cell r="D304" t="str">
            <v>Ens</v>
          </cell>
          <cell r="E304">
            <v>1</v>
          </cell>
        </row>
        <row r="306">
          <cell r="C306" t="str">
            <v>Manchons antivibratoires</v>
          </cell>
          <cell r="D306" t="str">
            <v>U</v>
          </cell>
        </row>
        <row r="308">
          <cell r="C308" t="str">
            <v>Filtre</v>
          </cell>
          <cell r="D308" t="str">
            <v>U</v>
          </cell>
        </row>
        <row r="310">
          <cell r="C310" t="str">
            <v>Manomètres et leur raccordement hydraulique, avec vannes</v>
          </cell>
          <cell r="D310" t="str">
            <v>Ens</v>
          </cell>
          <cell r="E310">
            <v>1</v>
          </cell>
        </row>
        <row r="312">
          <cell r="C312" t="str">
            <v>Vannes de régulation 3 voies motorisées électriques</v>
          </cell>
          <cell r="D312" t="str">
            <v>U</v>
          </cell>
        </row>
        <row r="314">
          <cell r="C314" t="str">
            <v>Vannes pressostatiques</v>
          </cell>
          <cell r="D314" t="str">
            <v>U</v>
          </cell>
        </row>
        <row r="316">
          <cell r="C316" t="str">
            <v>Attentes circuit régulé Hébergement EST</v>
          </cell>
          <cell r="D316" t="str">
            <v>Ens</v>
          </cell>
          <cell r="E316">
            <v>1</v>
          </cell>
        </row>
        <row r="318">
          <cell r="C318" t="str">
            <v>Attentes circuit régulé Hébergement OUEST</v>
          </cell>
          <cell r="D318" t="str">
            <v>Ens</v>
          </cell>
          <cell r="E318">
            <v>1</v>
          </cell>
        </row>
        <row r="320">
          <cell r="C320" t="str">
            <v xml:space="preserve">Attente primaire production ECS Hébergement </v>
          </cell>
          <cell r="D320" t="str">
            <v>Ens</v>
          </cell>
          <cell r="E320">
            <v>1</v>
          </cell>
        </row>
        <row r="322">
          <cell r="C322" t="str">
            <v>Production d'ECS CUISINE</v>
          </cell>
        </row>
        <row r="323">
          <cell r="C323" t="str">
            <v>Préparateur</v>
          </cell>
          <cell r="D323" t="str">
            <v>Ens</v>
          </cell>
          <cell r="E323">
            <v>1</v>
          </cell>
        </row>
        <row r="324">
          <cell r="C324" t="str">
            <v xml:space="preserve">* marque </v>
          </cell>
        </row>
        <row r="325">
          <cell r="C325" t="str">
            <v>* type</v>
          </cell>
        </row>
        <row r="326">
          <cell r="C326" t="str">
            <v>y compris circuit primaire (pompes, vannes 3 voies…)</v>
          </cell>
        </row>
        <row r="328">
          <cell r="C328" t="str">
            <v xml:space="preserve">Conduit de fumée et raccordement à la chaudière haut rendement </v>
          </cell>
          <cell r="D328" t="str">
            <v>Ens</v>
          </cell>
          <cell r="E328">
            <v>1</v>
          </cell>
        </row>
        <row r="329">
          <cell r="C329" t="str">
            <v xml:space="preserve">* marque </v>
          </cell>
        </row>
        <row r="330">
          <cell r="C330" t="str">
            <v>* type</v>
          </cell>
        </row>
        <row r="331">
          <cell r="C331" t="str">
            <v>* diamètre</v>
          </cell>
        </row>
        <row r="333">
          <cell r="C333" t="str">
            <v>Conduit de fumée et raccordement à la chaudière à condensation</v>
          </cell>
          <cell r="D333" t="str">
            <v>Ens</v>
          </cell>
          <cell r="E333">
            <v>1</v>
          </cell>
        </row>
        <row r="334">
          <cell r="C334" t="str">
            <v xml:space="preserve">* marque </v>
          </cell>
        </row>
        <row r="335">
          <cell r="C335" t="str">
            <v>* type</v>
          </cell>
        </row>
        <row r="336">
          <cell r="C336" t="str">
            <v>* diamètre</v>
          </cell>
        </row>
        <row r="338">
          <cell r="C338" t="str">
            <v>Piège à son sur VB et VH</v>
          </cell>
          <cell r="D338" t="str">
            <v>Ens</v>
          </cell>
          <cell r="E338">
            <v>1</v>
          </cell>
        </row>
        <row r="340">
          <cell r="C340" t="str">
            <v>Ensemble des tuyauteries en acier en chaufferie y compris calorifuge</v>
          </cell>
        </row>
        <row r="341">
          <cell r="C341" t="str">
            <v>* diamètre</v>
          </cell>
          <cell r="D341" t="str">
            <v>ml</v>
          </cell>
        </row>
        <row r="342">
          <cell r="C342" t="str">
            <v>* diamètre</v>
          </cell>
          <cell r="D342" t="str">
            <v>ml</v>
          </cell>
        </row>
        <row r="343">
          <cell r="C343" t="str">
            <v>* diamètre</v>
          </cell>
          <cell r="D343" t="str">
            <v>ml</v>
          </cell>
        </row>
        <row r="345">
          <cell r="C345" t="str">
            <v>Ensemble des vannes d'isolement et de réglage en chaufferie</v>
          </cell>
        </row>
        <row r="346">
          <cell r="C346" t="str">
            <v>* diamètre</v>
          </cell>
          <cell r="D346" t="str">
            <v>U</v>
          </cell>
        </row>
        <row r="347">
          <cell r="C347" t="str">
            <v>* diamètre</v>
          </cell>
          <cell r="D347" t="str">
            <v>U</v>
          </cell>
        </row>
        <row r="348">
          <cell r="C348" t="str">
            <v>* diamètre</v>
          </cell>
          <cell r="D348" t="str">
            <v>U</v>
          </cell>
        </row>
        <row r="350">
          <cell r="C350" t="str">
            <v>Option 9</v>
          </cell>
        </row>
        <row r="351">
          <cell r="C351" t="str">
            <v>Protection ISOXAL du calorifuge (Plus-Value)</v>
          </cell>
          <cell r="D351" t="str">
            <v>PV</v>
          </cell>
          <cell r="E351">
            <v>1</v>
          </cell>
        </row>
        <row r="353">
          <cell r="C353" t="str">
            <v>Armoire électrique chaufferie</v>
          </cell>
          <cell r="D353" t="str">
            <v>Ens</v>
          </cell>
          <cell r="E353">
            <v>1</v>
          </cell>
        </row>
        <row r="355">
          <cell r="C355" t="str">
            <v>Régulation chauffage (automate….)</v>
          </cell>
          <cell r="D355" t="str">
            <v>Ens</v>
          </cell>
          <cell r="E355">
            <v>1</v>
          </cell>
        </row>
        <row r="356">
          <cell r="C356" t="str">
            <v xml:space="preserve">* marque </v>
          </cell>
        </row>
        <row r="357">
          <cell r="C357" t="str">
            <v>* type</v>
          </cell>
        </row>
        <row r="358">
          <cell r="B358">
            <v>3</v>
          </cell>
          <cell r="C358" t="str">
            <v>SOUS-TOTAL PRODUCTION CALORIFIQUE (HORS OPTIONS)</v>
          </cell>
        </row>
        <row r="359">
          <cell r="C359" t="str">
            <v>SOUS-TOTAL OPTION 6</v>
          </cell>
        </row>
        <row r="360">
          <cell r="C360" t="str">
            <v>SOUS-TOTAL OPTION 7</v>
          </cell>
        </row>
        <row r="361">
          <cell r="C361" t="str">
            <v>SOUS-TOTAL OPTION 8</v>
          </cell>
        </row>
        <row r="362">
          <cell r="C362" t="str">
            <v>SOUS-TOTAL OPTION 9</v>
          </cell>
        </row>
        <row r="364">
          <cell r="B364">
            <v>4</v>
          </cell>
          <cell r="C364" t="str">
            <v>CIRCUIT EAU GLACEE ECOLE</v>
          </cell>
        </row>
        <row r="365">
          <cell r="C365" t="str">
            <v>Ensemble des canalisations eau glacée ECOLE y compris dilatation, calorifuge et protection</v>
          </cell>
          <cell r="D365" t="str">
            <v>Ens</v>
          </cell>
          <cell r="E365">
            <v>1</v>
          </cell>
        </row>
        <row r="367">
          <cell r="C367" t="str">
            <v>Ensemble canalisations Eau glacée en LT Terrasse, Amphithéâtre (y compris cordon anti-gel RAYCHEM, calorifuge, protection ISOXAL)</v>
          </cell>
          <cell r="D367" t="str">
            <v>Ens</v>
          </cell>
          <cell r="E367">
            <v>1</v>
          </cell>
        </row>
        <row r="369">
          <cell r="C369" t="str">
            <v>Ensemble des canalisations en LT CTA Air neuf (y compris calorifuge)</v>
          </cell>
          <cell r="D369" t="str">
            <v xml:space="preserve">Ens </v>
          </cell>
          <cell r="E369">
            <v>1</v>
          </cell>
        </row>
        <row r="371">
          <cell r="C371" t="str">
            <v>Option 10</v>
          </cell>
        </row>
        <row r="372">
          <cell r="C372" t="str">
            <v>Protection ISOXAL (Plus-Value)</v>
          </cell>
          <cell r="D372" t="str">
            <v>PV</v>
          </cell>
          <cell r="E372">
            <v>1</v>
          </cell>
        </row>
        <row r="390">
          <cell r="B390">
            <v>4</v>
          </cell>
          <cell r="C390" t="str">
            <v>SOUS-TOTAL CIRCUIT EAU GLACEE ECOLE (HORS OPTIONS)</v>
          </cell>
        </row>
        <row r="391">
          <cell r="C391" t="str">
            <v>SOUS-TOTAL OPTION 10</v>
          </cell>
        </row>
        <row r="393">
          <cell r="B393">
            <v>5</v>
          </cell>
          <cell r="C393" t="str">
            <v>AIR NEUF BATIMENT ECOLE</v>
          </cell>
        </row>
        <row r="394">
          <cell r="C394" t="str">
            <v>CTA Air neuf bâtiment ECOLE</v>
          </cell>
        </row>
        <row r="395">
          <cell r="C395" t="str">
            <v xml:space="preserve">* marque </v>
          </cell>
        </row>
        <row r="396">
          <cell r="C396" t="str">
            <v>* type</v>
          </cell>
        </row>
        <row r="397">
          <cell r="C397" t="str">
            <v>* débit</v>
          </cell>
        </row>
        <row r="398">
          <cell r="C398" t="str">
            <v>y compris l'ensemble des équipements, régulation, capteurs, actionneurs, automate….</v>
          </cell>
          <cell r="D398" t="str">
            <v>Ens</v>
          </cell>
          <cell r="E398">
            <v>2</v>
          </cell>
        </row>
        <row r="400">
          <cell r="C400" t="str">
            <v>Pièges à son</v>
          </cell>
          <cell r="D400" t="str">
            <v>U</v>
          </cell>
        </row>
        <row r="402">
          <cell r="C402" t="str">
            <v>Gaines de soufflage et de reprise en LT</v>
          </cell>
          <cell r="D402" t="str">
            <v>kg</v>
          </cell>
        </row>
        <row r="404">
          <cell r="C404" t="str">
            <v>Gaine de soufflage et de reprise hors LT</v>
          </cell>
          <cell r="D404" t="str">
            <v>kg</v>
          </cell>
        </row>
        <row r="406">
          <cell r="C406" t="str">
            <v>Gaine circulaire</v>
          </cell>
        </row>
        <row r="408">
          <cell r="C408" t="str">
            <v xml:space="preserve">Calorifuge des gaines de soufflage et de reprise </v>
          </cell>
          <cell r="D408" t="str">
            <v>m2</v>
          </cell>
        </row>
        <row r="410">
          <cell r="C410" t="str">
            <v>Volet coupe-feu 2 H</v>
          </cell>
          <cell r="D410" t="str">
            <v>U</v>
          </cell>
        </row>
        <row r="411">
          <cell r="C411" t="str">
            <v xml:space="preserve">* marque </v>
          </cell>
        </row>
        <row r="412">
          <cell r="C412" t="str">
            <v>* type</v>
          </cell>
        </row>
        <row r="414">
          <cell r="C414" t="str">
            <v>Régulateurs de débits soufflage et reprise</v>
          </cell>
          <cell r="D414" t="str">
            <v>U</v>
          </cell>
        </row>
        <row r="415">
          <cell r="C415" t="str">
            <v xml:space="preserve">* marque </v>
          </cell>
        </row>
        <row r="416">
          <cell r="C416" t="str">
            <v>* type</v>
          </cell>
        </row>
        <row r="418">
          <cell r="C418" t="str">
            <v>Diffuseur de soufflage et de reprise</v>
          </cell>
          <cell r="D418" t="str">
            <v>U</v>
          </cell>
        </row>
        <row r="419">
          <cell r="C419" t="str">
            <v xml:space="preserve">* marque </v>
          </cell>
        </row>
        <row r="420">
          <cell r="C420" t="str">
            <v>* type</v>
          </cell>
        </row>
        <row r="430">
          <cell r="B430">
            <v>5</v>
          </cell>
          <cell r="C430" t="str">
            <v>SOUS-TOTAL AIR NEUF BATIMENT ECOLE</v>
          </cell>
        </row>
        <row r="432">
          <cell r="B432">
            <v>6</v>
          </cell>
          <cell r="C432" t="str">
            <v xml:space="preserve">TRAITEMENT DES SALLES DE COURS ET AUTRES LOCAUX </v>
          </cell>
        </row>
        <row r="434">
          <cell r="C434" t="str">
            <v>Mini CTA horizontales équipées y compris régulation, régulateur, registres motorisé sur air neuf et air extrait…</v>
          </cell>
        </row>
        <row r="435">
          <cell r="C435" t="str">
            <v xml:space="preserve">* marque </v>
          </cell>
          <cell r="D435" t="str">
            <v>U</v>
          </cell>
        </row>
        <row r="436">
          <cell r="C436" t="str">
            <v>* type</v>
          </cell>
        </row>
        <row r="437">
          <cell r="C437" t="str">
            <v>* marque régulation</v>
          </cell>
          <cell r="D437" t="str">
            <v>U</v>
          </cell>
        </row>
        <row r="438">
          <cell r="C438" t="str">
            <v>* type</v>
          </cell>
        </row>
        <row r="440">
          <cell r="C440" t="str">
            <v>Option 11</v>
          </cell>
        </row>
        <row r="441">
          <cell r="C441" t="str">
            <v>Filtre mini CTA horizontales EU 2 (70 % vravi au lieu de 95 % GRAVI (EU 4)</v>
          </cell>
          <cell r="D441" t="str">
            <v>Ens</v>
          </cell>
          <cell r="E441">
            <v>1</v>
          </cell>
        </row>
        <row r="442">
          <cell r="C442" t="str">
            <v>Total Option 11</v>
          </cell>
        </row>
        <row r="444">
          <cell r="C444" t="str">
            <v>Mini CTA verticales équipées y compris régulation, régulateur, registres motorisé sur air neuf et air extrait…</v>
          </cell>
        </row>
        <row r="445">
          <cell r="C445" t="str">
            <v xml:space="preserve">* marque </v>
          </cell>
          <cell r="D445" t="str">
            <v>U</v>
          </cell>
        </row>
        <row r="446">
          <cell r="C446" t="str">
            <v>* type</v>
          </cell>
        </row>
        <row r="447">
          <cell r="C447" t="str">
            <v>* marque régulation</v>
          </cell>
          <cell r="D447" t="str">
            <v>U</v>
          </cell>
        </row>
        <row r="448">
          <cell r="C448" t="str">
            <v>* type</v>
          </cell>
        </row>
        <row r="450">
          <cell r="C450" t="str">
            <v>Réseau de soufflage et de reprise pour l'ensemble des locaux traités (y compris traitements acoustiques nécessaires)</v>
          </cell>
          <cell r="D450" t="str">
            <v>Ens</v>
          </cell>
          <cell r="E450">
            <v>1</v>
          </cell>
        </row>
        <row r="452">
          <cell r="C452" t="str">
            <v>Diffuseurs de soufflage</v>
          </cell>
        </row>
        <row r="453">
          <cell r="C453" t="str">
            <v>Diffuseurs linéaires</v>
          </cell>
          <cell r="D453" t="str">
            <v>Ens</v>
          </cell>
          <cell r="E453">
            <v>1</v>
          </cell>
        </row>
        <row r="454">
          <cell r="C454" t="str">
            <v xml:space="preserve">* marque </v>
          </cell>
        </row>
        <row r="455">
          <cell r="C455" t="str">
            <v>* type</v>
          </cell>
        </row>
        <row r="457">
          <cell r="C457" t="str">
            <v>Diffuseurs circulaires à jet hélicoïdal</v>
          </cell>
          <cell r="D457" t="str">
            <v>Ens</v>
          </cell>
          <cell r="E457">
            <v>1</v>
          </cell>
        </row>
        <row r="458">
          <cell r="C458" t="str">
            <v xml:space="preserve">* marque </v>
          </cell>
        </row>
        <row r="459">
          <cell r="C459" t="str">
            <v>* type</v>
          </cell>
        </row>
        <row r="461">
          <cell r="C461" t="str">
            <v xml:space="preserve">Diffuseurs circulaires </v>
          </cell>
          <cell r="D461" t="str">
            <v>Ens</v>
          </cell>
          <cell r="E461">
            <v>1</v>
          </cell>
        </row>
        <row r="462">
          <cell r="C462" t="str">
            <v xml:space="preserve">* marque </v>
          </cell>
        </row>
        <row r="463">
          <cell r="C463" t="str">
            <v>* type</v>
          </cell>
        </row>
        <row r="465">
          <cell r="C465" t="str">
            <v>Grilles linéaires aluminium à ailettes fixes</v>
          </cell>
          <cell r="D465" t="str">
            <v>Ens</v>
          </cell>
          <cell r="E465">
            <v>1</v>
          </cell>
        </row>
        <row r="466">
          <cell r="C466" t="str">
            <v xml:space="preserve">* marque </v>
          </cell>
        </row>
        <row r="467">
          <cell r="C467" t="str">
            <v>* type</v>
          </cell>
        </row>
        <row r="469">
          <cell r="C469" t="str">
            <v>Volet coupe-feu</v>
          </cell>
          <cell r="D469" t="str">
            <v>U</v>
          </cell>
        </row>
        <row r="470">
          <cell r="C470" t="str">
            <v xml:space="preserve">* marque </v>
          </cell>
        </row>
        <row r="471">
          <cell r="C471" t="str">
            <v>* type</v>
          </cell>
        </row>
        <row r="473">
          <cell r="C473" t="str">
            <v>Diffuseurs d'extraction pour les salles équipées de diffuseurs de reprise circulaires</v>
          </cell>
          <cell r="D473" t="str">
            <v>U</v>
          </cell>
        </row>
        <row r="474">
          <cell r="C474" t="str">
            <v xml:space="preserve">* marque </v>
          </cell>
        </row>
        <row r="475">
          <cell r="C475" t="str">
            <v>* type</v>
          </cell>
        </row>
        <row r="499">
          <cell r="B499">
            <v>6</v>
          </cell>
          <cell r="C499" t="str">
            <v>SOUS-TOTAL TRAITEMENT DES SALLES DE COURS ET AUTRES LOCAUX (HORS OPTIONS)</v>
          </cell>
        </row>
        <row r="500">
          <cell r="C500" t="str">
            <v>SOUS-TOTAL OPTION 11</v>
          </cell>
        </row>
        <row r="502">
          <cell r="B502">
            <v>7</v>
          </cell>
          <cell r="C502" t="str">
            <v xml:space="preserve">TRAITEMENT DES LOCAUX PAR VC AVEC PRESSION DISPONIBLE </v>
          </cell>
        </row>
        <row r="504">
          <cell r="C504" t="str">
            <v>Ventilo-convecteurs avec pression disponible y compris régulation, régulateur, module de régulation sur air neuf</v>
          </cell>
        </row>
        <row r="505">
          <cell r="C505" t="str">
            <v xml:space="preserve">* marque </v>
          </cell>
          <cell r="D505" t="str">
            <v>U</v>
          </cell>
        </row>
        <row r="506">
          <cell r="C506" t="str">
            <v>* type</v>
          </cell>
        </row>
        <row r="507">
          <cell r="C507" t="str">
            <v>* marque régulation</v>
          </cell>
          <cell r="D507" t="str">
            <v>U</v>
          </cell>
        </row>
        <row r="508">
          <cell r="C508" t="str">
            <v>* type</v>
          </cell>
        </row>
        <row r="510">
          <cell r="C510" t="str">
            <v>Gaine de soufflage et de reprise</v>
          </cell>
        </row>
        <row r="511">
          <cell r="C511" t="str">
            <v>* circulaire rigide</v>
          </cell>
          <cell r="D511" t="str">
            <v>Ens</v>
          </cell>
        </row>
        <row r="512">
          <cell r="C512" t="str">
            <v>* circulaire isophonique</v>
          </cell>
          <cell r="D512" t="str">
            <v>Ens</v>
          </cell>
        </row>
        <row r="514">
          <cell r="C514" t="str">
            <v>Diffuseurs linéaires de soufflage et diffuseur de reprise-extraction</v>
          </cell>
          <cell r="D514" t="str">
            <v>U</v>
          </cell>
        </row>
        <row r="515">
          <cell r="C515" t="str">
            <v xml:space="preserve">* marque </v>
          </cell>
        </row>
        <row r="516">
          <cell r="C516" t="str">
            <v>* type</v>
          </cell>
        </row>
        <row r="518">
          <cell r="C518" t="str">
            <v>Diffuseurs circulaires à jet hélicoïdal de soufflage et de reprise</v>
          </cell>
          <cell r="D518" t="str">
            <v>U</v>
          </cell>
        </row>
        <row r="519">
          <cell r="C519" t="str">
            <v xml:space="preserve">* marque </v>
          </cell>
        </row>
        <row r="520">
          <cell r="C520" t="str">
            <v>* type</v>
          </cell>
        </row>
        <row r="522">
          <cell r="C522" t="str">
            <v>Diffuseurs d'extraction des locaux équipés de diffuseurs circulaires de reprise</v>
          </cell>
          <cell r="D522" t="str">
            <v>U</v>
          </cell>
        </row>
        <row r="523">
          <cell r="C523" t="str">
            <v xml:space="preserve">* marque </v>
          </cell>
        </row>
        <row r="524">
          <cell r="C524" t="str">
            <v>* type</v>
          </cell>
        </row>
        <row r="531">
          <cell r="B531">
            <v>7</v>
          </cell>
          <cell r="C531" t="str">
            <v xml:space="preserve">SOUS-TOTAL TRAITEMENT DES LOCAUX PAR VC AVEC PRESSION DISPONIBLE </v>
          </cell>
        </row>
        <row r="533">
          <cell r="B533">
            <v>8</v>
          </cell>
          <cell r="C533" t="str">
            <v xml:space="preserve">TRAITEMENT DE LOCAUX TECHNIQUES PAR CASSETTES 4 TUBES </v>
          </cell>
        </row>
        <row r="535">
          <cell r="C535" t="str">
            <v>Cassettes simples 4 voies - 4 tubes (y compris régulation, régulateur…)</v>
          </cell>
          <cell r="D535" t="str">
            <v>U</v>
          </cell>
        </row>
        <row r="536">
          <cell r="C536" t="str">
            <v xml:space="preserve">* marque </v>
          </cell>
        </row>
        <row r="537">
          <cell r="C537" t="str">
            <v>* type</v>
          </cell>
        </row>
        <row r="539">
          <cell r="C539" t="str">
            <v>Cassettes doubles 4 voies - 4 tubes (y compris régulation, régulateur…)</v>
          </cell>
          <cell r="D539" t="str">
            <v>U</v>
          </cell>
        </row>
        <row r="540">
          <cell r="C540" t="str">
            <v xml:space="preserve">* marque </v>
          </cell>
        </row>
        <row r="541">
          <cell r="C541" t="str">
            <v>* type</v>
          </cell>
        </row>
        <row r="553">
          <cell r="B553">
            <v>8</v>
          </cell>
          <cell r="C553" t="str">
            <v xml:space="preserve">SOUS-TOTAL TRAITEMENT DE LOCAUX TECHNIQUES PAR CASSETTES 4 TUBES </v>
          </cell>
        </row>
        <row r="555">
          <cell r="B555">
            <v>9</v>
          </cell>
          <cell r="C555" t="str">
            <v xml:space="preserve">TRAITEMENT DE L'AIR DE L'AMPHITEATRE </v>
          </cell>
        </row>
        <row r="557">
          <cell r="C557" t="str">
            <v>Centrale d'air à débit constant avec caisson 2 voies type OUTDOOR y compris l'ensemble des équipements, régulation, capteurs, actionneurs, automate…)</v>
          </cell>
        </row>
        <row r="558">
          <cell r="C558" t="str">
            <v xml:space="preserve">* marque </v>
          </cell>
          <cell r="D558" t="str">
            <v>Ens</v>
          </cell>
          <cell r="E558">
            <v>1</v>
          </cell>
        </row>
        <row r="559">
          <cell r="C559" t="str">
            <v>* type</v>
          </cell>
        </row>
        <row r="560">
          <cell r="C560" t="str">
            <v>* marque régulation</v>
          </cell>
          <cell r="D560" t="str">
            <v>Ens</v>
          </cell>
          <cell r="E560">
            <v>1</v>
          </cell>
        </row>
        <row r="561">
          <cell r="C561" t="str">
            <v>* type</v>
          </cell>
        </row>
        <row r="563">
          <cell r="C563" t="str">
            <v>Châssis mécano soudé de supportage</v>
          </cell>
          <cell r="D563" t="str">
            <v>Ens</v>
          </cell>
        </row>
        <row r="564">
          <cell r="E564">
            <v>1</v>
          </cell>
        </row>
        <row r="565">
          <cell r="C565" t="str">
            <v>Gaine de soufflage et de reprise en FIBRASTAFF y compris protection ISOXAL en terrasse</v>
          </cell>
          <cell r="D565" t="str">
            <v>m2</v>
          </cell>
        </row>
        <row r="567">
          <cell r="C567" t="str">
            <v>Piège à son</v>
          </cell>
          <cell r="D567" t="str">
            <v>U</v>
          </cell>
        </row>
        <row r="569">
          <cell r="C569" t="str">
            <v>plénum de soufflage (acoustique et coupe-feu) au niveau des blocs sanitaires</v>
          </cell>
          <cell r="D569" t="str">
            <v>Ens</v>
          </cell>
          <cell r="E569">
            <v>1</v>
          </cell>
        </row>
        <row r="571">
          <cell r="C571" t="str">
            <v>ventilateur d'extraction type 400° C - 2 H</v>
          </cell>
          <cell r="D571" t="str">
            <v>U</v>
          </cell>
        </row>
        <row r="572">
          <cell r="C572" t="str">
            <v xml:space="preserve">* marque </v>
          </cell>
        </row>
        <row r="573">
          <cell r="C573" t="str">
            <v>* type</v>
          </cell>
        </row>
        <row r="575">
          <cell r="C575" t="str">
            <v>Volet coupe-feu 2 H sur circuit reprise CTA (asservi à la DI)</v>
          </cell>
          <cell r="D575" t="str">
            <v>U</v>
          </cell>
        </row>
        <row r="576">
          <cell r="C576" t="str">
            <v xml:space="preserve">* marque </v>
          </cell>
        </row>
        <row r="577">
          <cell r="C577" t="str">
            <v>* type</v>
          </cell>
        </row>
        <row r="579">
          <cell r="C579" t="str">
            <v>Coffret de relayage CTA et extracteur</v>
          </cell>
          <cell r="D579" t="str">
            <v>U</v>
          </cell>
        </row>
        <row r="580">
          <cell r="C580" t="str">
            <v xml:space="preserve">* marque </v>
          </cell>
        </row>
        <row r="581">
          <cell r="C581" t="str">
            <v>* type</v>
          </cell>
        </row>
        <row r="582">
          <cell r="D582" t="str">
            <v>U</v>
          </cell>
        </row>
        <row r="583">
          <cell r="C583" t="str">
            <v>Armoire électrique</v>
          </cell>
        </row>
        <row r="585">
          <cell r="C585" t="str">
            <v>Diffuseurs de soufflage sous les sièges</v>
          </cell>
          <cell r="D585" t="str">
            <v>U</v>
          </cell>
        </row>
        <row r="586">
          <cell r="C586" t="str">
            <v xml:space="preserve">* marque </v>
          </cell>
        </row>
        <row r="587">
          <cell r="C587" t="str">
            <v>* type</v>
          </cell>
        </row>
        <row r="589">
          <cell r="C589" t="str">
            <v>Diffuseurs scène</v>
          </cell>
          <cell r="D589" t="str">
            <v>U</v>
          </cell>
        </row>
        <row r="590">
          <cell r="C590" t="str">
            <v xml:space="preserve">* marque </v>
          </cell>
        </row>
        <row r="591">
          <cell r="C591" t="str">
            <v>* type</v>
          </cell>
        </row>
        <row r="593">
          <cell r="C593" t="str">
            <v>Registre pour chaque plénum de soufflage</v>
          </cell>
          <cell r="D593" t="str">
            <v>U</v>
          </cell>
        </row>
        <row r="594">
          <cell r="C594" t="str">
            <v xml:space="preserve">* marque </v>
          </cell>
        </row>
        <row r="595">
          <cell r="C595" t="str">
            <v>* type</v>
          </cell>
        </row>
        <row r="597">
          <cell r="C597" t="str">
            <v>Platine de commande</v>
          </cell>
          <cell r="D597" t="str">
            <v>U</v>
          </cell>
        </row>
        <row r="599">
          <cell r="C599" t="str">
            <v>Traitement Régie et extraction Régie (appareil de projection)</v>
          </cell>
        </row>
        <row r="601">
          <cell r="C601" t="str">
            <v>Gaine circulaire</v>
          </cell>
          <cell r="D601" t="str">
            <v>ml</v>
          </cell>
        </row>
        <row r="602">
          <cell r="C602" t="str">
            <v>* diamètre</v>
          </cell>
        </row>
        <row r="604">
          <cell r="C604" t="str">
            <v>Extracteur</v>
          </cell>
          <cell r="D604" t="str">
            <v>U</v>
          </cell>
        </row>
        <row r="605">
          <cell r="C605" t="str">
            <v xml:space="preserve">* marque </v>
          </cell>
        </row>
        <row r="606">
          <cell r="C606" t="str">
            <v>* type</v>
          </cell>
        </row>
        <row r="607">
          <cell r="C607" t="str">
            <v>* débit</v>
          </cell>
        </row>
        <row r="609">
          <cell r="C609" t="str">
            <v>Volet coupe-feu</v>
          </cell>
          <cell r="D609" t="str">
            <v>U</v>
          </cell>
        </row>
        <row r="610">
          <cell r="C610" t="str">
            <v xml:space="preserve">* marque </v>
          </cell>
        </row>
        <row r="611">
          <cell r="C611" t="str">
            <v>* type</v>
          </cell>
        </row>
        <row r="613">
          <cell r="C613" t="str">
            <v>Traitement par VC pression</v>
          </cell>
        </row>
        <row r="614">
          <cell r="C614" t="str">
            <v xml:space="preserve">* marque </v>
          </cell>
        </row>
        <row r="615">
          <cell r="C615" t="str">
            <v>* type</v>
          </cell>
        </row>
        <row r="617">
          <cell r="C617" t="str">
            <v>Gaine circulaire</v>
          </cell>
        </row>
        <row r="618">
          <cell r="C618" t="str">
            <v>* diamètre</v>
          </cell>
          <cell r="D618" t="str">
            <v>ml</v>
          </cell>
        </row>
        <row r="619">
          <cell r="C619" t="str">
            <v>* diamètre</v>
          </cell>
          <cell r="D619" t="str">
            <v>ml</v>
          </cell>
        </row>
        <row r="621">
          <cell r="C621" t="str">
            <v>Diffuseurs</v>
          </cell>
          <cell r="D621" t="str">
            <v>U</v>
          </cell>
        </row>
        <row r="622">
          <cell r="C622" t="str">
            <v xml:space="preserve">* marque </v>
          </cell>
        </row>
        <row r="623">
          <cell r="C623" t="str">
            <v>* type</v>
          </cell>
        </row>
        <row r="631">
          <cell r="B631">
            <v>9</v>
          </cell>
          <cell r="C631" t="str">
            <v xml:space="preserve">SOUS-TOTAL TRAITEMENT DE L'AIR DE L'AMPHITHEATRE </v>
          </cell>
        </row>
        <row r="633">
          <cell r="B633">
            <v>10</v>
          </cell>
          <cell r="C633" t="str">
            <v>TRAITEMENT DE L'AIR DU HALL ECOLE</v>
          </cell>
        </row>
        <row r="635">
          <cell r="C635" t="str">
            <v>Centrale d'air à débit constant avec caisson 3 voies type OUTDOOR y compris l'ensemble des équipements, régulation, capteurs, actionneurs, automate…)</v>
          </cell>
        </row>
        <row r="636">
          <cell r="C636" t="str">
            <v xml:space="preserve">* marque </v>
          </cell>
          <cell r="D636" t="str">
            <v>Ens</v>
          </cell>
          <cell r="E636">
            <v>1</v>
          </cell>
        </row>
        <row r="637">
          <cell r="C637" t="str">
            <v>* type</v>
          </cell>
        </row>
        <row r="638">
          <cell r="C638" t="str">
            <v>* marque régulation</v>
          </cell>
          <cell r="D638" t="str">
            <v>Ens</v>
          </cell>
          <cell r="E638">
            <v>1</v>
          </cell>
        </row>
        <row r="639">
          <cell r="C639" t="str">
            <v>* type</v>
          </cell>
        </row>
        <row r="641">
          <cell r="C641" t="str">
            <v>Châssis mécano soudé de supportage</v>
          </cell>
          <cell r="D641" t="str">
            <v>Ens</v>
          </cell>
          <cell r="E641">
            <v>1</v>
          </cell>
        </row>
        <row r="643">
          <cell r="C643" t="str">
            <v>Gaine de soufflage et de reprise</v>
          </cell>
        </row>
        <row r="645">
          <cell r="C645" t="str">
            <v>Tapissage intérieur (acoustique-thermique) des gaines maçonnées (verticales et horizontales) de soufflage</v>
          </cell>
          <cell r="D645" t="str">
            <v>Ens</v>
          </cell>
          <cell r="E645">
            <v>1</v>
          </cell>
        </row>
        <row r="647">
          <cell r="C647" t="str">
            <v>Plénum tôle de soufflage avec tôle perforée</v>
          </cell>
          <cell r="D647" t="str">
            <v>Ens</v>
          </cell>
          <cell r="E647">
            <v>1</v>
          </cell>
        </row>
        <row r="649">
          <cell r="C649" t="str">
            <v>Séparatif (chicanes) acoustique vertical et horizontal (type baffles)</v>
          </cell>
          <cell r="D649" t="str">
            <v>Ens</v>
          </cell>
          <cell r="E649">
            <v>1</v>
          </cell>
        </row>
        <row r="651">
          <cell r="C651" t="str">
            <v>Tôle perforée au soufflage</v>
          </cell>
          <cell r="D651" t="str">
            <v>Ens</v>
          </cell>
          <cell r="E651">
            <v>1</v>
          </cell>
        </row>
        <row r="653">
          <cell r="C653" t="str">
            <v>Gaine de reprise (y compris calorifuge et protection ISOXAL pour la partie en terrasse)</v>
          </cell>
          <cell r="D653" t="str">
            <v>Ens</v>
          </cell>
          <cell r="E653">
            <v>1</v>
          </cell>
        </row>
        <row r="655">
          <cell r="C655" t="str">
            <v>Clapet coupe-feu</v>
          </cell>
          <cell r="D655" t="str">
            <v>U</v>
          </cell>
        </row>
        <row r="656">
          <cell r="C656" t="str">
            <v xml:space="preserve">* marque </v>
          </cell>
        </row>
        <row r="657">
          <cell r="C657" t="str">
            <v>* type</v>
          </cell>
        </row>
        <row r="659">
          <cell r="C659" t="str">
            <v>Piège à son</v>
          </cell>
          <cell r="D659" t="str">
            <v>U</v>
          </cell>
        </row>
        <row r="661">
          <cell r="C661" t="str">
            <v>Plénum de rejet commun avec rejet CTA Amphithéâtre</v>
          </cell>
          <cell r="D661" t="str">
            <v>Ens</v>
          </cell>
          <cell r="E661">
            <v>1</v>
          </cell>
        </row>
        <row r="663">
          <cell r="C663" t="str">
            <v>Armoire électrique</v>
          </cell>
          <cell r="D663" t="str">
            <v>U</v>
          </cell>
        </row>
        <row r="665">
          <cell r="B665">
            <v>10</v>
          </cell>
          <cell r="C665" t="str">
            <v>SOUS-TOTAL TRAITEMENT DE L'AIR DU HALL ECOLE</v>
          </cell>
        </row>
        <row r="667">
          <cell r="B667">
            <v>11</v>
          </cell>
          <cell r="C667" t="str">
            <v>OPTION 12</v>
          </cell>
        </row>
        <row r="668">
          <cell r="C668" t="str">
            <v>CHAUFFAGE ET RAFRAICHISSEMENT PAR LE SOL DU HALL ECOLE</v>
          </cell>
        </row>
        <row r="670">
          <cell r="C670" t="str">
            <v>Collecteurs aller et retour boucles</v>
          </cell>
          <cell r="D670" t="str">
            <v>U</v>
          </cell>
        </row>
        <row r="672">
          <cell r="C672" t="str">
            <v>Panneau de sol y compris dalles polystyrène</v>
          </cell>
          <cell r="D672" t="str">
            <v>Ens</v>
          </cell>
          <cell r="E672">
            <v>1</v>
          </cell>
        </row>
        <row r="673">
          <cell r="C673" t="str">
            <v xml:space="preserve">* marque </v>
          </cell>
        </row>
        <row r="674">
          <cell r="C674" t="str">
            <v>* type</v>
          </cell>
        </row>
        <row r="676">
          <cell r="C676" t="str">
            <v>Sondes (limitation retour - sonde contact de sol)</v>
          </cell>
          <cell r="D676" t="str">
            <v>Ens</v>
          </cell>
          <cell r="E676">
            <v>1</v>
          </cell>
        </row>
        <row r="682">
          <cell r="B682">
            <v>11</v>
          </cell>
          <cell r="C682" t="str">
            <v>OPTION 12
SOUS-TOTAL CHAUFFAGE ET RAFRAICHISSEMENT PAR LE SOL DU HALL ECOLE</v>
          </cell>
        </row>
        <row r="684">
          <cell r="B684">
            <v>12</v>
          </cell>
          <cell r="C684" t="str">
            <v>TRAITEMENT PAR CORPS DE CHAUFFE</v>
          </cell>
        </row>
        <row r="686">
          <cell r="C686" t="str">
            <v>Corps de chauffe devant paroi vitrée (y compris cage d'escalier)</v>
          </cell>
          <cell r="D686" t="str">
            <v>U</v>
          </cell>
        </row>
        <row r="687">
          <cell r="C687" t="str">
            <v>* marque</v>
          </cell>
        </row>
        <row r="688">
          <cell r="C688" t="str">
            <v>* type</v>
          </cell>
        </row>
        <row r="690">
          <cell r="C690" t="str">
            <v>Equipement de ces corps de chauffe</v>
          </cell>
          <cell r="D690" t="str">
            <v>Ens</v>
          </cell>
          <cell r="E690">
            <v>1</v>
          </cell>
        </row>
        <row r="691">
          <cell r="C691" t="str">
            <v>(robinet double réglage, té de réglage et d'isolement, patte de support,,,)</v>
          </cell>
        </row>
        <row r="693">
          <cell r="C693" t="str">
            <v>Tuyauteries corps de chauffe Façades</v>
          </cell>
        </row>
        <row r="694">
          <cell r="C694" t="str">
            <v>(y compris patte supports tuyauteries, flexibles acoustiques, carter de protection des flexibles acoustiques)</v>
          </cell>
          <cell r="D694" t="str">
            <v>Ens</v>
          </cell>
          <cell r="E694">
            <v>1</v>
          </cell>
        </row>
        <row r="696">
          <cell r="C696" t="str">
            <v>Autres corps de chauffe</v>
          </cell>
        </row>
        <row r="698">
          <cell r="C698" t="str">
            <v>Corps de chauffe ECOLE</v>
          </cell>
          <cell r="D698" t="str">
            <v>U</v>
          </cell>
        </row>
        <row r="699">
          <cell r="C699" t="str">
            <v>* marque</v>
          </cell>
        </row>
        <row r="700">
          <cell r="C700" t="str">
            <v>* type</v>
          </cell>
        </row>
        <row r="701">
          <cell r="C701" t="str">
            <v>(y compris robinet thermostatique et té de réglage)</v>
          </cell>
        </row>
        <row r="703">
          <cell r="C703" t="str">
            <v>Tuyauteries circuit régulé radiateurs se distribuant dans l'ECOLE</v>
          </cell>
        </row>
        <row r="704">
          <cell r="C704" t="str">
            <v>§</v>
          </cell>
          <cell r="D704" t="str">
            <v>ml</v>
          </cell>
        </row>
        <row r="705">
          <cell r="C705" t="str">
            <v>§</v>
          </cell>
          <cell r="D705" t="str">
            <v>ml</v>
          </cell>
        </row>
        <row r="707">
          <cell r="C707" t="str">
            <v>Calorifuge de ce réseau régulé passant dans les faux-plafonds</v>
          </cell>
          <cell r="D707" t="str">
            <v>m²</v>
          </cell>
        </row>
        <row r="714">
          <cell r="B714">
            <v>12</v>
          </cell>
          <cell r="C714" t="str">
            <v>SOUS-TOTAL TRAITEMENT PAR CORPS DE CHAUFFE</v>
          </cell>
        </row>
        <row r="717">
          <cell r="B717">
            <v>13</v>
          </cell>
          <cell r="C717" t="str">
            <v>EXTRACTION ECOLE ET ARMOIRE ELECTRIQUE TERRASSE</v>
          </cell>
        </row>
        <row r="719">
          <cell r="C719" t="str">
            <v>Extracteur sanitaires mis en œuvre en terrasse Amphithéâtre</v>
          </cell>
          <cell r="D719" t="str">
            <v>U</v>
          </cell>
        </row>
        <row r="720">
          <cell r="C720" t="str">
            <v>* marque</v>
          </cell>
        </row>
        <row r="721">
          <cell r="C721" t="str">
            <v>* type</v>
          </cell>
        </row>
        <row r="723">
          <cell r="C723" t="str">
            <v>Gaine d'extraction des différents sanitaires</v>
          </cell>
          <cell r="D723" t="str">
            <v>Ens</v>
          </cell>
          <cell r="E723">
            <v>1</v>
          </cell>
        </row>
        <row r="725">
          <cell r="C725" t="str">
            <v>Bouches d'extraction Sanitaires</v>
          </cell>
          <cell r="D725" t="str">
            <v>U</v>
          </cell>
        </row>
        <row r="726">
          <cell r="C726" t="str">
            <v>* marque</v>
          </cell>
        </row>
        <row r="727">
          <cell r="C727" t="str">
            <v>* type</v>
          </cell>
        </row>
        <row r="729">
          <cell r="C729" t="str">
            <v>Volet coupe-feu</v>
          </cell>
          <cell r="D729" t="str">
            <v>U</v>
          </cell>
        </row>
        <row r="730">
          <cell r="C730" t="str">
            <v>* marque</v>
          </cell>
        </row>
        <row r="731">
          <cell r="C731" t="str">
            <v>* type</v>
          </cell>
        </row>
        <row r="733">
          <cell r="C733" t="str">
            <v>Armoire électrique Terrasse Amphithéâtre</v>
          </cell>
          <cell r="D733" t="str">
            <v>Ens</v>
          </cell>
          <cell r="E733">
            <v>1</v>
          </cell>
        </row>
        <row r="740">
          <cell r="B740">
            <v>13</v>
          </cell>
          <cell r="C740" t="str">
            <v>SOUS-TOTAL EXTRACTION ECOLE ET ARMOIRE ELECTRIQUE TERRASSE</v>
          </cell>
        </row>
        <row r="743">
          <cell r="B743">
            <v>14</v>
          </cell>
          <cell r="C743" t="str">
            <v>CTA AIR NEUF SALLE A MANGER</v>
          </cell>
        </row>
        <row r="745">
          <cell r="C745" t="str">
            <v>CTA Air neuf Salle à manger</v>
          </cell>
        </row>
        <row r="746">
          <cell r="C746" t="str">
            <v>* marque</v>
          </cell>
        </row>
        <row r="747">
          <cell r="C747" t="str">
            <v>* type</v>
          </cell>
        </row>
        <row r="748">
          <cell r="C748" t="str">
            <v>* débit</v>
          </cell>
        </row>
        <row r="749">
          <cell r="C749" t="str">
            <v>y compris l'ensemble des équipements, régulation, capteurs, actionneur, automate...)</v>
          </cell>
          <cell r="D749" t="str">
            <v>Ens</v>
          </cell>
          <cell r="E749">
            <v>1</v>
          </cell>
        </row>
        <row r="751">
          <cell r="C751" t="str">
            <v>Piège à son</v>
          </cell>
          <cell r="D751" t="str">
            <v>U</v>
          </cell>
        </row>
        <row r="753">
          <cell r="C753" t="str">
            <v>Gaine de soufflage en LT</v>
          </cell>
          <cell r="D753" t="str">
            <v>kg</v>
          </cell>
        </row>
        <row r="755">
          <cell r="C755" t="str">
            <v>Gaine de soufflage hors LT</v>
          </cell>
          <cell r="D755" t="str">
            <v>kg</v>
          </cell>
        </row>
        <row r="757">
          <cell r="C757" t="str">
            <v>Gaines circulaires</v>
          </cell>
          <cell r="D757" t="str">
            <v>ml</v>
          </cell>
        </row>
        <row r="759">
          <cell r="C759" t="str">
            <v>Volet coupe-feu 2h</v>
          </cell>
        </row>
        <row r="760">
          <cell r="C760" t="str">
            <v>* marque</v>
          </cell>
        </row>
        <row r="761">
          <cell r="C761" t="str">
            <v>* type</v>
          </cell>
        </row>
        <row r="763">
          <cell r="C763" t="str">
            <v>Diffuseur de soufflage linéaires</v>
          </cell>
        </row>
        <row r="764">
          <cell r="C764" t="str">
            <v>* marque</v>
          </cell>
        </row>
        <row r="765">
          <cell r="C765" t="str">
            <v>* type</v>
          </cell>
        </row>
        <row r="767">
          <cell r="C767" t="str">
            <v>Armoire électrique</v>
          </cell>
        </row>
        <row r="774">
          <cell r="B774">
            <v>14</v>
          </cell>
          <cell r="C774" t="str">
            <v>SOUS-TOTAL CTA AIR NEUF SALLE A MANGER</v>
          </cell>
        </row>
        <row r="777">
          <cell r="B777">
            <v>15</v>
          </cell>
          <cell r="C777" t="str">
            <v>CTA AIR NEUF CAFETERIA</v>
          </cell>
        </row>
        <row r="779">
          <cell r="C779" t="str">
            <v>CTA Air neuf Cafétéria</v>
          </cell>
        </row>
        <row r="780">
          <cell r="C780" t="str">
            <v>* marque</v>
          </cell>
        </row>
        <row r="781">
          <cell r="C781" t="str">
            <v>* type</v>
          </cell>
        </row>
        <row r="782">
          <cell r="C782" t="str">
            <v>* débit</v>
          </cell>
        </row>
        <row r="783">
          <cell r="C783" t="str">
            <v>y compris l'ensemble des équipements, régulation, capteurs, actionneur, automate...)</v>
          </cell>
          <cell r="D783" t="str">
            <v>Ens</v>
          </cell>
          <cell r="E783">
            <v>1</v>
          </cell>
        </row>
        <row r="785">
          <cell r="C785" t="str">
            <v>Piège à son</v>
          </cell>
          <cell r="D785" t="str">
            <v>U</v>
          </cell>
        </row>
        <row r="787">
          <cell r="C787" t="str">
            <v>Gaine de soufflage en LT</v>
          </cell>
          <cell r="D787" t="str">
            <v>kg</v>
          </cell>
        </row>
        <row r="789">
          <cell r="C789" t="str">
            <v>Gaine de soufflage hors LT</v>
          </cell>
          <cell r="D789" t="str">
            <v>kg</v>
          </cell>
        </row>
        <row r="791">
          <cell r="C791" t="str">
            <v>Gaine de reprise</v>
          </cell>
          <cell r="D791" t="str">
            <v>kg</v>
          </cell>
        </row>
        <row r="793">
          <cell r="C793" t="str">
            <v>Gaines circulaires</v>
          </cell>
          <cell r="D793" t="str">
            <v>ml</v>
          </cell>
        </row>
        <row r="795">
          <cell r="C795" t="str">
            <v>Volet coupe-feu 2h</v>
          </cell>
        </row>
        <row r="796">
          <cell r="C796" t="str">
            <v>* marque</v>
          </cell>
        </row>
        <row r="797">
          <cell r="C797" t="str">
            <v>* type</v>
          </cell>
        </row>
        <row r="799">
          <cell r="C799" t="str">
            <v>Diffuseur de soufflage et d'extraction circulaires</v>
          </cell>
        </row>
        <row r="800">
          <cell r="C800" t="str">
            <v>* marque</v>
          </cell>
        </row>
        <row r="801">
          <cell r="C801" t="str">
            <v>* type</v>
          </cell>
          <cell r="D801" t="str">
            <v>U</v>
          </cell>
        </row>
        <row r="803">
          <cell r="C803" t="str">
            <v>Diffuseurs bureaux  et vestiaires</v>
          </cell>
          <cell r="D803" t="str">
            <v>Ens</v>
          </cell>
          <cell r="E803">
            <v>1</v>
          </cell>
        </row>
        <row r="805">
          <cell r="C805" t="str">
            <v>Caisson d'extraction (zone fumeurs)</v>
          </cell>
        </row>
        <row r="806">
          <cell r="C806" t="str">
            <v>* marque</v>
          </cell>
        </row>
        <row r="807">
          <cell r="C807" t="str">
            <v>* type</v>
          </cell>
        </row>
        <row r="808">
          <cell r="C808" t="str">
            <v>* débit</v>
          </cell>
        </row>
        <row r="816">
          <cell r="B816">
            <v>15</v>
          </cell>
          <cell r="C816" t="str">
            <v>SOUS-TOTAL CTA AIR NEUF CAFETERIA</v>
          </cell>
        </row>
        <row r="819">
          <cell r="B819">
            <v>16</v>
          </cell>
          <cell r="C819" t="str">
            <v>CTA AIR NEUF CUISINE-LAVERIE</v>
          </cell>
        </row>
        <row r="821">
          <cell r="C821" t="str">
            <v>CTA Air neuf Cuisine</v>
          </cell>
        </row>
        <row r="822">
          <cell r="C822" t="str">
            <v>* marque</v>
          </cell>
        </row>
        <row r="823">
          <cell r="C823" t="str">
            <v>* type</v>
          </cell>
        </row>
        <row r="824">
          <cell r="C824" t="str">
            <v>* débit</v>
          </cell>
        </row>
        <row r="825">
          <cell r="C825" t="str">
            <v>y compris l'ensemble des équipements, régulation, capteurs, actionneur, automate...)</v>
          </cell>
          <cell r="D825" t="str">
            <v>Ens</v>
          </cell>
          <cell r="E825">
            <v>1</v>
          </cell>
        </row>
        <row r="827">
          <cell r="C827" t="str">
            <v>Piège à son</v>
          </cell>
          <cell r="D827" t="str">
            <v>U</v>
          </cell>
        </row>
        <row r="829">
          <cell r="C829" t="str">
            <v>Gaine de soufflage en LT</v>
          </cell>
          <cell r="D829" t="str">
            <v>kg</v>
          </cell>
        </row>
        <row r="831">
          <cell r="C831" t="str">
            <v>Gaine de soufflage hors LT</v>
          </cell>
          <cell r="D831" t="str">
            <v>kg</v>
          </cell>
        </row>
        <row r="833">
          <cell r="C833" t="str">
            <v>Gaine d'extraction hors LT</v>
          </cell>
          <cell r="D833" t="str">
            <v>kg</v>
          </cell>
        </row>
        <row r="835">
          <cell r="C835" t="str">
            <v>Gaine circulaire</v>
          </cell>
          <cell r="D835" t="str">
            <v>ml</v>
          </cell>
        </row>
        <row r="837">
          <cell r="C837" t="str">
            <v>Flocage coupe-feu 2h gaine</v>
          </cell>
          <cell r="D837" t="str">
            <v>m²</v>
          </cell>
        </row>
        <row r="839">
          <cell r="C839" t="str">
            <v>Volets coupe-feu</v>
          </cell>
        </row>
        <row r="840">
          <cell r="C840" t="str">
            <v>* marque</v>
          </cell>
        </row>
        <row r="841">
          <cell r="C841" t="str">
            <v>* type</v>
          </cell>
          <cell r="D841" t="str">
            <v>U</v>
          </cell>
        </row>
        <row r="843">
          <cell r="C843" t="str">
            <v>Diffuseurs soufflage</v>
          </cell>
        </row>
        <row r="844">
          <cell r="C844" t="str">
            <v>* marque</v>
          </cell>
        </row>
        <row r="845">
          <cell r="C845" t="str">
            <v>* type</v>
          </cell>
          <cell r="D845" t="str">
            <v>U</v>
          </cell>
        </row>
        <row r="847">
          <cell r="C847" t="str">
            <v>Diffuseurs d'extraction</v>
          </cell>
        </row>
        <row r="848">
          <cell r="C848" t="str">
            <v>* marque</v>
          </cell>
        </row>
        <row r="849">
          <cell r="C849" t="str">
            <v>* type</v>
          </cell>
          <cell r="D849" t="str">
            <v>U</v>
          </cell>
        </row>
        <row r="851">
          <cell r="C851" t="str">
            <v>Extracteur locaux divers Cuisines</v>
          </cell>
        </row>
        <row r="852">
          <cell r="C852" t="str">
            <v>* marque</v>
          </cell>
        </row>
        <row r="853">
          <cell r="C853" t="str">
            <v>* type</v>
          </cell>
        </row>
        <row r="854">
          <cell r="C854" t="str">
            <v>* débit</v>
          </cell>
          <cell r="D854" t="str">
            <v>U</v>
          </cell>
        </row>
        <row r="856">
          <cell r="C856" t="str">
            <v>Extracteur Laverie</v>
          </cell>
        </row>
        <row r="857">
          <cell r="C857" t="str">
            <v>* marque</v>
          </cell>
        </row>
        <row r="858">
          <cell r="C858" t="str">
            <v>* type</v>
          </cell>
        </row>
        <row r="859">
          <cell r="C859" t="str">
            <v>*débit</v>
          </cell>
          <cell r="D859" t="str">
            <v>U</v>
          </cell>
        </row>
        <row r="861">
          <cell r="C861" t="str">
            <v>Armoires électriques Local CTA</v>
          </cell>
          <cell r="D861" t="str">
            <v>Ens</v>
          </cell>
          <cell r="E861">
            <v>1</v>
          </cell>
        </row>
        <row r="863">
          <cell r="C863" t="str">
            <v>Extracteur Sanitaires</v>
          </cell>
        </row>
        <row r="864">
          <cell r="C864" t="str">
            <v>* marque</v>
          </cell>
        </row>
        <row r="865">
          <cell r="C865" t="str">
            <v>* type</v>
          </cell>
        </row>
        <row r="867">
          <cell r="C867" t="str">
            <v>Extracteur Local déchets</v>
          </cell>
        </row>
        <row r="868">
          <cell r="C868" t="str">
            <v>* marque</v>
          </cell>
        </row>
        <row r="869">
          <cell r="C869" t="str">
            <v>* type</v>
          </cell>
        </row>
        <row r="871">
          <cell r="C871" t="str">
            <v>Splits systèmes Bureaux Intendant</v>
          </cell>
        </row>
        <row r="872">
          <cell r="C872" t="str">
            <v>* marque</v>
          </cell>
        </row>
        <row r="873">
          <cell r="C873" t="str">
            <v>* type</v>
          </cell>
          <cell r="D873" t="str">
            <v>U</v>
          </cell>
        </row>
        <row r="875">
          <cell r="C875" t="str">
            <v>Splits systèmes Local déchets</v>
          </cell>
        </row>
        <row r="876">
          <cell r="C876" t="str">
            <v>* marque</v>
          </cell>
        </row>
        <row r="877">
          <cell r="C877" t="str">
            <v>* type</v>
          </cell>
        </row>
        <row r="879">
          <cell r="C879" t="str">
            <v>Splits systèmes Préparation froide</v>
          </cell>
        </row>
        <row r="880">
          <cell r="C880" t="str">
            <v>* marque</v>
          </cell>
        </row>
        <row r="881">
          <cell r="C881" t="str">
            <v>* type</v>
          </cell>
        </row>
        <row r="890">
          <cell r="B890">
            <v>16</v>
          </cell>
          <cell r="C890" t="str">
            <v>SOUS-TOTAL CTA AIR NEUF CUISINE-LAVERIE</v>
          </cell>
        </row>
        <row r="893">
          <cell r="B893">
            <v>17</v>
          </cell>
          <cell r="C893" t="str">
            <v>EXTRACTION HOTTES</v>
          </cell>
        </row>
        <row r="895">
          <cell r="C895" t="str">
            <v>Extracteur Hotte Boutique vapeur - petit-déjeuner</v>
          </cell>
        </row>
        <row r="896">
          <cell r="C896" t="str">
            <v>* marque</v>
          </cell>
        </row>
        <row r="897">
          <cell r="C897" t="str">
            <v>* type</v>
          </cell>
        </row>
        <row r="898">
          <cell r="C898" t="str">
            <v>* débit</v>
          </cell>
          <cell r="D898" t="str">
            <v>U</v>
          </cell>
        </row>
        <row r="900">
          <cell r="C900" t="str">
            <v>Gaine d'extraction en tôle noire 15/10 + trappes de visites + flocage CF</v>
          </cell>
          <cell r="D900" t="str">
            <v>Ens</v>
          </cell>
          <cell r="E900">
            <v>1</v>
          </cell>
        </row>
        <row r="902">
          <cell r="C902" t="str">
            <v>Extracteur Hotte boutique Grillades - Pizza</v>
          </cell>
        </row>
        <row r="903">
          <cell r="C903" t="str">
            <v>* marque</v>
          </cell>
        </row>
        <row r="904">
          <cell r="C904" t="str">
            <v>* type</v>
          </cell>
        </row>
        <row r="905">
          <cell r="C905" t="str">
            <v>* débit</v>
          </cell>
          <cell r="D905" t="str">
            <v>U</v>
          </cell>
        </row>
        <row r="907">
          <cell r="C907" t="str">
            <v>Gaine d'extraction en tôle noire 15/10 + trappes de visites + flocage CF</v>
          </cell>
          <cell r="D907" t="str">
            <v>Ens</v>
          </cell>
          <cell r="E907">
            <v>1</v>
          </cell>
        </row>
        <row r="909">
          <cell r="C909" t="str">
            <v>Extracteur Local CUISSON</v>
          </cell>
        </row>
        <row r="910">
          <cell r="C910" t="str">
            <v>* marque</v>
          </cell>
        </row>
        <row r="911">
          <cell r="C911" t="str">
            <v>* type</v>
          </cell>
        </row>
        <row r="912">
          <cell r="C912" t="str">
            <v>* débit</v>
          </cell>
          <cell r="D912" t="str">
            <v>U</v>
          </cell>
        </row>
        <row r="914">
          <cell r="C914" t="str">
            <v>Gaine d'extraction en tôle noire 15/10 + trappes de visites + flocage CF</v>
          </cell>
          <cell r="D914" t="str">
            <v>Ens</v>
          </cell>
          <cell r="E914">
            <v>1</v>
          </cell>
        </row>
        <row r="916">
          <cell r="C916" t="str">
            <v>Trois conduits d'extraction en inox double peau</v>
          </cell>
        </row>
        <row r="917">
          <cell r="C917" t="str">
            <v>* marque</v>
          </cell>
        </row>
        <row r="918">
          <cell r="C918" t="str">
            <v>* type</v>
          </cell>
        </row>
        <row r="919">
          <cell r="C919" t="str">
            <v>* diamètre</v>
          </cell>
          <cell r="D919" t="str">
            <v>Ens</v>
          </cell>
          <cell r="E919">
            <v>1</v>
          </cell>
        </row>
        <row r="921">
          <cell r="C921" t="str">
            <v xml:space="preserve">Armoire électrique Local Extraction </v>
          </cell>
          <cell r="D921" t="str">
            <v>Ens</v>
          </cell>
          <cell r="E921">
            <v>1</v>
          </cell>
        </row>
        <row r="932">
          <cell r="B932">
            <v>17</v>
          </cell>
          <cell r="C932" t="str">
            <v>SOUS-TOTAL EXTRACTION HOTTES</v>
          </cell>
        </row>
        <row r="935">
          <cell r="B935">
            <v>18</v>
          </cell>
          <cell r="C935" t="str">
            <v>TRAITEMENT PAR CORPS DE CHAUFFE, BATIMENT RESTAURATION</v>
          </cell>
        </row>
        <row r="937">
          <cell r="C937" t="str">
            <v>Corps de chauffe devant paroi vitrée</v>
          </cell>
        </row>
        <row r="938">
          <cell r="C938" t="str">
            <v>* marque</v>
          </cell>
        </row>
        <row r="939">
          <cell r="C939" t="str">
            <v>* type</v>
          </cell>
          <cell r="D939" t="str">
            <v>U</v>
          </cell>
        </row>
        <row r="941">
          <cell r="C941" t="str">
            <v>Equipement de ces corps de chauffe</v>
          </cell>
        </row>
        <row r="942">
          <cell r="C942" t="str">
            <v>(robinet double réglage, té de réglage et d'isolement, patte de support...)</v>
          </cell>
          <cell r="D942" t="str">
            <v>Ens</v>
          </cell>
          <cell r="E942">
            <v>1</v>
          </cell>
        </row>
        <row r="944">
          <cell r="C944" t="str">
            <v>Tuyauteries corps de chauffe Façades</v>
          </cell>
        </row>
        <row r="945">
          <cell r="C945" t="str">
            <v>(y compris patte supports tuyauteries, flexibles acoustiques, carter de protection des flexibles acoustiques)</v>
          </cell>
          <cell r="D945" t="str">
            <v>Ens</v>
          </cell>
          <cell r="E945">
            <v>1</v>
          </cell>
        </row>
        <row r="947">
          <cell r="C947" t="str">
            <v>Autres corps de chauffe</v>
          </cell>
        </row>
        <row r="949">
          <cell r="C949" t="str">
            <v>Corps de chauffe Bâtiment Restauration</v>
          </cell>
        </row>
        <row r="950">
          <cell r="C950" t="str">
            <v>* marque</v>
          </cell>
        </row>
        <row r="951">
          <cell r="C951" t="str">
            <v>* type</v>
          </cell>
          <cell r="D951" t="str">
            <v>U</v>
          </cell>
        </row>
        <row r="952">
          <cell r="C952" t="str">
            <v>(y compris robinet thermostatique et té de réglage)</v>
          </cell>
        </row>
        <row r="954">
          <cell r="C954" t="str">
            <v>Tuyauteries circuit régulé radiateurs se distribuant dans le Bâtiment Restauration</v>
          </cell>
        </row>
        <row r="955">
          <cell r="C955" t="str">
            <v>* diamètre</v>
          </cell>
          <cell r="D955" t="str">
            <v>ml</v>
          </cell>
        </row>
        <row r="956">
          <cell r="C956" t="str">
            <v>* diamètre</v>
          </cell>
          <cell r="D956" t="str">
            <v>ml</v>
          </cell>
        </row>
        <row r="958">
          <cell r="C958" t="str">
            <v>Calorifuge de ce réseau régulé passant dans les faux-plafonds</v>
          </cell>
          <cell r="D958" t="str">
            <v>m²</v>
          </cell>
        </row>
        <row r="966">
          <cell r="B966">
            <v>18</v>
          </cell>
          <cell r="C966" t="str">
            <v>SOUS-TOTAL TRAITEMENT PAR CORPS DE CHAUFFE, BATIMENT RESTAURATION</v>
          </cell>
        </row>
        <row r="969">
          <cell r="B969">
            <v>19</v>
          </cell>
          <cell r="C969" t="str">
            <v>AIR NEUF BATIMENT IMPRIMERIE</v>
          </cell>
        </row>
        <row r="971">
          <cell r="C971" t="str">
            <v>CTA Air neuf Bâtiment Imprimerie</v>
          </cell>
        </row>
        <row r="972">
          <cell r="C972" t="str">
            <v>* marque</v>
          </cell>
        </row>
        <row r="973">
          <cell r="C973" t="str">
            <v>* type</v>
          </cell>
        </row>
        <row r="974">
          <cell r="C974" t="str">
            <v>* débit</v>
          </cell>
        </row>
        <row r="975">
          <cell r="C975" t="str">
            <v>(y compris l'ensemble des équipements, régulation, capteurs, automate...)U</v>
          </cell>
        </row>
        <row r="977">
          <cell r="C977" t="str">
            <v>Châssis mécano-soudé de support et d'entretien</v>
          </cell>
        </row>
        <row r="978">
          <cell r="C978" t="str">
            <v>(y compris échelle d'accès et rambarde de protection)</v>
          </cell>
          <cell r="D978" t="str">
            <v>Ens</v>
          </cell>
          <cell r="E978">
            <v>1</v>
          </cell>
        </row>
        <row r="980">
          <cell r="C980" t="str">
            <v>Pièges à son</v>
          </cell>
          <cell r="D980" t="str">
            <v>U</v>
          </cell>
        </row>
        <row r="982">
          <cell r="C982" t="str">
            <v>Gaines de soufflage en LT</v>
          </cell>
          <cell r="D982" t="str">
            <v>kg</v>
          </cell>
        </row>
        <row r="984">
          <cell r="C984" t="str">
            <v>Gaine de soufflage hors LT</v>
          </cell>
          <cell r="D984" t="str">
            <v>kg</v>
          </cell>
        </row>
        <row r="986">
          <cell r="C986" t="str">
            <v>Gaine circulaire</v>
          </cell>
        </row>
        <row r="988">
          <cell r="C988" t="str">
            <v xml:space="preserve">Calorifuge des gaines de soufflage </v>
          </cell>
          <cell r="D988" t="str">
            <v>m2</v>
          </cell>
        </row>
        <row r="990">
          <cell r="C990" t="str">
            <v>Volet coupe-feu 2 H</v>
          </cell>
          <cell r="D990" t="str">
            <v>U</v>
          </cell>
        </row>
        <row r="991">
          <cell r="C991" t="str">
            <v xml:space="preserve">* marque </v>
          </cell>
        </row>
        <row r="992">
          <cell r="C992" t="str">
            <v>* type</v>
          </cell>
        </row>
        <row r="994">
          <cell r="C994" t="str">
            <v>Diffuseur de soufflage</v>
          </cell>
          <cell r="D994" t="str">
            <v>U</v>
          </cell>
        </row>
        <row r="995">
          <cell r="C995" t="str">
            <v xml:space="preserve">* marque </v>
          </cell>
        </row>
        <row r="996">
          <cell r="C996" t="str">
            <v>* type</v>
          </cell>
        </row>
        <row r="1003">
          <cell r="B1003">
            <v>19</v>
          </cell>
          <cell r="C1003" t="str">
            <v>SOUS-TOTAL AIR NEUF BATIMENT IMPRIMERIE</v>
          </cell>
        </row>
        <row r="1006">
          <cell r="B1006">
            <v>20</v>
          </cell>
          <cell r="C1006" t="str">
            <v>EXTRACTION LOCAUX DIVERS IMPRIMERIE</v>
          </cell>
        </row>
        <row r="1008">
          <cell r="C1008" t="str">
            <v>Extracteur centrifuge en caisson</v>
          </cell>
          <cell r="D1008" t="str">
            <v>U</v>
          </cell>
        </row>
        <row r="1009">
          <cell r="C1009" t="str">
            <v xml:space="preserve">* marque </v>
          </cell>
        </row>
        <row r="1010">
          <cell r="C1010" t="str">
            <v>* type</v>
          </cell>
        </row>
        <row r="1011">
          <cell r="C1011" t="str">
            <v>* débit</v>
          </cell>
        </row>
        <row r="1013">
          <cell r="C1013" t="str">
            <v>Châssis mécano-soudé de support</v>
          </cell>
          <cell r="D1013" t="str">
            <v>Ens</v>
          </cell>
          <cell r="E1013">
            <v>1</v>
          </cell>
        </row>
        <row r="1015">
          <cell r="C1015" t="str">
            <v>Gaines d'extraction rectangulaires</v>
          </cell>
          <cell r="D1015" t="str">
            <v>kg</v>
          </cell>
        </row>
        <row r="1017">
          <cell r="C1017" t="str">
            <v>Gaines d'extraction circulaires</v>
          </cell>
          <cell r="D1017" t="str">
            <v>ml</v>
          </cell>
        </row>
        <row r="1019">
          <cell r="C1019" t="str">
            <v>Diffuseur d'extraction</v>
          </cell>
          <cell r="D1019" t="str">
            <v>U</v>
          </cell>
        </row>
        <row r="1020">
          <cell r="C1020" t="str">
            <v xml:space="preserve">* marque </v>
          </cell>
        </row>
        <row r="1021">
          <cell r="C1021" t="str">
            <v>* type</v>
          </cell>
        </row>
        <row r="1023">
          <cell r="C1023" t="str">
            <v>Volet coupe-feu 2 H</v>
          </cell>
          <cell r="D1023" t="str">
            <v>U</v>
          </cell>
        </row>
        <row r="1024">
          <cell r="C1024" t="str">
            <v xml:space="preserve">* marque </v>
          </cell>
        </row>
        <row r="1025">
          <cell r="C1025" t="str">
            <v>* type</v>
          </cell>
        </row>
        <row r="1027">
          <cell r="C1027" t="str">
            <v>Extracteur chambre claire (y compris protection électrique et boîtier marche-arrêt)</v>
          </cell>
          <cell r="D1027" t="str">
            <v>Ens</v>
          </cell>
          <cell r="E1027">
            <v>1</v>
          </cell>
        </row>
        <row r="1028">
          <cell r="C1028" t="str">
            <v xml:space="preserve">* marque </v>
          </cell>
        </row>
        <row r="1029">
          <cell r="C1029" t="str">
            <v>* type</v>
          </cell>
        </row>
        <row r="1030">
          <cell r="C1030" t="str">
            <v>* débit</v>
          </cell>
        </row>
        <row r="1031">
          <cell r="C1031" t="str">
            <v>(y compris réseau, diffuseur et grille de rejet)</v>
          </cell>
        </row>
        <row r="1033">
          <cell r="C1033" t="str">
            <v>Extracteur chambre noire (y compris protection électrique et boîtier marche-arrêt)</v>
          </cell>
          <cell r="D1033" t="str">
            <v>Ens</v>
          </cell>
          <cell r="E1033">
            <v>1</v>
          </cell>
        </row>
        <row r="1034">
          <cell r="C1034" t="str">
            <v xml:space="preserve">* marque </v>
          </cell>
        </row>
        <row r="1035">
          <cell r="C1035" t="str">
            <v>* type</v>
          </cell>
        </row>
        <row r="1036">
          <cell r="C1036" t="str">
            <v>* débit</v>
          </cell>
        </row>
        <row r="1037">
          <cell r="C1037" t="str">
            <v>(y compris réseau, diffuseur et grille de rejet)</v>
          </cell>
        </row>
        <row r="1039">
          <cell r="C1039" t="str">
            <v>Extracteur sanitaire (y compris protection électrique et boîtier marche-arrêt)</v>
          </cell>
          <cell r="D1039" t="str">
            <v xml:space="preserve">Ens </v>
          </cell>
          <cell r="E1039">
            <v>1</v>
          </cell>
        </row>
        <row r="1040">
          <cell r="C1040" t="str">
            <v xml:space="preserve">* marque </v>
          </cell>
        </row>
        <row r="1041">
          <cell r="C1041" t="str">
            <v>* type</v>
          </cell>
        </row>
        <row r="1042">
          <cell r="C1042" t="str">
            <v>* débit</v>
          </cell>
        </row>
        <row r="1043">
          <cell r="C1043" t="str">
            <v>(y compris réseau, diffuseur et grille de rejet)</v>
          </cell>
        </row>
        <row r="1045">
          <cell r="C1045" t="str">
            <v>Gaine d'extraction réseau sanitaires</v>
          </cell>
          <cell r="D1045" t="str">
            <v>Ens</v>
          </cell>
        </row>
        <row r="1047">
          <cell r="C1047" t="str">
            <v xml:space="preserve">Bouche d'extraction sanitaires </v>
          </cell>
          <cell r="D1047" t="str">
            <v>U</v>
          </cell>
        </row>
        <row r="1049">
          <cell r="C1049" t="str">
            <v>Cheminée en inox simple paroi de rejet locaux divers</v>
          </cell>
          <cell r="D1049" t="str">
            <v xml:space="preserve">Ens </v>
          </cell>
          <cell r="E1049">
            <v>1</v>
          </cell>
        </row>
        <row r="1050">
          <cell r="C1050" t="str">
            <v xml:space="preserve">* marque </v>
          </cell>
        </row>
        <row r="1051">
          <cell r="C1051" t="str">
            <v>* type</v>
          </cell>
        </row>
        <row r="1052">
          <cell r="C1052" t="str">
            <v>* diamètre</v>
          </cell>
        </row>
        <row r="1053">
          <cell r="C1053" t="str">
            <v>* hauteur</v>
          </cell>
        </row>
        <row r="1055">
          <cell r="C1055" t="str">
            <v>Flocage coupe-feu gaine générale d'extraction en aval de l'extracteur</v>
          </cell>
          <cell r="D1055" t="str">
            <v>m2</v>
          </cell>
        </row>
        <row r="1080">
          <cell r="B1080">
            <v>20</v>
          </cell>
          <cell r="C1080" t="str">
            <v>SOUS-TOTAL EXTRACTION LOCAUX DIVERS IMPRIMERIE</v>
          </cell>
        </row>
        <row r="1082">
          <cell r="B1082">
            <v>21</v>
          </cell>
          <cell r="C1082" t="str">
            <v>CTA ET EXTRACTEUR ATELIER IMPRIMERIE</v>
          </cell>
        </row>
        <row r="1084">
          <cell r="C1084" t="str">
            <v>Centrale d'air à débit constant avec caisson 3 voies (y compris équipements, régulation, capteurs, actionneurs, automate)</v>
          </cell>
        </row>
        <row r="1085">
          <cell r="C1085" t="str">
            <v xml:space="preserve">* marque </v>
          </cell>
          <cell r="D1085" t="str">
            <v>Ens</v>
          </cell>
          <cell r="E1085">
            <v>1</v>
          </cell>
        </row>
        <row r="1086">
          <cell r="C1086" t="str">
            <v>* type</v>
          </cell>
        </row>
        <row r="1087">
          <cell r="C1087" t="str">
            <v>* marque régulation</v>
          </cell>
          <cell r="D1087" t="str">
            <v>Ens</v>
          </cell>
          <cell r="E1087">
            <v>1</v>
          </cell>
        </row>
        <row r="1088">
          <cell r="C1088" t="str">
            <v>* type</v>
          </cell>
        </row>
        <row r="1090">
          <cell r="C1090" t="str">
            <v>Châssis mécano-soudé de supportage et d'entretien (y compris échelle d'accès et rambarde de protection)</v>
          </cell>
          <cell r="D1090" t="str">
            <v>Ens</v>
          </cell>
          <cell r="E1090">
            <v>1</v>
          </cell>
        </row>
        <row r="1092">
          <cell r="C1092" t="str">
            <v>Gaine de soufflage et de reprise</v>
          </cell>
        </row>
        <row r="1093">
          <cell r="C1093" t="str">
            <v>* rectangulaire</v>
          </cell>
          <cell r="D1093" t="str">
            <v>kg</v>
          </cell>
        </row>
        <row r="1094">
          <cell r="C1094" t="str">
            <v>* circulaire</v>
          </cell>
          <cell r="D1094" t="str">
            <v>ml</v>
          </cell>
        </row>
        <row r="1096">
          <cell r="C1096" t="str">
            <v>Diffuseurs de soufflage</v>
          </cell>
          <cell r="D1096" t="str">
            <v>Ens</v>
          </cell>
          <cell r="E1096">
            <v>1</v>
          </cell>
        </row>
        <row r="1097">
          <cell r="C1097" t="str">
            <v xml:space="preserve">* marque </v>
          </cell>
        </row>
        <row r="1098">
          <cell r="C1098" t="str">
            <v>* type</v>
          </cell>
        </row>
        <row r="1100">
          <cell r="C1100" t="str">
            <v>Diffuseurs d'extraction</v>
          </cell>
          <cell r="D1100" t="str">
            <v>Ens</v>
          </cell>
          <cell r="E1100">
            <v>1</v>
          </cell>
        </row>
        <row r="1101">
          <cell r="C1101" t="str">
            <v>* marque</v>
          </cell>
        </row>
        <row r="1102">
          <cell r="C1102" t="str">
            <v>* type</v>
          </cell>
        </row>
        <row r="1104">
          <cell r="C1104" t="str">
            <v>Volets coupe-feu 2 H</v>
          </cell>
          <cell r="D1104" t="str">
            <v>U</v>
          </cell>
        </row>
        <row r="1105">
          <cell r="C1105" t="str">
            <v>* marque</v>
          </cell>
        </row>
        <row r="1106">
          <cell r="C1106" t="str">
            <v>* type</v>
          </cell>
        </row>
        <row r="1108">
          <cell r="C1108" t="str">
            <v>Extracteur Atelier IMPRIMERIE</v>
          </cell>
          <cell r="D1108" t="str">
            <v>Ens</v>
          </cell>
          <cell r="E1108">
            <v>1</v>
          </cell>
        </row>
        <row r="1109">
          <cell r="C1109" t="str">
            <v>* marque</v>
          </cell>
        </row>
        <row r="1110">
          <cell r="C1110" t="str">
            <v>* type</v>
          </cell>
        </row>
        <row r="1111">
          <cell r="C1111" t="str">
            <v>* débit</v>
          </cell>
        </row>
        <row r="1113">
          <cell r="C1113" t="str">
            <v>Gaine d'extraction Atelier</v>
          </cell>
        </row>
        <row r="1114">
          <cell r="C1114" t="str">
            <v>* rectangulaire</v>
          </cell>
          <cell r="D1114" t="str">
            <v>Kg</v>
          </cell>
        </row>
        <row r="1115">
          <cell r="C1115" t="str">
            <v>* circulaire</v>
          </cell>
          <cell r="D1115" t="str">
            <v>ml</v>
          </cell>
        </row>
        <row r="1117">
          <cell r="C1117" t="str">
            <v>Piquage en attente pour extractions ultérieures</v>
          </cell>
          <cell r="D1117" t="str">
            <v>Ens</v>
          </cell>
          <cell r="E1117">
            <v>1</v>
          </cell>
        </row>
        <row r="1119">
          <cell r="C1119" t="str">
            <v>Châssis mécano-soudé de support et d'entretien (y compris échelle d'accès et rambarde de protection)</v>
          </cell>
          <cell r="D1119" t="str">
            <v>Ens</v>
          </cell>
          <cell r="E1119">
            <v>1</v>
          </cell>
        </row>
        <row r="1121">
          <cell r="C1121" t="str">
            <v>Flocage coupe-feu gaine d'extraction</v>
          </cell>
          <cell r="D1121" t="str">
            <v>m2</v>
          </cell>
        </row>
        <row r="1123">
          <cell r="C1123" t="str">
            <v>Armoire électrique des deux extracteurs (mise en œuvre dans l'atelier)</v>
          </cell>
          <cell r="D1123" t="str">
            <v>Ens</v>
          </cell>
          <cell r="E1123">
            <v>1</v>
          </cell>
        </row>
        <row r="1125">
          <cell r="C1125" t="str">
            <v>Armoire électrique des 2 CTA IMPRIMERIE (mise en œuvre dans LT GF)</v>
          </cell>
          <cell r="D1125" t="str">
            <v>Ens</v>
          </cell>
          <cell r="E1125">
            <v>1</v>
          </cell>
        </row>
        <row r="1144">
          <cell r="B1144">
            <v>21</v>
          </cell>
          <cell r="C1144" t="str">
            <v>SOUS-TOTAL CTA ET EXTRACTEUR ATELIER IMPRIMERIE</v>
          </cell>
        </row>
        <row r="1146">
          <cell r="B1146">
            <v>22</v>
          </cell>
          <cell r="C1146" t="str">
            <v xml:space="preserve">TRAITEMENT DES LOCAUX PAR VC PLAFONNIERS, SPLIT SYSTEME ET CORPS DE CHAUFFE </v>
          </cell>
        </row>
        <row r="1148">
          <cell r="C1148" t="str">
            <v>Ventilo-convecteurs plafonnier carrossé avec plénum de soufflage et de reprise (y compris régulation, régulateur…)</v>
          </cell>
        </row>
        <row r="1149">
          <cell r="C1149" t="str">
            <v xml:space="preserve">* marque </v>
          </cell>
          <cell r="D1149" t="str">
            <v>Ens</v>
          </cell>
          <cell r="E1149">
            <v>1</v>
          </cell>
        </row>
        <row r="1150">
          <cell r="C1150" t="str">
            <v>* type</v>
          </cell>
        </row>
        <row r="1151">
          <cell r="C1151" t="str">
            <v>* marque régulation</v>
          </cell>
          <cell r="D1151" t="str">
            <v>Ens</v>
          </cell>
          <cell r="E1151">
            <v>1</v>
          </cell>
        </row>
        <row r="1152">
          <cell r="C1152" t="str">
            <v>* type</v>
          </cell>
        </row>
        <row r="1154">
          <cell r="C1154" t="str">
            <v>Split système pour traitement du local chauffeurs</v>
          </cell>
          <cell r="D1154" t="str">
            <v>U</v>
          </cell>
        </row>
        <row r="1155">
          <cell r="C1155" t="str">
            <v xml:space="preserve">* marque </v>
          </cell>
        </row>
        <row r="1156">
          <cell r="C1156" t="str">
            <v>* type</v>
          </cell>
        </row>
        <row r="1158">
          <cell r="C1158" t="str">
            <v>Concentrateur et bus reliant les différents VC pour programmation fonctionnement journalier, hebdomadaire, occupation - inoccupation….</v>
          </cell>
          <cell r="D1158" t="str">
            <v>Ens</v>
          </cell>
        </row>
        <row r="1160">
          <cell r="C1160" t="str">
            <v>Corps de chauffe IMPRIMERIE</v>
          </cell>
        </row>
        <row r="1161">
          <cell r="C1161" t="str">
            <v xml:space="preserve">* marque </v>
          </cell>
        </row>
        <row r="1162">
          <cell r="C1162" t="str">
            <v>* type</v>
          </cell>
        </row>
        <row r="1163">
          <cell r="C1163" t="str">
            <v>(y compris robinet thermostatique et té de réglage)</v>
          </cell>
        </row>
        <row r="1178">
          <cell r="B1178">
            <v>22</v>
          </cell>
          <cell r="C1178" t="str">
            <v xml:space="preserve">SOUS-TOTAL TRAITEMENT DES LOCAUX PAR VC PLAFONNIERS, SPLIT SYSTEME ET CORPS DE CHAUFFE </v>
          </cell>
        </row>
        <row r="1180">
          <cell r="B1180">
            <v>23</v>
          </cell>
          <cell r="C1180" t="str">
            <v>RESEAU EAU GLACEE ET RESEAU CONSTANT DANS BATIMENT IMPRIMERIE</v>
          </cell>
        </row>
        <row r="1182">
          <cell r="C1182" t="str">
            <v>Ensemble du réseau eau glacée se distribuant dans le local IMPRIMERIE</v>
          </cell>
          <cell r="D1182" t="str">
            <v>Ens</v>
          </cell>
          <cell r="E1182">
            <v>1</v>
          </cell>
        </row>
        <row r="1183">
          <cell r="C1183" t="str">
            <v>(y compris calorifuge et protection ISOXAL en LT GF)</v>
          </cell>
        </row>
        <row r="1185">
          <cell r="C1185" t="str">
            <v>Ensemble du réseau chauffage constant CTA (80° C / 60° C)</v>
          </cell>
          <cell r="D1185" t="str">
            <v>Ens</v>
          </cell>
          <cell r="E1185">
            <v>1</v>
          </cell>
        </row>
        <row r="1186">
          <cell r="C1186" t="str">
            <v>(y compris calorifuge, cordon chauffant anti-gel pour les parties extérieures et ISOXAL lors du passage en LT eau glacée)</v>
          </cell>
        </row>
        <row r="1198">
          <cell r="B1198">
            <v>23</v>
          </cell>
          <cell r="C1198" t="str">
            <v>SOUS-TOTAL RESEAU EAU GLACEE ET RESEAU CONSTANT DANS BATIMENT IMPRIMERIE</v>
          </cell>
        </row>
        <row r="1200">
          <cell r="B1200">
            <v>24</v>
          </cell>
          <cell r="C1200" t="str">
            <v xml:space="preserve">TUYAUTERIES DE LIAISON ENTRE LES DIFFERENTS BATIMENTS </v>
          </cell>
        </row>
        <row r="1202">
          <cell r="C1202" t="str">
            <v>Ensemble des tuyauteries Eau chauffage enterrées entre le bâtiment Restauration et le bâtiment Ecole</v>
          </cell>
          <cell r="D1202" t="str">
            <v>Ens</v>
          </cell>
          <cell r="E1202">
            <v>1</v>
          </cell>
        </row>
        <row r="1203">
          <cell r="C1203" t="str">
            <v xml:space="preserve">* marque </v>
          </cell>
        </row>
        <row r="1204">
          <cell r="C1204" t="str">
            <v>* type</v>
          </cell>
        </row>
        <row r="1206">
          <cell r="C1206" t="str">
            <v>Tuyauterie eau chauffage circuit constant 80° C / 60° C entre le bâtiment Ecole et le bâtiment Imprimerie</v>
          </cell>
          <cell r="D1206" t="str">
            <v>Ens</v>
          </cell>
          <cell r="E1206">
            <v>1</v>
          </cell>
        </row>
        <row r="1207">
          <cell r="C1207" t="str">
            <v xml:space="preserve">* marque </v>
          </cell>
        </row>
        <row r="1208">
          <cell r="C1208" t="str">
            <v>* type</v>
          </cell>
        </row>
        <row r="1214">
          <cell r="B1214">
            <v>24</v>
          </cell>
          <cell r="C1214" t="str">
            <v xml:space="preserve">SOUS-TOTAL TUYAUTERIES DE LIAISON ENTRE LES DIFFERENTS BATIMENTS </v>
          </cell>
        </row>
        <row r="1216">
          <cell r="B1216">
            <v>25</v>
          </cell>
          <cell r="C1216" t="str">
            <v>OPTION 13</v>
          </cell>
        </row>
        <row r="1217">
          <cell r="C1217" t="str">
            <v>LOGICIEL et portable pour contrôler le fonctionnement des installations</v>
          </cell>
        </row>
        <row r="1218">
          <cell r="C1218" t="str">
            <v>Mise à disposition d'un portable équipé du logiciel LX + (marque SAUTER ou techniquement équivalent)</v>
          </cell>
          <cell r="D1218" t="str">
            <v>U</v>
          </cell>
        </row>
        <row r="1220">
          <cell r="C1220" t="str">
            <v>Liste des points gérés par le logiciel</v>
          </cell>
          <cell r="D1220" t="str">
            <v>Ens</v>
          </cell>
          <cell r="E1220">
            <v>1</v>
          </cell>
        </row>
        <row r="1222">
          <cell r="C1222" t="str">
            <v>Programmation de tous les points gérés par le logiciel de maintenance</v>
          </cell>
          <cell r="D1222" t="str">
            <v>Ens</v>
          </cell>
          <cell r="E1222">
            <v>1</v>
          </cell>
        </row>
        <row r="1234">
          <cell r="B1234">
            <v>25</v>
          </cell>
          <cell r="C1234" t="str">
            <v>SOUS-TOTAL OPTION 13 LOGICIEL ET PORTABLE MAINTENANCE</v>
          </cell>
        </row>
        <row r="1236">
          <cell r="B1236">
            <v>26</v>
          </cell>
          <cell r="C1236" t="str">
            <v>CHAUFFAGE ET VMC DES DEUX MAISONS INDIVIDUELLES ET DU LOGMENT GARDIEN</v>
          </cell>
        </row>
        <row r="1237">
          <cell r="C1237" t="str">
            <v>Chaudières GAZ murale à ventouse et ballon d'ECS</v>
          </cell>
        </row>
        <row r="1238">
          <cell r="C1238" t="str">
            <v xml:space="preserve">* marque </v>
          </cell>
        </row>
        <row r="1239">
          <cell r="C1239" t="str">
            <v>* type</v>
          </cell>
          <cell r="D1239" t="str">
            <v>Ens</v>
          </cell>
        </row>
        <row r="1240">
          <cell r="C1240" t="str">
            <v>* type</v>
          </cell>
          <cell r="D1240" t="str">
            <v>Ens</v>
          </cell>
        </row>
        <row r="1241">
          <cell r="C1241" t="str">
            <v>(Y compris alimentation GAZ, ventouse, raccordement électrique…)</v>
          </cell>
        </row>
        <row r="1243">
          <cell r="C1243" t="str">
            <v>Distribution tube cuivre noyé en dalle (y compris collecteur d'alimentation et d'isolement)</v>
          </cell>
          <cell r="D1243" t="str">
            <v>Ens</v>
          </cell>
          <cell r="E1243">
            <v>1</v>
          </cell>
        </row>
        <row r="1245">
          <cell r="C1245" t="str">
            <v>Radiateurs</v>
          </cell>
        </row>
        <row r="1246">
          <cell r="C1246" t="str">
            <v xml:space="preserve">* marque </v>
          </cell>
        </row>
        <row r="1247">
          <cell r="C1247" t="str">
            <v>* type</v>
          </cell>
        </row>
        <row r="1248">
          <cell r="C1248" t="str">
            <v>(y compris robinets thermostatique et tés de réglage)</v>
          </cell>
          <cell r="D1248" t="str">
            <v>Ens</v>
          </cell>
          <cell r="E1248">
            <v>1</v>
          </cell>
        </row>
        <row r="1250">
          <cell r="C1250" t="str">
            <v>Extracteur de VMC individuelle</v>
          </cell>
        </row>
        <row r="1251">
          <cell r="C1251" t="str">
            <v xml:space="preserve">* marque </v>
          </cell>
        </row>
        <row r="1252">
          <cell r="C1252" t="str">
            <v>* type</v>
          </cell>
          <cell r="D1252" t="str">
            <v>U</v>
          </cell>
        </row>
        <row r="1253">
          <cell r="C1253" t="str">
            <v>* type</v>
          </cell>
          <cell r="D1253" t="str">
            <v>U</v>
          </cell>
        </row>
        <row r="1255">
          <cell r="C1255" t="str">
            <v>Gaines de liaison (y compris piège à son et grille de rejet d'air)</v>
          </cell>
          <cell r="D1255" t="str">
            <v>Ens</v>
          </cell>
          <cell r="E1255">
            <v>1</v>
          </cell>
        </row>
        <row r="1257">
          <cell r="C1257" t="str">
            <v>Bouche d'extraction autoréglables</v>
          </cell>
          <cell r="D1257" t="str">
            <v>Ens</v>
          </cell>
          <cell r="E1257">
            <v>1</v>
          </cell>
        </row>
        <row r="1259">
          <cell r="C1259" t="str">
            <v>Bouche d'entrée d'air</v>
          </cell>
          <cell r="D1259" t="str">
            <v>Ens</v>
          </cell>
          <cell r="E1259">
            <v>1</v>
          </cell>
        </row>
      </sheetData>
      <sheetData sheetId="1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RECAP"/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outlinePr summaryBelow="0" summaryRight="0"/>
  </sheetPr>
  <dimension ref="A1:CI20"/>
  <sheetViews>
    <sheetView workbookViewId="0">
      <selection activeCell="O13" sqref="O13"/>
    </sheetView>
  </sheetViews>
  <sheetFormatPr baseColWidth="10" defaultRowHeight="11.25" outlineLevelRow="2"/>
  <cols>
    <col min="1" max="1" width="4.28515625" style="8" bestFit="1" customWidth="1"/>
    <col min="2" max="2" width="8.7109375" style="8" customWidth="1"/>
    <col min="3" max="3" width="20.140625" style="8" customWidth="1"/>
    <col min="4" max="4" width="5.5703125" style="8" customWidth="1"/>
    <col min="5" max="5" width="8.7109375" style="8" hidden="1" customWidth="1"/>
    <col min="6" max="6" width="6.42578125" style="8" hidden="1" customWidth="1"/>
    <col min="7" max="7" width="8.42578125" style="8" hidden="1" customWidth="1"/>
    <col min="8" max="8" width="7" style="8" bestFit="1" customWidth="1"/>
    <col min="9" max="9" width="7.85546875" style="8" customWidth="1"/>
    <col min="10" max="10" width="7" style="8" bestFit="1" customWidth="1"/>
    <col min="11" max="11" width="6.85546875" style="8" customWidth="1"/>
    <col min="12" max="83" width="2.5703125" style="8" customWidth="1"/>
    <col min="84" max="16384" width="11.42578125" style="8"/>
  </cols>
  <sheetData>
    <row r="1" spans="1:87" ht="15.75">
      <c r="A1" s="34"/>
      <c r="B1" s="21"/>
      <c r="C1" s="21"/>
      <c r="D1" s="21"/>
      <c r="E1" s="21"/>
      <c r="F1" s="22"/>
      <c r="G1" s="7" t="s">
        <v>518</v>
      </c>
      <c r="H1" s="866">
        <v>41030</v>
      </c>
      <c r="I1" s="866"/>
      <c r="J1" s="7"/>
      <c r="K1" s="7"/>
      <c r="L1" s="11"/>
    </row>
    <row r="2" spans="1:87" ht="12.75">
      <c r="A2" s="35" t="s">
        <v>488</v>
      </c>
      <c r="B2" s="23"/>
      <c r="C2" s="23"/>
      <c r="D2" s="23"/>
      <c r="E2" s="23"/>
      <c r="F2" s="24"/>
      <c r="G2" s="505"/>
      <c r="H2" s="10"/>
      <c r="I2" s="10"/>
      <c r="J2" s="10"/>
      <c r="K2" s="10"/>
      <c r="L2" s="11"/>
    </row>
    <row r="3" spans="1:87">
      <c r="A3" s="13" t="s">
        <v>517</v>
      </c>
      <c r="B3" s="13"/>
      <c r="L3" s="11"/>
    </row>
    <row r="4" spans="1:87">
      <c r="A4" s="12">
        <v>1</v>
      </c>
      <c r="B4" s="12"/>
      <c r="L4" s="11"/>
      <c r="O4" s="8" t="s">
        <v>486</v>
      </c>
    </row>
    <row r="5" spans="1:87">
      <c r="A5" s="12">
        <v>2</v>
      </c>
      <c r="B5" s="12"/>
      <c r="L5" s="11"/>
    </row>
    <row r="6" spans="1:87">
      <c r="A6" s="12">
        <v>3</v>
      </c>
      <c r="B6" s="12"/>
      <c r="L6" s="11"/>
    </row>
    <row r="7" spans="1:87">
      <c r="A7" s="12">
        <v>4</v>
      </c>
      <c r="B7" s="12"/>
      <c r="L7" s="11"/>
    </row>
    <row r="8" spans="1:87">
      <c r="A8" s="12">
        <v>5</v>
      </c>
      <c r="B8" s="12"/>
      <c r="L8" s="11"/>
    </row>
    <row r="9" spans="1:87">
      <c r="A9" s="12">
        <v>6</v>
      </c>
      <c r="B9" s="12"/>
      <c r="L9" s="11"/>
    </row>
    <row r="10" spans="1:87">
      <c r="A10" s="12">
        <v>7</v>
      </c>
      <c r="B10" s="12"/>
      <c r="L10" s="11"/>
    </row>
    <row r="11" spans="1:87" ht="47.25" hidden="1">
      <c r="A11" s="6"/>
      <c r="B11" s="7"/>
      <c r="C11" s="7"/>
      <c r="D11" s="7"/>
      <c r="E11" s="7"/>
      <c r="F11" s="7"/>
      <c r="G11" s="7"/>
      <c r="H11" s="7"/>
      <c r="I11" s="7"/>
      <c r="J11" s="7"/>
      <c r="K11" s="18"/>
      <c r="L11" s="472">
        <f>H1</f>
        <v>41030</v>
      </c>
      <c r="M11" s="479">
        <f>4+DATE(YEAR(L11),MONTH(L11),28)</f>
        <v>41061</v>
      </c>
      <c r="N11" s="479">
        <f t="shared" ref="N11:S11" si="0">4+DATE(YEAR(M11),MONTH(M11),28)</f>
        <v>41092</v>
      </c>
      <c r="O11" s="479">
        <f t="shared" si="0"/>
        <v>41122</v>
      </c>
      <c r="P11" s="479">
        <f t="shared" si="0"/>
        <v>41153</v>
      </c>
      <c r="Q11" s="479">
        <f t="shared" si="0"/>
        <v>41184</v>
      </c>
      <c r="R11" s="479">
        <f t="shared" si="0"/>
        <v>41214</v>
      </c>
      <c r="S11" s="479">
        <f t="shared" si="0"/>
        <v>41245</v>
      </c>
      <c r="T11" s="479">
        <f t="shared" ref="T11:BY11" si="1">4+DATE(YEAR(S11),MONTH(S11),28)</f>
        <v>41275</v>
      </c>
      <c r="U11" s="479">
        <f t="shared" si="1"/>
        <v>41306</v>
      </c>
      <c r="V11" s="485">
        <f t="shared" si="1"/>
        <v>41337</v>
      </c>
      <c r="W11" s="472">
        <f t="shared" si="1"/>
        <v>41365</v>
      </c>
      <c r="X11" s="479">
        <f t="shared" si="1"/>
        <v>41396</v>
      </c>
      <c r="Y11" s="479">
        <f t="shared" si="1"/>
        <v>41426</v>
      </c>
      <c r="Z11" s="479">
        <f t="shared" si="1"/>
        <v>41457</v>
      </c>
      <c r="AA11" s="479">
        <f t="shared" si="1"/>
        <v>41487</v>
      </c>
      <c r="AB11" s="479">
        <f t="shared" si="1"/>
        <v>41518</v>
      </c>
      <c r="AC11" s="479">
        <f t="shared" si="1"/>
        <v>41549</v>
      </c>
      <c r="AD11" s="479">
        <f t="shared" si="1"/>
        <v>41579</v>
      </c>
      <c r="AE11" s="479">
        <f t="shared" si="1"/>
        <v>41610</v>
      </c>
      <c r="AF11" s="479">
        <f t="shared" si="1"/>
        <v>41640</v>
      </c>
      <c r="AG11" s="479">
        <f t="shared" si="1"/>
        <v>41671</v>
      </c>
      <c r="AH11" s="485">
        <f t="shared" si="1"/>
        <v>41702</v>
      </c>
      <c r="AI11" s="472">
        <f t="shared" si="1"/>
        <v>41730</v>
      </c>
      <c r="AJ11" s="479">
        <f t="shared" si="1"/>
        <v>41761</v>
      </c>
      <c r="AK11" s="479">
        <f t="shared" si="1"/>
        <v>41791</v>
      </c>
      <c r="AL11" s="479">
        <f t="shared" si="1"/>
        <v>41822</v>
      </c>
      <c r="AM11" s="479">
        <f t="shared" si="1"/>
        <v>41852</v>
      </c>
      <c r="AN11" s="479">
        <f t="shared" si="1"/>
        <v>41883</v>
      </c>
      <c r="AO11" s="479">
        <f t="shared" si="1"/>
        <v>41914</v>
      </c>
      <c r="AP11" s="479">
        <f t="shared" si="1"/>
        <v>41944</v>
      </c>
      <c r="AQ11" s="479">
        <f t="shared" si="1"/>
        <v>41975</v>
      </c>
      <c r="AR11" s="479">
        <f t="shared" si="1"/>
        <v>42005</v>
      </c>
      <c r="AS11" s="479">
        <f t="shared" si="1"/>
        <v>42036</v>
      </c>
      <c r="AT11" s="485">
        <f t="shared" si="1"/>
        <v>42067</v>
      </c>
      <c r="AU11" s="472">
        <f t="shared" si="1"/>
        <v>42095</v>
      </c>
      <c r="AV11" s="479">
        <f t="shared" si="1"/>
        <v>42126</v>
      </c>
      <c r="AW11" s="479">
        <f t="shared" si="1"/>
        <v>42156</v>
      </c>
      <c r="AX11" s="479">
        <f t="shared" si="1"/>
        <v>42187</v>
      </c>
      <c r="AY11" s="479">
        <f t="shared" si="1"/>
        <v>42217</v>
      </c>
      <c r="AZ11" s="479">
        <f t="shared" si="1"/>
        <v>42248</v>
      </c>
      <c r="BA11" s="479">
        <f t="shared" si="1"/>
        <v>42279</v>
      </c>
      <c r="BB11" s="479">
        <f t="shared" si="1"/>
        <v>42309</v>
      </c>
      <c r="BC11" s="479">
        <f t="shared" si="1"/>
        <v>42340</v>
      </c>
      <c r="BD11" s="479">
        <f t="shared" si="1"/>
        <v>42370</v>
      </c>
      <c r="BE11" s="479">
        <f t="shared" si="1"/>
        <v>42401</v>
      </c>
      <c r="BF11" s="485">
        <f t="shared" si="1"/>
        <v>42432</v>
      </c>
      <c r="BG11" s="472">
        <f t="shared" si="1"/>
        <v>42461</v>
      </c>
      <c r="BH11" s="479">
        <f t="shared" si="1"/>
        <v>42492</v>
      </c>
      <c r="BI11" s="479">
        <f t="shared" si="1"/>
        <v>42522</v>
      </c>
      <c r="BJ11" s="479">
        <f t="shared" si="1"/>
        <v>42553</v>
      </c>
      <c r="BK11" s="479">
        <f t="shared" si="1"/>
        <v>42583</v>
      </c>
      <c r="BL11" s="479">
        <f t="shared" si="1"/>
        <v>42614</v>
      </c>
      <c r="BM11" s="479">
        <f t="shared" si="1"/>
        <v>42645</v>
      </c>
      <c r="BN11" s="479">
        <f t="shared" si="1"/>
        <v>42675</v>
      </c>
      <c r="BO11" s="479">
        <f t="shared" si="1"/>
        <v>42706</v>
      </c>
      <c r="BP11" s="479">
        <f t="shared" si="1"/>
        <v>42736</v>
      </c>
      <c r="BQ11" s="479">
        <f t="shared" si="1"/>
        <v>42767</v>
      </c>
      <c r="BR11" s="485">
        <f t="shared" si="1"/>
        <v>42798</v>
      </c>
      <c r="BS11" s="472">
        <f t="shared" si="1"/>
        <v>42826</v>
      </c>
      <c r="BT11" s="479">
        <f t="shared" si="1"/>
        <v>42857</v>
      </c>
      <c r="BU11" s="479">
        <f t="shared" si="1"/>
        <v>42887</v>
      </c>
      <c r="BV11" s="479">
        <f t="shared" si="1"/>
        <v>42918</v>
      </c>
      <c r="BW11" s="479">
        <f t="shared" si="1"/>
        <v>42948</v>
      </c>
      <c r="BX11" s="479">
        <f t="shared" si="1"/>
        <v>42979</v>
      </c>
      <c r="BY11" s="479">
        <f t="shared" si="1"/>
        <v>43010</v>
      </c>
      <c r="BZ11" s="479">
        <f t="shared" ref="BZ11:CE11" si="2">4+DATE(YEAR(BY11),MONTH(BY11),28)</f>
        <v>43040</v>
      </c>
      <c r="CA11" s="479">
        <f t="shared" si="2"/>
        <v>43071</v>
      </c>
      <c r="CB11" s="479">
        <f t="shared" si="2"/>
        <v>43101</v>
      </c>
      <c r="CC11" s="479">
        <f t="shared" si="2"/>
        <v>43132</v>
      </c>
      <c r="CD11" s="485">
        <f t="shared" si="2"/>
        <v>43163</v>
      </c>
      <c r="CE11" s="539">
        <f t="shared" si="2"/>
        <v>43191</v>
      </c>
      <c r="CF11" s="496"/>
    </row>
    <row r="12" spans="1:87">
      <c r="A12" s="6"/>
      <c r="B12" s="7"/>
      <c r="C12" s="7"/>
      <c r="D12" s="7"/>
      <c r="E12" s="7"/>
      <c r="F12" s="7"/>
      <c r="G12" s="7"/>
      <c r="H12" s="7"/>
      <c r="I12" s="7"/>
      <c r="J12" s="7"/>
      <c r="K12" s="13" t="s">
        <v>515</v>
      </c>
      <c r="L12" s="6">
        <f>IF(YEAR(K11)=YEAR(L11),"",YEAR(L11))</f>
        <v>2012</v>
      </c>
      <c r="M12" s="16" t="str">
        <f t="shared" ref="M12:BX12" si="3">IF(YEAR(L11)=YEAR(M11),"",YEAR(M11))</f>
        <v/>
      </c>
      <c r="N12" s="16" t="str">
        <f t="shared" si="3"/>
        <v/>
      </c>
      <c r="O12" s="16" t="str">
        <f t="shared" si="3"/>
        <v/>
      </c>
      <c r="P12" s="16" t="str">
        <f t="shared" si="3"/>
        <v/>
      </c>
      <c r="Q12" s="16" t="str">
        <f t="shared" si="3"/>
        <v/>
      </c>
      <c r="R12" s="16" t="str">
        <f t="shared" si="3"/>
        <v/>
      </c>
      <c r="S12" s="16" t="str">
        <f t="shared" si="3"/>
        <v/>
      </c>
      <c r="T12" s="16">
        <f t="shared" si="3"/>
        <v>2013</v>
      </c>
      <c r="U12" s="16" t="str">
        <f t="shared" si="3"/>
        <v/>
      </c>
      <c r="V12" s="488" t="str">
        <f t="shared" si="3"/>
        <v/>
      </c>
      <c r="W12" s="6" t="str">
        <f t="shared" si="3"/>
        <v/>
      </c>
      <c r="X12" s="16" t="str">
        <f t="shared" si="3"/>
        <v/>
      </c>
      <c r="Y12" s="16" t="str">
        <f t="shared" si="3"/>
        <v/>
      </c>
      <c r="Z12" s="16" t="str">
        <f t="shared" si="3"/>
        <v/>
      </c>
      <c r="AA12" s="16" t="str">
        <f t="shared" si="3"/>
        <v/>
      </c>
      <c r="AB12" s="16" t="str">
        <f t="shared" si="3"/>
        <v/>
      </c>
      <c r="AC12" s="16" t="str">
        <f t="shared" si="3"/>
        <v/>
      </c>
      <c r="AD12" s="16" t="str">
        <f t="shared" si="3"/>
        <v/>
      </c>
      <c r="AE12" s="16" t="str">
        <f t="shared" si="3"/>
        <v/>
      </c>
      <c r="AF12" s="16">
        <f t="shared" si="3"/>
        <v>2014</v>
      </c>
      <c r="AG12" s="16" t="str">
        <f t="shared" si="3"/>
        <v/>
      </c>
      <c r="AH12" s="488" t="str">
        <f t="shared" si="3"/>
        <v/>
      </c>
      <c r="AI12" s="6" t="str">
        <f t="shared" si="3"/>
        <v/>
      </c>
      <c r="AJ12" s="16" t="str">
        <f t="shared" si="3"/>
        <v/>
      </c>
      <c r="AK12" s="16" t="str">
        <f t="shared" si="3"/>
        <v/>
      </c>
      <c r="AL12" s="16" t="str">
        <f t="shared" si="3"/>
        <v/>
      </c>
      <c r="AM12" s="16" t="str">
        <f t="shared" si="3"/>
        <v/>
      </c>
      <c r="AN12" s="16" t="str">
        <f t="shared" si="3"/>
        <v/>
      </c>
      <c r="AO12" s="16" t="str">
        <f t="shared" si="3"/>
        <v/>
      </c>
      <c r="AP12" s="16" t="str">
        <f t="shared" si="3"/>
        <v/>
      </c>
      <c r="AQ12" s="16" t="str">
        <f t="shared" si="3"/>
        <v/>
      </c>
      <c r="AR12" s="16">
        <f t="shared" si="3"/>
        <v>2015</v>
      </c>
      <c r="AS12" s="16" t="str">
        <f t="shared" si="3"/>
        <v/>
      </c>
      <c r="AT12" s="488" t="str">
        <f t="shared" si="3"/>
        <v/>
      </c>
      <c r="AU12" s="6" t="str">
        <f t="shared" si="3"/>
        <v/>
      </c>
      <c r="AV12" s="16" t="str">
        <f t="shared" si="3"/>
        <v/>
      </c>
      <c r="AW12" s="16" t="str">
        <f t="shared" si="3"/>
        <v/>
      </c>
      <c r="AX12" s="16" t="str">
        <f t="shared" si="3"/>
        <v/>
      </c>
      <c r="AY12" s="16" t="str">
        <f t="shared" si="3"/>
        <v/>
      </c>
      <c r="AZ12" s="16" t="str">
        <f t="shared" si="3"/>
        <v/>
      </c>
      <c r="BA12" s="16" t="str">
        <f t="shared" si="3"/>
        <v/>
      </c>
      <c r="BB12" s="16" t="str">
        <f t="shared" si="3"/>
        <v/>
      </c>
      <c r="BC12" s="16" t="str">
        <f t="shared" si="3"/>
        <v/>
      </c>
      <c r="BD12" s="16">
        <f t="shared" si="3"/>
        <v>2016</v>
      </c>
      <c r="BE12" s="16" t="str">
        <f t="shared" si="3"/>
        <v/>
      </c>
      <c r="BF12" s="488" t="str">
        <f t="shared" si="3"/>
        <v/>
      </c>
      <c r="BG12" s="6" t="str">
        <f t="shared" si="3"/>
        <v/>
      </c>
      <c r="BH12" s="16" t="str">
        <f t="shared" si="3"/>
        <v/>
      </c>
      <c r="BI12" s="16" t="str">
        <f t="shared" si="3"/>
        <v/>
      </c>
      <c r="BJ12" s="16" t="str">
        <f t="shared" si="3"/>
        <v/>
      </c>
      <c r="BK12" s="16" t="str">
        <f t="shared" si="3"/>
        <v/>
      </c>
      <c r="BL12" s="16" t="str">
        <f t="shared" si="3"/>
        <v/>
      </c>
      <c r="BM12" s="16" t="str">
        <f t="shared" si="3"/>
        <v/>
      </c>
      <c r="BN12" s="16" t="str">
        <f t="shared" si="3"/>
        <v/>
      </c>
      <c r="BO12" s="16" t="str">
        <f t="shared" si="3"/>
        <v/>
      </c>
      <c r="BP12" s="16">
        <f t="shared" si="3"/>
        <v>2017</v>
      </c>
      <c r="BQ12" s="16" t="str">
        <f t="shared" si="3"/>
        <v/>
      </c>
      <c r="BR12" s="488" t="str">
        <f t="shared" si="3"/>
        <v/>
      </c>
      <c r="BS12" s="6" t="str">
        <f t="shared" si="3"/>
        <v/>
      </c>
      <c r="BT12" s="16" t="str">
        <f t="shared" si="3"/>
        <v/>
      </c>
      <c r="BU12" s="16" t="str">
        <f t="shared" si="3"/>
        <v/>
      </c>
      <c r="BV12" s="16" t="str">
        <f t="shared" si="3"/>
        <v/>
      </c>
      <c r="BW12" s="16" t="str">
        <f t="shared" si="3"/>
        <v/>
      </c>
      <c r="BX12" s="16" t="str">
        <f t="shared" si="3"/>
        <v/>
      </c>
      <c r="BY12" s="16" t="str">
        <f t="shared" ref="BY12:CE12" si="4">IF(YEAR(BX11)=YEAR(BY11),"",YEAR(BY11))</f>
        <v/>
      </c>
      <c r="BZ12" s="16" t="str">
        <f t="shared" si="4"/>
        <v/>
      </c>
      <c r="CA12" s="16" t="str">
        <f t="shared" si="4"/>
        <v/>
      </c>
      <c r="CB12" s="16">
        <f t="shared" si="4"/>
        <v>2018</v>
      </c>
      <c r="CC12" s="16" t="str">
        <f t="shared" si="4"/>
        <v/>
      </c>
      <c r="CD12" s="488" t="str">
        <f t="shared" si="4"/>
        <v/>
      </c>
      <c r="CE12" s="541" t="str">
        <f t="shared" si="4"/>
        <v/>
      </c>
      <c r="CF12" s="496"/>
    </row>
    <row r="13" spans="1:87" s="790" customFormat="1" ht="32.25" customHeight="1">
      <c r="A13" s="782"/>
      <c r="B13" s="783"/>
      <c r="C13" s="783"/>
      <c r="D13" s="783"/>
      <c r="E13" s="783"/>
      <c r="F13" s="783"/>
      <c r="G13" s="783"/>
      <c r="H13" s="783"/>
      <c r="I13" s="783"/>
      <c r="J13" s="783"/>
      <c r="K13" s="784" t="s">
        <v>514</v>
      </c>
      <c r="L13" s="785">
        <f>L11</f>
        <v>41030</v>
      </c>
      <c r="M13" s="786">
        <f t="shared" ref="M13:BX13" si="5">M11</f>
        <v>41061</v>
      </c>
      <c r="N13" s="786">
        <f t="shared" si="5"/>
        <v>41092</v>
      </c>
      <c r="O13" s="786">
        <f t="shared" si="5"/>
        <v>41122</v>
      </c>
      <c r="P13" s="786">
        <f t="shared" si="5"/>
        <v>41153</v>
      </c>
      <c r="Q13" s="786">
        <f t="shared" si="5"/>
        <v>41184</v>
      </c>
      <c r="R13" s="786">
        <f t="shared" si="5"/>
        <v>41214</v>
      </c>
      <c r="S13" s="786">
        <f t="shared" si="5"/>
        <v>41245</v>
      </c>
      <c r="T13" s="786">
        <f t="shared" si="5"/>
        <v>41275</v>
      </c>
      <c r="U13" s="786">
        <f t="shared" si="5"/>
        <v>41306</v>
      </c>
      <c r="V13" s="787">
        <f t="shared" si="5"/>
        <v>41337</v>
      </c>
      <c r="W13" s="785">
        <f t="shared" si="5"/>
        <v>41365</v>
      </c>
      <c r="X13" s="786">
        <f t="shared" si="5"/>
        <v>41396</v>
      </c>
      <c r="Y13" s="786">
        <f t="shared" si="5"/>
        <v>41426</v>
      </c>
      <c r="Z13" s="786">
        <f t="shared" si="5"/>
        <v>41457</v>
      </c>
      <c r="AA13" s="786">
        <f t="shared" si="5"/>
        <v>41487</v>
      </c>
      <c r="AB13" s="786">
        <f t="shared" si="5"/>
        <v>41518</v>
      </c>
      <c r="AC13" s="786">
        <f t="shared" si="5"/>
        <v>41549</v>
      </c>
      <c r="AD13" s="786">
        <f t="shared" si="5"/>
        <v>41579</v>
      </c>
      <c r="AE13" s="786">
        <f t="shared" si="5"/>
        <v>41610</v>
      </c>
      <c r="AF13" s="786">
        <f t="shared" si="5"/>
        <v>41640</v>
      </c>
      <c r="AG13" s="786">
        <f t="shared" si="5"/>
        <v>41671</v>
      </c>
      <c r="AH13" s="787">
        <f t="shared" si="5"/>
        <v>41702</v>
      </c>
      <c r="AI13" s="785">
        <f t="shared" si="5"/>
        <v>41730</v>
      </c>
      <c r="AJ13" s="786">
        <f t="shared" si="5"/>
        <v>41761</v>
      </c>
      <c r="AK13" s="786">
        <f t="shared" si="5"/>
        <v>41791</v>
      </c>
      <c r="AL13" s="786">
        <f t="shared" si="5"/>
        <v>41822</v>
      </c>
      <c r="AM13" s="786">
        <f t="shared" si="5"/>
        <v>41852</v>
      </c>
      <c r="AN13" s="786">
        <f t="shared" si="5"/>
        <v>41883</v>
      </c>
      <c r="AO13" s="786">
        <f t="shared" si="5"/>
        <v>41914</v>
      </c>
      <c r="AP13" s="786">
        <f t="shared" si="5"/>
        <v>41944</v>
      </c>
      <c r="AQ13" s="786">
        <f t="shared" si="5"/>
        <v>41975</v>
      </c>
      <c r="AR13" s="786">
        <f t="shared" si="5"/>
        <v>42005</v>
      </c>
      <c r="AS13" s="786">
        <f t="shared" si="5"/>
        <v>42036</v>
      </c>
      <c r="AT13" s="787">
        <f t="shared" si="5"/>
        <v>42067</v>
      </c>
      <c r="AU13" s="785">
        <f t="shared" si="5"/>
        <v>42095</v>
      </c>
      <c r="AV13" s="786">
        <f t="shared" si="5"/>
        <v>42126</v>
      </c>
      <c r="AW13" s="786">
        <f t="shared" si="5"/>
        <v>42156</v>
      </c>
      <c r="AX13" s="786">
        <f t="shared" si="5"/>
        <v>42187</v>
      </c>
      <c r="AY13" s="786">
        <f t="shared" si="5"/>
        <v>42217</v>
      </c>
      <c r="AZ13" s="786">
        <f t="shared" si="5"/>
        <v>42248</v>
      </c>
      <c r="BA13" s="786">
        <f t="shared" si="5"/>
        <v>42279</v>
      </c>
      <c r="BB13" s="786">
        <f t="shared" si="5"/>
        <v>42309</v>
      </c>
      <c r="BC13" s="786">
        <f t="shared" si="5"/>
        <v>42340</v>
      </c>
      <c r="BD13" s="786">
        <f t="shared" si="5"/>
        <v>42370</v>
      </c>
      <c r="BE13" s="786">
        <f t="shared" si="5"/>
        <v>42401</v>
      </c>
      <c r="BF13" s="787">
        <f t="shared" si="5"/>
        <v>42432</v>
      </c>
      <c r="BG13" s="785">
        <f t="shared" si="5"/>
        <v>42461</v>
      </c>
      <c r="BH13" s="786">
        <f t="shared" si="5"/>
        <v>42492</v>
      </c>
      <c r="BI13" s="786">
        <f t="shared" si="5"/>
        <v>42522</v>
      </c>
      <c r="BJ13" s="786">
        <f t="shared" si="5"/>
        <v>42553</v>
      </c>
      <c r="BK13" s="786">
        <f t="shared" si="5"/>
        <v>42583</v>
      </c>
      <c r="BL13" s="786">
        <f t="shared" si="5"/>
        <v>42614</v>
      </c>
      <c r="BM13" s="786">
        <f t="shared" si="5"/>
        <v>42645</v>
      </c>
      <c r="BN13" s="786">
        <f t="shared" si="5"/>
        <v>42675</v>
      </c>
      <c r="BO13" s="786">
        <f t="shared" si="5"/>
        <v>42706</v>
      </c>
      <c r="BP13" s="786">
        <f t="shared" si="5"/>
        <v>42736</v>
      </c>
      <c r="BQ13" s="786">
        <f t="shared" si="5"/>
        <v>42767</v>
      </c>
      <c r="BR13" s="787">
        <f t="shared" si="5"/>
        <v>42798</v>
      </c>
      <c r="BS13" s="785">
        <f t="shared" si="5"/>
        <v>42826</v>
      </c>
      <c r="BT13" s="786">
        <f t="shared" si="5"/>
        <v>42857</v>
      </c>
      <c r="BU13" s="786">
        <f t="shared" si="5"/>
        <v>42887</v>
      </c>
      <c r="BV13" s="786">
        <f t="shared" si="5"/>
        <v>42918</v>
      </c>
      <c r="BW13" s="786">
        <f t="shared" si="5"/>
        <v>42948</v>
      </c>
      <c r="BX13" s="786">
        <f t="shared" si="5"/>
        <v>42979</v>
      </c>
      <c r="BY13" s="786">
        <f t="shared" ref="BY13:CE13" si="6">BY11</f>
        <v>43010</v>
      </c>
      <c r="BZ13" s="786">
        <f t="shared" si="6"/>
        <v>43040</v>
      </c>
      <c r="CA13" s="786">
        <f t="shared" si="6"/>
        <v>43071</v>
      </c>
      <c r="CB13" s="786">
        <f t="shared" si="6"/>
        <v>43101</v>
      </c>
      <c r="CC13" s="786">
        <f t="shared" si="6"/>
        <v>43132</v>
      </c>
      <c r="CD13" s="787">
        <f t="shared" si="6"/>
        <v>43163</v>
      </c>
      <c r="CE13" s="788">
        <f t="shared" si="6"/>
        <v>43191</v>
      </c>
      <c r="CF13" s="789"/>
    </row>
    <row r="14" spans="1:87">
      <c r="A14" s="1" t="s">
        <v>520</v>
      </c>
      <c r="B14" s="1" t="s">
        <v>521</v>
      </c>
      <c r="C14" s="2"/>
      <c r="D14" s="2" t="s">
        <v>522</v>
      </c>
      <c r="E14" s="2" t="s">
        <v>523</v>
      </c>
      <c r="F14" s="2" t="s">
        <v>524</v>
      </c>
      <c r="G14" s="2" t="s">
        <v>525</v>
      </c>
      <c r="H14" s="2" t="s">
        <v>526</v>
      </c>
      <c r="I14" s="2" t="s">
        <v>530</v>
      </c>
      <c r="J14" s="2" t="s">
        <v>531</v>
      </c>
      <c r="K14" s="534" t="s">
        <v>513</v>
      </c>
      <c r="L14" s="506">
        <f>semaine(L11)</f>
        <v>10</v>
      </c>
      <c r="M14" s="507">
        <f t="shared" ref="M14:BX14" si="7">semaine(M11)</f>
        <v>14</v>
      </c>
      <c r="N14" s="507">
        <f t="shared" si="7"/>
        <v>19</v>
      </c>
      <c r="O14" s="507">
        <f t="shared" si="7"/>
        <v>23</v>
      </c>
      <c r="P14" s="507">
        <f t="shared" si="7"/>
        <v>27</v>
      </c>
      <c r="Q14" s="507">
        <f t="shared" si="7"/>
        <v>32</v>
      </c>
      <c r="R14" s="507">
        <f t="shared" si="7"/>
        <v>36</v>
      </c>
      <c r="S14" s="507">
        <f t="shared" si="7"/>
        <v>41</v>
      </c>
      <c r="T14" s="507">
        <f t="shared" si="7"/>
        <v>-7</v>
      </c>
      <c r="U14" s="507">
        <f t="shared" si="7"/>
        <v>-3</v>
      </c>
      <c r="V14" s="508">
        <f t="shared" si="7"/>
        <v>2</v>
      </c>
      <c r="W14" s="506">
        <f t="shared" si="7"/>
        <v>6</v>
      </c>
      <c r="X14" s="507">
        <f t="shared" si="7"/>
        <v>10</v>
      </c>
      <c r="Y14" s="507">
        <f t="shared" si="7"/>
        <v>14</v>
      </c>
      <c r="Z14" s="507">
        <f t="shared" si="7"/>
        <v>19</v>
      </c>
      <c r="AA14" s="507">
        <f t="shared" si="7"/>
        <v>23</v>
      </c>
      <c r="AB14" s="507">
        <f t="shared" si="7"/>
        <v>28</v>
      </c>
      <c r="AC14" s="507">
        <f t="shared" si="7"/>
        <v>32</v>
      </c>
      <c r="AD14" s="507">
        <f t="shared" si="7"/>
        <v>36</v>
      </c>
      <c r="AE14" s="507">
        <f t="shared" si="7"/>
        <v>41</v>
      </c>
      <c r="AF14" s="507">
        <f t="shared" si="7"/>
        <v>-7</v>
      </c>
      <c r="AG14" s="507">
        <f t="shared" si="7"/>
        <v>-3</v>
      </c>
      <c r="AH14" s="508">
        <f t="shared" si="7"/>
        <v>2</v>
      </c>
      <c r="AI14" s="506">
        <f t="shared" si="7"/>
        <v>6</v>
      </c>
      <c r="AJ14" s="507">
        <f t="shared" si="7"/>
        <v>10</v>
      </c>
      <c r="AK14" s="507">
        <f t="shared" si="7"/>
        <v>15</v>
      </c>
      <c r="AL14" s="507">
        <f t="shared" si="7"/>
        <v>19</v>
      </c>
      <c r="AM14" s="507">
        <f t="shared" si="7"/>
        <v>23</v>
      </c>
      <c r="AN14" s="507">
        <f t="shared" si="7"/>
        <v>28</v>
      </c>
      <c r="AO14" s="507">
        <f t="shared" si="7"/>
        <v>32</v>
      </c>
      <c r="AP14" s="507">
        <f t="shared" si="7"/>
        <v>36</v>
      </c>
      <c r="AQ14" s="507">
        <f t="shared" si="7"/>
        <v>41</v>
      </c>
      <c r="AR14" s="507">
        <f t="shared" si="7"/>
        <v>-8</v>
      </c>
      <c r="AS14" s="507">
        <f t="shared" si="7"/>
        <v>-3</v>
      </c>
      <c r="AT14" s="508">
        <f t="shared" si="7"/>
        <v>1</v>
      </c>
      <c r="AU14" s="506">
        <f t="shared" si="7"/>
        <v>5</v>
      </c>
      <c r="AV14" s="507">
        <f t="shared" si="7"/>
        <v>9</v>
      </c>
      <c r="AW14" s="507">
        <f t="shared" si="7"/>
        <v>14</v>
      </c>
      <c r="AX14" s="507">
        <f t="shared" si="7"/>
        <v>18</v>
      </c>
      <c r="AY14" s="507">
        <f t="shared" si="7"/>
        <v>22</v>
      </c>
      <c r="AZ14" s="507">
        <f t="shared" si="7"/>
        <v>27</v>
      </c>
      <c r="BA14" s="507">
        <f t="shared" si="7"/>
        <v>31</v>
      </c>
      <c r="BB14" s="507">
        <f t="shared" si="7"/>
        <v>36</v>
      </c>
      <c r="BC14" s="507">
        <f t="shared" si="7"/>
        <v>40</v>
      </c>
      <c r="BD14" s="507">
        <f t="shared" si="7"/>
        <v>-8</v>
      </c>
      <c r="BE14" s="507">
        <f t="shared" si="7"/>
        <v>-3</v>
      </c>
      <c r="BF14" s="508">
        <f t="shared" si="7"/>
        <v>1</v>
      </c>
      <c r="BG14" s="506">
        <f t="shared" si="7"/>
        <v>5</v>
      </c>
      <c r="BH14" s="507">
        <f t="shared" si="7"/>
        <v>10</v>
      </c>
      <c r="BI14" s="507">
        <f t="shared" si="7"/>
        <v>14</v>
      </c>
      <c r="BJ14" s="507">
        <f t="shared" si="7"/>
        <v>18</v>
      </c>
      <c r="BK14" s="507">
        <f t="shared" si="7"/>
        <v>23</v>
      </c>
      <c r="BL14" s="507">
        <f t="shared" si="7"/>
        <v>27</v>
      </c>
      <c r="BM14" s="507">
        <f t="shared" si="7"/>
        <v>32</v>
      </c>
      <c r="BN14" s="507">
        <f t="shared" si="7"/>
        <v>36</v>
      </c>
      <c r="BO14" s="507">
        <f t="shared" si="7"/>
        <v>40</v>
      </c>
      <c r="BP14" s="507">
        <f t="shared" si="7"/>
        <v>-7</v>
      </c>
      <c r="BQ14" s="507">
        <f t="shared" si="7"/>
        <v>-3</v>
      </c>
      <c r="BR14" s="508">
        <f t="shared" si="7"/>
        <v>1</v>
      </c>
      <c r="BS14" s="506">
        <f t="shared" si="7"/>
        <v>5</v>
      </c>
      <c r="BT14" s="507">
        <f t="shared" si="7"/>
        <v>10</v>
      </c>
      <c r="BU14" s="507">
        <f t="shared" si="7"/>
        <v>14</v>
      </c>
      <c r="BV14" s="507">
        <f t="shared" si="7"/>
        <v>19</v>
      </c>
      <c r="BW14" s="507">
        <f t="shared" si="7"/>
        <v>23</v>
      </c>
      <c r="BX14" s="507">
        <f t="shared" si="7"/>
        <v>27</v>
      </c>
      <c r="BY14" s="507">
        <f t="shared" ref="BY14:CE14" si="8">semaine(BY11)</f>
        <v>32</v>
      </c>
      <c r="BZ14" s="507">
        <f t="shared" si="8"/>
        <v>36</v>
      </c>
      <c r="CA14" s="507">
        <f t="shared" si="8"/>
        <v>40</v>
      </c>
      <c r="CB14" s="507">
        <f t="shared" si="8"/>
        <v>-7</v>
      </c>
      <c r="CC14" s="507">
        <f t="shared" si="8"/>
        <v>-3</v>
      </c>
      <c r="CD14" s="508">
        <f t="shared" si="8"/>
        <v>2</v>
      </c>
      <c r="CE14" s="542">
        <f t="shared" si="8"/>
        <v>6</v>
      </c>
      <c r="CF14" s="496"/>
    </row>
    <row r="15" spans="1:87">
      <c r="A15" s="509"/>
      <c r="B15" s="512"/>
      <c r="C15" s="512"/>
      <c r="D15" s="512"/>
      <c r="E15" s="512"/>
      <c r="F15" s="512"/>
      <c r="G15" s="512"/>
      <c r="H15" s="512"/>
      <c r="I15" s="512"/>
      <c r="J15" s="513"/>
      <c r="K15" s="535"/>
      <c r="L15" s="509"/>
      <c r="M15" s="510"/>
      <c r="N15" s="510"/>
      <c r="O15" s="510"/>
      <c r="P15" s="510"/>
      <c r="Q15" s="510"/>
      <c r="R15" s="510"/>
      <c r="S15" s="510"/>
      <c r="T15" s="510"/>
      <c r="U15" s="510"/>
      <c r="V15" s="511"/>
      <c r="W15" s="509"/>
      <c r="X15" s="510"/>
      <c r="Y15" s="510"/>
      <c r="Z15" s="510"/>
      <c r="AA15" s="510"/>
      <c r="AB15" s="510"/>
      <c r="AC15" s="510"/>
      <c r="AD15" s="510"/>
      <c r="AE15" s="510"/>
      <c r="AF15" s="510"/>
      <c r="AG15" s="510"/>
      <c r="AH15" s="511"/>
      <c r="AI15" s="509"/>
      <c r="AJ15" s="510"/>
      <c r="AK15" s="510"/>
      <c r="AL15" s="510"/>
      <c r="AM15" s="510"/>
      <c r="AN15" s="510"/>
      <c r="AO15" s="510"/>
      <c r="AP15" s="510"/>
      <c r="AQ15" s="510"/>
      <c r="AR15" s="510"/>
      <c r="AS15" s="510"/>
      <c r="AT15" s="511"/>
      <c r="AU15" s="509"/>
      <c r="AV15" s="510"/>
      <c r="AW15" s="510"/>
      <c r="AX15" s="510"/>
      <c r="AY15" s="510"/>
      <c r="AZ15" s="510"/>
      <c r="BA15" s="510"/>
      <c r="BB15" s="510"/>
      <c r="BC15" s="510"/>
      <c r="BD15" s="510"/>
      <c r="BE15" s="510"/>
      <c r="BF15" s="511"/>
      <c r="BG15" s="509"/>
      <c r="BH15" s="510"/>
      <c r="BI15" s="510"/>
      <c r="BJ15" s="510"/>
      <c r="BK15" s="510"/>
      <c r="BL15" s="510"/>
      <c r="BM15" s="510"/>
      <c r="BN15" s="510"/>
      <c r="BO15" s="510"/>
      <c r="BP15" s="510"/>
      <c r="BQ15" s="510"/>
      <c r="BR15" s="511"/>
      <c r="BS15" s="509"/>
      <c r="BT15" s="510"/>
      <c r="BU15" s="510"/>
      <c r="BV15" s="510"/>
      <c r="BW15" s="510"/>
      <c r="BX15" s="510"/>
      <c r="BY15" s="510"/>
      <c r="BZ15" s="510"/>
      <c r="CA15" s="510"/>
      <c r="CB15" s="510"/>
      <c r="CC15" s="510"/>
      <c r="CD15" s="511"/>
      <c r="CE15" s="540"/>
      <c r="CF15" s="514"/>
    </row>
    <row r="16" spans="1:87" s="19" customFormat="1">
      <c r="A16" s="515">
        <v>1</v>
      </c>
      <c r="B16" s="519" t="s">
        <v>489</v>
      </c>
      <c r="C16" s="516"/>
      <c r="D16" s="517" t="str">
        <f>DureeHL($L16:$CE16)</f>
        <v/>
      </c>
      <c r="E16" s="516">
        <v>0</v>
      </c>
      <c r="F16" s="516"/>
      <c r="G16" s="516" t="str">
        <f>Cadence($D16)</f>
        <v/>
      </c>
      <c r="H16" s="518">
        <f>debut($L16:$CE16)</f>
        <v>0</v>
      </c>
      <c r="I16" s="518">
        <f>Fin($L16:$CE16)</f>
        <v>0</v>
      </c>
      <c r="J16" s="521" t="s">
        <v>484</v>
      </c>
      <c r="K16" s="536"/>
      <c r="L16" s="538"/>
      <c r="M16" s="724"/>
      <c r="N16" s="724"/>
      <c r="O16" s="724"/>
      <c r="P16" s="724"/>
      <c r="Q16" s="724"/>
      <c r="R16" s="724"/>
      <c r="S16" s="724"/>
      <c r="T16" s="724"/>
      <c r="U16" s="724"/>
      <c r="V16" s="523"/>
      <c r="W16" s="538"/>
      <c r="X16" s="724"/>
      <c r="Y16" s="724"/>
      <c r="Z16" s="724"/>
      <c r="AA16" s="724"/>
      <c r="AB16" s="724"/>
      <c r="AC16" s="724"/>
      <c r="AD16" s="724"/>
      <c r="AE16" s="724"/>
      <c r="AF16" s="724"/>
      <c r="AG16" s="724"/>
      <c r="AH16" s="523"/>
      <c r="AI16" s="538"/>
      <c r="AJ16" s="724"/>
      <c r="AK16" s="724"/>
      <c r="AL16" s="724"/>
      <c r="AM16" s="724"/>
      <c r="AN16" s="724"/>
      <c r="AO16" s="724"/>
      <c r="AP16" s="724"/>
      <c r="AQ16" s="724"/>
      <c r="AR16" s="724"/>
      <c r="AS16" s="724"/>
      <c r="AT16" s="523"/>
      <c r="AU16" s="538"/>
      <c r="AV16" s="724"/>
      <c r="AW16" s="724"/>
      <c r="AX16" s="724"/>
      <c r="AY16" s="724"/>
      <c r="AZ16" s="724"/>
      <c r="BA16" s="724"/>
      <c r="BB16" s="724"/>
      <c r="BC16" s="724"/>
      <c r="BD16" s="724"/>
      <c r="BE16" s="724"/>
      <c r="BF16" s="523"/>
      <c r="BG16" s="538"/>
      <c r="BH16" s="724"/>
      <c r="BI16" s="724"/>
      <c r="BJ16" s="724"/>
      <c r="BK16" s="724"/>
      <c r="BL16" s="724"/>
      <c r="BM16" s="724"/>
      <c r="BN16" s="520"/>
      <c r="BO16" s="520"/>
      <c r="BP16" s="520"/>
      <c r="BQ16" s="520"/>
      <c r="BR16" s="523"/>
      <c r="BS16" s="524"/>
      <c r="BT16" s="520"/>
      <c r="BU16" s="520"/>
      <c r="BV16" s="520"/>
      <c r="BW16" s="520"/>
      <c r="BX16" s="520"/>
      <c r="BY16" s="520"/>
      <c r="BZ16" s="520"/>
      <c r="CA16" s="520"/>
      <c r="CB16" s="520"/>
      <c r="CC16" s="520"/>
      <c r="CD16" s="523"/>
      <c r="CE16" s="538"/>
      <c r="CF16" s="520"/>
      <c r="CG16" s="32"/>
      <c r="CH16" s="32"/>
      <c r="CI16" s="32"/>
    </row>
    <row r="17" spans="1:87" s="19" customFormat="1" outlineLevel="1">
      <c r="A17" s="515">
        <v>2</v>
      </c>
      <c r="B17" s="519" t="s">
        <v>490</v>
      </c>
      <c r="C17" s="516"/>
      <c r="D17" s="517" t="str">
        <f>DureeHL($L17:$CE17)</f>
        <v/>
      </c>
      <c r="E17" s="516">
        <v>0</v>
      </c>
      <c r="F17" s="516"/>
      <c r="G17" s="516" t="str">
        <f>Cadence($D17)</f>
        <v/>
      </c>
      <c r="H17" s="865">
        <f>debut($L17:$CE17)</f>
        <v>0</v>
      </c>
      <c r="I17" s="518">
        <f>Fin($L17:$CE17)</f>
        <v>0</v>
      </c>
      <c r="J17" s="521" t="s">
        <v>487</v>
      </c>
      <c r="K17" s="536"/>
      <c r="L17" s="777"/>
      <c r="M17" s="779"/>
      <c r="N17" s="779"/>
      <c r="O17" s="779"/>
      <c r="P17" s="779"/>
      <c r="Q17" s="779"/>
      <c r="R17" s="779"/>
      <c r="S17" s="779"/>
      <c r="T17" s="779"/>
      <c r="U17" s="779"/>
      <c r="V17" s="776"/>
      <c r="W17" s="777"/>
      <c r="X17" s="779"/>
      <c r="Y17" s="779"/>
      <c r="Z17" s="779"/>
      <c r="AA17" s="779"/>
      <c r="AB17" s="779"/>
      <c r="AC17" s="779"/>
      <c r="AD17" s="779"/>
      <c r="AE17" s="779"/>
      <c r="AF17" s="779"/>
      <c r="AG17" s="779"/>
      <c r="AH17" s="776"/>
      <c r="AI17" s="777"/>
      <c r="AJ17" s="779"/>
      <c r="AK17" s="779"/>
      <c r="AL17" s="779"/>
      <c r="AM17" s="779"/>
      <c r="AN17" s="779"/>
      <c r="AO17" s="779"/>
      <c r="AP17" s="779"/>
      <c r="AQ17" s="779"/>
      <c r="AR17" s="779"/>
      <c r="AS17" s="779"/>
      <c r="AT17" s="776"/>
      <c r="AU17" s="777"/>
      <c r="AV17" s="779"/>
      <c r="AW17" s="779"/>
      <c r="AX17" s="779"/>
      <c r="AY17" s="779"/>
      <c r="AZ17" s="779"/>
      <c r="BA17" s="779"/>
      <c r="BB17" s="779"/>
      <c r="BC17" s="779"/>
      <c r="BD17" s="779"/>
      <c r="BE17" s="779"/>
      <c r="BF17" s="776"/>
      <c r="BG17" s="777"/>
      <c r="BH17" s="779"/>
      <c r="BI17" s="779"/>
      <c r="BJ17" s="779"/>
      <c r="BK17" s="779"/>
      <c r="BL17" s="779"/>
      <c r="BM17" s="779"/>
      <c r="BN17" s="638"/>
      <c r="BO17" s="638"/>
      <c r="BP17" s="638"/>
      <c r="BQ17" s="638"/>
      <c r="BR17" s="776"/>
      <c r="BS17" s="775"/>
      <c r="BT17" s="638"/>
      <c r="BU17" s="638"/>
      <c r="BV17" s="638"/>
      <c r="BW17" s="638"/>
      <c r="BX17" s="638"/>
      <c r="BY17" s="638"/>
      <c r="BZ17" s="638"/>
      <c r="CA17" s="638"/>
      <c r="CB17" s="638"/>
      <c r="CC17" s="638"/>
      <c r="CD17" s="776"/>
      <c r="CE17" s="777"/>
      <c r="CF17" s="520"/>
      <c r="CG17" s="32"/>
      <c r="CH17" s="32"/>
      <c r="CI17" s="32"/>
    </row>
    <row r="18" spans="1:87" s="19" customFormat="1" ht="12" outlineLevel="2" thickBot="1">
      <c r="A18" s="515">
        <v>3</v>
      </c>
      <c r="B18" s="519" t="s">
        <v>492</v>
      </c>
      <c r="C18" s="516"/>
      <c r="D18" s="517">
        <f>DureeHL($L18:$CE18)</f>
        <v>3</v>
      </c>
      <c r="E18" s="516">
        <v>0</v>
      </c>
      <c r="F18" s="516"/>
      <c r="G18" s="516" t="str">
        <f>Cadence($D18)</f>
        <v/>
      </c>
      <c r="H18" s="865">
        <f>debut($L18:$CE18)</f>
        <v>0</v>
      </c>
      <c r="I18" s="518">
        <f>Fin($L18:$CE18)</f>
        <v>0</v>
      </c>
      <c r="J18" s="521" t="s">
        <v>493</v>
      </c>
      <c r="K18" s="536"/>
      <c r="L18" s="781"/>
      <c r="M18" s="780"/>
      <c r="N18" s="780"/>
      <c r="O18" s="779"/>
      <c r="P18" s="779"/>
      <c r="Q18" s="779"/>
      <c r="R18" s="779"/>
      <c r="S18" s="779"/>
      <c r="T18" s="779"/>
      <c r="U18" s="779"/>
      <c r="V18" s="776"/>
      <c r="W18" s="777"/>
      <c r="X18" s="779"/>
      <c r="Y18" s="779"/>
      <c r="Z18" s="779"/>
      <c r="AA18" s="779"/>
      <c r="AB18" s="779"/>
      <c r="AC18" s="779"/>
      <c r="AD18" s="779"/>
      <c r="AE18" s="779"/>
      <c r="AF18" s="779"/>
      <c r="AG18" s="779"/>
      <c r="AH18" s="776"/>
      <c r="AI18" s="777"/>
      <c r="AJ18" s="779"/>
      <c r="AK18" s="779"/>
      <c r="AL18" s="779"/>
      <c r="AM18" s="779"/>
      <c r="AN18" s="779"/>
      <c r="AO18" s="779"/>
      <c r="AP18" s="779"/>
      <c r="AQ18" s="779"/>
      <c r="AR18" s="779"/>
      <c r="AS18" s="779"/>
      <c r="AT18" s="776"/>
      <c r="AU18" s="777"/>
      <c r="AV18" s="779"/>
      <c r="AW18" s="779"/>
      <c r="AX18" s="779"/>
      <c r="AY18" s="779"/>
      <c r="AZ18" s="779"/>
      <c r="BA18" s="779"/>
      <c r="BB18" s="779"/>
      <c r="BC18" s="779"/>
      <c r="BD18" s="779"/>
      <c r="BE18" s="779"/>
      <c r="BF18" s="776"/>
      <c r="BG18" s="777"/>
      <c r="BH18" s="779"/>
      <c r="BI18" s="779"/>
      <c r="BJ18" s="779"/>
      <c r="BK18" s="779"/>
      <c r="BL18" s="779"/>
      <c r="BM18" s="779"/>
      <c r="BN18" s="638"/>
      <c r="BO18" s="638"/>
      <c r="BP18" s="638"/>
      <c r="BQ18" s="638"/>
      <c r="BR18" s="776"/>
      <c r="BS18" s="775"/>
      <c r="BT18" s="638"/>
      <c r="BU18" s="638"/>
      <c r="BV18" s="638"/>
      <c r="BW18" s="638"/>
      <c r="BX18" s="638"/>
      <c r="BY18" s="638"/>
      <c r="BZ18" s="638"/>
      <c r="CA18" s="638"/>
      <c r="CB18" s="638"/>
      <c r="CC18" s="638"/>
      <c r="CD18" s="776"/>
      <c r="CE18" s="777"/>
      <c r="CF18" s="520"/>
      <c r="CG18" s="32"/>
      <c r="CH18" s="32"/>
      <c r="CI18" s="32"/>
    </row>
    <row r="19" spans="1:87" s="19" customFormat="1" ht="12.75" outlineLevel="2" thickTop="1" thickBot="1">
      <c r="A19" s="515">
        <v>4</v>
      </c>
      <c r="B19" s="519" t="s">
        <v>491</v>
      </c>
      <c r="C19" s="516"/>
      <c r="D19" s="517">
        <f>DureeHL($L19:$CE19)</f>
        <v>2</v>
      </c>
      <c r="E19" s="516">
        <v>0</v>
      </c>
      <c r="F19" s="516"/>
      <c r="G19" s="516" t="str">
        <f>Cadence($D19)</f>
        <v/>
      </c>
      <c r="H19" s="865">
        <f>debut($L19:$CE19)</f>
        <v>0</v>
      </c>
      <c r="I19" s="518">
        <f>Fin($L19:$CE19)</f>
        <v>0</v>
      </c>
      <c r="J19" s="521" t="s">
        <v>494</v>
      </c>
      <c r="K19" s="536"/>
      <c r="L19" s="775"/>
      <c r="M19" s="638"/>
      <c r="N19" s="638"/>
      <c r="O19" s="778"/>
      <c r="P19" s="778"/>
      <c r="Q19" s="779"/>
      <c r="R19" s="779"/>
      <c r="S19" s="779"/>
      <c r="T19" s="779"/>
      <c r="U19" s="779"/>
      <c r="V19" s="776"/>
      <c r="W19" s="777"/>
      <c r="X19" s="779"/>
      <c r="Y19" s="779"/>
      <c r="Z19" s="779"/>
      <c r="AA19" s="779"/>
      <c r="AB19" s="779"/>
      <c r="AC19" s="779"/>
      <c r="AD19" s="779"/>
      <c r="AE19" s="779"/>
      <c r="AF19" s="779"/>
      <c r="AG19" s="779"/>
      <c r="AH19" s="776"/>
      <c r="AI19" s="777"/>
      <c r="AJ19" s="779"/>
      <c r="AK19" s="779"/>
      <c r="AL19" s="779"/>
      <c r="AM19" s="779"/>
      <c r="AN19" s="779"/>
      <c r="AO19" s="779"/>
      <c r="AP19" s="779"/>
      <c r="AQ19" s="779"/>
      <c r="AR19" s="779"/>
      <c r="AS19" s="779"/>
      <c r="AT19" s="776"/>
      <c r="AU19" s="777"/>
      <c r="AV19" s="779"/>
      <c r="AW19" s="779"/>
      <c r="AX19" s="779"/>
      <c r="AY19" s="779"/>
      <c r="AZ19" s="779"/>
      <c r="BA19" s="779"/>
      <c r="BB19" s="779"/>
      <c r="BC19" s="779"/>
      <c r="BD19" s="779"/>
      <c r="BE19" s="779"/>
      <c r="BF19" s="776"/>
      <c r="BG19" s="777"/>
      <c r="BH19" s="779"/>
      <c r="BI19" s="779"/>
      <c r="BJ19" s="779"/>
      <c r="BK19" s="779"/>
      <c r="BL19" s="779"/>
      <c r="BM19" s="779"/>
      <c r="BN19" s="638"/>
      <c r="BO19" s="638"/>
      <c r="BP19" s="638"/>
      <c r="BQ19" s="638"/>
      <c r="BR19" s="776"/>
      <c r="BS19" s="775"/>
      <c r="BT19" s="638"/>
      <c r="BU19" s="638"/>
      <c r="BV19" s="638"/>
      <c r="BW19" s="638"/>
      <c r="BX19" s="638"/>
      <c r="BY19" s="638"/>
      <c r="BZ19" s="638"/>
      <c r="CA19" s="638"/>
      <c r="CB19" s="638"/>
      <c r="CC19" s="638"/>
      <c r="CD19" s="776"/>
      <c r="CE19" s="777"/>
      <c r="CF19" s="520"/>
      <c r="CG19" s="32"/>
      <c r="CH19" s="32"/>
      <c r="CI19" s="32"/>
    </row>
    <row r="20" spans="1:87" ht="12" thickTop="1"/>
  </sheetData>
  <mergeCells count="1">
    <mergeCell ref="H1:I1"/>
  </mergeCells>
  <phoneticPr fontId="0" type="noConversion"/>
  <dataValidations count="1">
    <dataValidation type="date" allowBlank="1" showInputMessage="1" showErrorMessage="1" sqref="H1">
      <formula1>1</formula1>
      <formula2>73051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>
    <outlinePr summaryBelow="0" summaryRight="0"/>
    <pageSetUpPr fitToPage="1"/>
  </sheetPr>
  <dimension ref="A1:CC309"/>
  <sheetViews>
    <sheetView view="pageBreakPreview" topLeftCell="A18" zoomScaleNormal="100" zoomScaleSheetLayoutView="85" workbookViewId="0">
      <pane xSplit="11160" ySplit="2730" topLeftCell="K19" activePane="bottomLeft"/>
      <selection pane="topRight" activeCell="X26" sqref="X26"/>
      <selection pane="bottomLeft" activeCell="D35" sqref="D35"/>
      <selection pane="bottomRight" activeCell="S147" sqref="S147"/>
    </sheetView>
  </sheetViews>
  <sheetFormatPr baseColWidth="10" defaultRowHeight="11.25" outlineLevelRow="2"/>
  <cols>
    <col min="1" max="1" width="4" style="8" customWidth="1"/>
    <col min="2" max="2" width="8.7109375" style="29" customWidth="1"/>
    <col min="3" max="3" width="42.5703125" style="29" customWidth="1"/>
    <col min="4" max="4" width="7" style="29" customWidth="1"/>
    <col min="5" max="5" width="6.140625" style="29" customWidth="1"/>
    <col min="6" max="6" width="4.5703125" style="29" customWidth="1"/>
    <col min="7" max="7" width="8.42578125" style="29" customWidth="1"/>
    <col min="8" max="9" width="7.42578125" style="29" customWidth="1"/>
    <col min="10" max="10" width="9.5703125" style="29" customWidth="1"/>
    <col min="11" max="11" width="2.140625" style="29" customWidth="1"/>
    <col min="12" max="12" width="2.85546875" style="29" customWidth="1"/>
    <col min="13" max="15" width="2.85546875" style="8" customWidth="1"/>
    <col min="16" max="16" width="2.85546875" style="29" customWidth="1"/>
    <col min="17" max="17" width="2.85546875" style="8" customWidth="1"/>
    <col min="18" max="18" width="2.85546875" style="29" customWidth="1"/>
    <col min="19" max="19" width="2.85546875" style="8" customWidth="1"/>
    <col min="20" max="80" width="2.85546875" style="29" customWidth="1"/>
    <col min="81" max="16384" width="11.42578125" style="8"/>
  </cols>
  <sheetData>
    <row r="1" spans="1:80" ht="15.75">
      <c r="A1" s="34" t="s">
        <v>505</v>
      </c>
      <c r="B1" s="446"/>
      <c r="C1" s="446"/>
      <c r="D1" s="446"/>
      <c r="E1" s="446"/>
      <c r="F1" s="450"/>
      <c r="G1" s="445" t="s">
        <v>518</v>
      </c>
      <c r="H1" s="866">
        <v>40490</v>
      </c>
      <c r="I1" s="866"/>
      <c r="J1" s="445"/>
      <c r="K1" s="15"/>
      <c r="L1" s="25"/>
      <c r="P1" s="8"/>
      <c r="R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</row>
    <row r="2" spans="1:80" ht="12.75">
      <c r="A2" s="35" t="s">
        <v>500</v>
      </c>
      <c r="B2" s="447"/>
      <c r="C2" s="447"/>
      <c r="D2" s="447"/>
      <c r="E2" s="447"/>
      <c r="F2" s="451"/>
      <c r="G2" s="505"/>
      <c r="H2" s="28"/>
      <c r="I2" s="28"/>
      <c r="J2" s="28"/>
      <c r="K2" s="28"/>
      <c r="L2" s="25"/>
      <c r="P2" s="8"/>
      <c r="R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</row>
    <row r="3" spans="1:80">
      <c r="A3" s="13" t="s">
        <v>517</v>
      </c>
      <c r="B3" s="462">
        <v>40189</v>
      </c>
      <c r="C3" s="29" t="s">
        <v>623</v>
      </c>
      <c r="L3" s="25"/>
      <c r="P3" s="8"/>
      <c r="R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</row>
    <row r="4" spans="1:80">
      <c r="A4" s="12">
        <v>1</v>
      </c>
      <c r="B4" s="448"/>
      <c r="L4" s="25"/>
      <c r="P4" s="8"/>
      <c r="R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</row>
    <row r="5" spans="1:80">
      <c r="A5" s="12">
        <v>2</v>
      </c>
      <c r="B5" s="448"/>
      <c r="L5" s="25"/>
      <c r="P5" s="8"/>
      <c r="R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</row>
    <row r="6" spans="1:80">
      <c r="A6" s="12">
        <v>3</v>
      </c>
      <c r="B6" s="448"/>
      <c r="L6" s="25"/>
      <c r="P6" s="8"/>
      <c r="R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</row>
    <row r="7" spans="1:80">
      <c r="A7" s="12">
        <v>4</v>
      </c>
      <c r="B7" s="448"/>
      <c r="L7" s="25"/>
      <c r="P7" s="8"/>
      <c r="R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</row>
    <row r="8" spans="1:80">
      <c r="A8" s="12">
        <v>5</v>
      </c>
      <c r="B8" s="448"/>
      <c r="L8" s="25"/>
      <c r="P8" s="8"/>
      <c r="R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</row>
    <row r="9" spans="1:80">
      <c r="A9" s="12">
        <v>6</v>
      </c>
      <c r="B9" s="448"/>
      <c r="L9" s="25"/>
      <c r="P9" s="8"/>
      <c r="R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</row>
    <row r="10" spans="1:80">
      <c r="A10" s="12">
        <v>7</v>
      </c>
      <c r="B10" s="448"/>
      <c r="L10" s="25"/>
      <c r="P10" s="8"/>
      <c r="R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</row>
    <row r="11" spans="1:80" s="471" customFormat="1" ht="47.25" hidden="1">
      <c r="A11" s="455"/>
      <c r="B11" s="469"/>
      <c r="C11" s="469"/>
      <c r="D11" s="469"/>
      <c r="E11" s="469"/>
      <c r="F11" s="469"/>
      <c r="G11" s="469"/>
      <c r="H11" s="469"/>
      <c r="I11" s="469"/>
      <c r="J11" s="469"/>
      <c r="K11" s="470">
        <v>0</v>
      </c>
      <c r="L11" s="470">
        <f>H1</f>
        <v>40490</v>
      </c>
      <c r="M11" s="479">
        <f>L11+7</f>
        <v>40497</v>
      </c>
      <c r="N11" s="479">
        <f t="shared" ref="N11:BY11" si="0">M11+7</f>
        <v>40504</v>
      </c>
      <c r="O11" s="485">
        <f t="shared" si="0"/>
        <v>40511</v>
      </c>
      <c r="P11" s="472">
        <f t="shared" si="0"/>
        <v>40518</v>
      </c>
      <c r="Q11" s="479">
        <f t="shared" si="0"/>
        <v>40525</v>
      </c>
      <c r="R11" s="479">
        <f t="shared" si="0"/>
        <v>40532</v>
      </c>
      <c r="S11" s="485">
        <f t="shared" si="0"/>
        <v>40539</v>
      </c>
      <c r="T11" s="472">
        <f t="shared" si="0"/>
        <v>40546</v>
      </c>
      <c r="U11" s="479">
        <f t="shared" si="0"/>
        <v>40553</v>
      </c>
      <c r="V11" s="479">
        <f t="shared" si="0"/>
        <v>40560</v>
      </c>
      <c r="W11" s="479">
        <f t="shared" si="0"/>
        <v>40567</v>
      </c>
      <c r="X11" s="485">
        <f t="shared" si="0"/>
        <v>40574</v>
      </c>
      <c r="Y11" s="472">
        <f t="shared" si="0"/>
        <v>40581</v>
      </c>
      <c r="Z11" s="479">
        <f t="shared" si="0"/>
        <v>40588</v>
      </c>
      <c r="AA11" s="479">
        <f t="shared" si="0"/>
        <v>40595</v>
      </c>
      <c r="AB11" s="485">
        <f t="shared" si="0"/>
        <v>40602</v>
      </c>
      <c r="AC11" s="472">
        <f t="shared" si="0"/>
        <v>40609</v>
      </c>
      <c r="AD11" s="479">
        <f t="shared" si="0"/>
        <v>40616</v>
      </c>
      <c r="AE11" s="479">
        <f t="shared" si="0"/>
        <v>40623</v>
      </c>
      <c r="AF11" s="485">
        <f t="shared" si="0"/>
        <v>40630</v>
      </c>
      <c r="AG11" s="472">
        <f t="shared" si="0"/>
        <v>40637</v>
      </c>
      <c r="AH11" s="479">
        <f t="shared" si="0"/>
        <v>40644</v>
      </c>
      <c r="AI11" s="479">
        <f t="shared" si="0"/>
        <v>40651</v>
      </c>
      <c r="AJ11" s="485">
        <f t="shared" si="0"/>
        <v>40658</v>
      </c>
      <c r="AK11" s="472">
        <f t="shared" si="0"/>
        <v>40665</v>
      </c>
      <c r="AL11" s="479">
        <f t="shared" si="0"/>
        <v>40672</v>
      </c>
      <c r="AM11" s="479">
        <f t="shared" si="0"/>
        <v>40679</v>
      </c>
      <c r="AN11" s="479">
        <f t="shared" si="0"/>
        <v>40686</v>
      </c>
      <c r="AO11" s="485">
        <f t="shared" si="0"/>
        <v>40693</v>
      </c>
      <c r="AP11" s="472">
        <f t="shared" si="0"/>
        <v>40700</v>
      </c>
      <c r="AQ11" s="479">
        <f t="shared" si="0"/>
        <v>40707</v>
      </c>
      <c r="AR11" s="479">
        <f t="shared" si="0"/>
        <v>40714</v>
      </c>
      <c r="AS11" s="485">
        <f t="shared" si="0"/>
        <v>40721</v>
      </c>
      <c r="AT11" s="472">
        <f t="shared" si="0"/>
        <v>40728</v>
      </c>
      <c r="AU11" s="479">
        <f t="shared" si="0"/>
        <v>40735</v>
      </c>
      <c r="AV11" s="479">
        <f t="shared" si="0"/>
        <v>40742</v>
      </c>
      <c r="AW11" s="485">
        <f t="shared" si="0"/>
        <v>40749</v>
      </c>
      <c r="AX11" s="472">
        <f t="shared" si="0"/>
        <v>40756</v>
      </c>
      <c r="AY11" s="479">
        <f t="shared" si="0"/>
        <v>40763</v>
      </c>
      <c r="AZ11" s="479">
        <f t="shared" si="0"/>
        <v>40770</v>
      </c>
      <c r="BA11" s="479">
        <f t="shared" si="0"/>
        <v>40777</v>
      </c>
      <c r="BB11" s="485">
        <f t="shared" si="0"/>
        <v>40784</v>
      </c>
      <c r="BC11" s="472">
        <f t="shared" si="0"/>
        <v>40791</v>
      </c>
      <c r="BD11" s="479">
        <f t="shared" si="0"/>
        <v>40798</v>
      </c>
      <c r="BE11" s="479">
        <f t="shared" si="0"/>
        <v>40805</v>
      </c>
      <c r="BF11" s="485">
        <f t="shared" si="0"/>
        <v>40812</v>
      </c>
      <c r="BG11" s="472">
        <f t="shared" si="0"/>
        <v>40819</v>
      </c>
      <c r="BH11" s="479">
        <f t="shared" si="0"/>
        <v>40826</v>
      </c>
      <c r="BI11" s="479">
        <f t="shared" si="0"/>
        <v>40833</v>
      </c>
      <c r="BJ11" s="479">
        <f t="shared" si="0"/>
        <v>40840</v>
      </c>
      <c r="BK11" s="485">
        <f t="shared" si="0"/>
        <v>40847</v>
      </c>
      <c r="BL11" s="472">
        <f t="shared" si="0"/>
        <v>40854</v>
      </c>
      <c r="BM11" s="479">
        <f t="shared" si="0"/>
        <v>40861</v>
      </c>
      <c r="BN11" s="479">
        <f t="shared" si="0"/>
        <v>40868</v>
      </c>
      <c r="BO11" s="485">
        <f t="shared" si="0"/>
        <v>40875</v>
      </c>
      <c r="BP11" s="472">
        <f t="shared" si="0"/>
        <v>40882</v>
      </c>
      <c r="BQ11" s="479">
        <f t="shared" si="0"/>
        <v>40889</v>
      </c>
      <c r="BR11" s="479">
        <f t="shared" si="0"/>
        <v>40896</v>
      </c>
      <c r="BS11" s="485">
        <f t="shared" si="0"/>
        <v>40903</v>
      </c>
      <c r="BT11" s="472">
        <f t="shared" si="0"/>
        <v>40910</v>
      </c>
      <c r="BU11" s="479">
        <f t="shared" si="0"/>
        <v>40917</v>
      </c>
      <c r="BV11" s="479">
        <f t="shared" si="0"/>
        <v>40924</v>
      </c>
      <c r="BW11" s="479">
        <f t="shared" si="0"/>
        <v>40931</v>
      </c>
      <c r="BX11" s="485">
        <f t="shared" si="0"/>
        <v>40938</v>
      </c>
      <c r="BY11" s="472">
        <f t="shared" si="0"/>
        <v>40945</v>
      </c>
      <c r="BZ11" s="479">
        <f>BY11+7</f>
        <v>40952</v>
      </c>
      <c r="CA11" s="492">
        <f>BZ11+7</f>
        <v>40959</v>
      </c>
      <c r="CB11" s="480">
        <f>CA11+7</f>
        <v>40966</v>
      </c>
    </row>
    <row r="12" spans="1:80" s="7" customFormat="1" ht="23.25">
      <c r="A12" s="6"/>
      <c r="B12" s="15"/>
      <c r="C12" s="15"/>
      <c r="D12" s="15"/>
      <c r="E12" s="15"/>
      <c r="F12" s="15"/>
      <c r="G12" s="15"/>
      <c r="H12" s="15"/>
      <c r="I12" s="15"/>
      <c r="J12" s="30"/>
      <c r="K12" s="454" t="s">
        <v>514</v>
      </c>
      <c r="L12" s="459">
        <f t="shared" ref="L12:AQ12" si="1">IF(MONTH(L11)=MONTH(K11),"",L11)</f>
        <v>40490</v>
      </c>
      <c r="M12" s="458" t="str">
        <f t="shared" si="1"/>
        <v/>
      </c>
      <c r="N12" s="458" t="str">
        <f t="shared" si="1"/>
        <v/>
      </c>
      <c r="O12" s="486" t="str">
        <f t="shared" si="1"/>
        <v/>
      </c>
      <c r="P12" s="459">
        <f t="shared" si="1"/>
        <v>40518</v>
      </c>
      <c r="Q12" s="458" t="str">
        <f t="shared" si="1"/>
        <v/>
      </c>
      <c r="R12" s="458" t="str">
        <f t="shared" si="1"/>
        <v/>
      </c>
      <c r="S12" s="486" t="str">
        <f t="shared" si="1"/>
        <v/>
      </c>
      <c r="T12" s="459">
        <f t="shared" si="1"/>
        <v>40546</v>
      </c>
      <c r="U12" s="458" t="str">
        <f t="shared" si="1"/>
        <v/>
      </c>
      <c r="V12" s="458" t="str">
        <f t="shared" si="1"/>
        <v/>
      </c>
      <c r="W12" s="458" t="str">
        <f t="shared" si="1"/>
        <v/>
      </c>
      <c r="X12" s="486" t="str">
        <f t="shared" si="1"/>
        <v/>
      </c>
      <c r="Y12" s="459">
        <f t="shared" si="1"/>
        <v>40581</v>
      </c>
      <c r="Z12" s="458" t="str">
        <f t="shared" si="1"/>
        <v/>
      </c>
      <c r="AA12" s="458" t="str">
        <f t="shared" si="1"/>
        <v/>
      </c>
      <c r="AB12" s="486" t="str">
        <f t="shared" si="1"/>
        <v/>
      </c>
      <c r="AC12" s="459">
        <f t="shared" si="1"/>
        <v>40609</v>
      </c>
      <c r="AD12" s="458" t="str">
        <f t="shared" si="1"/>
        <v/>
      </c>
      <c r="AE12" s="458" t="str">
        <f t="shared" si="1"/>
        <v/>
      </c>
      <c r="AF12" s="486" t="str">
        <f t="shared" si="1"/>
        <v/>
      </c>
      <c r="AG12" s="459">
        <f t="shared" si="1"/>
        <v>40637</v>
      </c>
      <c r="AH12" s="458" t="str">
        <f t="shared" si="1"/>
        <v/>
      </c>
      <c r="AI12" s="458" t="str">
        <f t="shared" si="1"/>
        <v/>
      </c>
      <c r="AJ12" s="486" t="str">
        <f t="shared" si="1"/>
        <v/>
      </c>
      <c r="AK12" s="459">
        <f t="shared" si="1"/>
        <v>40665</v>
      </c>
      <c r="AL12" s="458" t="str">
        <f t="shared" si="1"/>
        <v/>
      </c>
      <c r="AM12" s="458" t="str">
        <f t="shared" si="1"/>
        <v/>
      </c>
      <c r="AN12" s="458" t="str">
        <f t="shared" si="1"/>
        <v/>
      </c>
      <c r="AO12" s="486" t="str">
        <f t="shared" si="1"/>
        <v/>
      </c>
      <c r="AP12" s="459">
        <f t="shared" si="1"/>
        <v>40700</v>
      </c>
      <c r="AQ12" s="458" t="str">
        <f t="shared" si="1"/>
        <v/>
      </c>
      <c r="AR12" s="458" t="str">
        <f t="shared" ref="AR12:BW12" si="2">IF(MONTH(AR11)=MONTH(AQ11),"",AR11)</f>
        <v/>
      </c>
      <c r="AS12" s="486" t="str">
        <f t="shared" si="2"/>
        <v/>
      </c>
      <c r="AT12" s="459">
        <f t="shared" si="2"/>
        <v>40728</v>
      </c>
      <c r="AU12" s="458" t="str">
        <f t="shared" si="2"/>
        <v/>
      </c>
      <c r="AV12" s="458" t="str">
        <f t="shared" si="2"/>
        <v/>
      </c>
      <c r="AW12" s="486" t="str">
        <f t="shared" si="2"/>
        <v/>
      </c>
      <c r="AX12" s="459">
        <f t="shared" si="2"/>
        <v>40756</v>
      </c>
      <c r="AY12" s="458" t="str">
        <f t="shared" si="2"/>
        <v/>
      </c>
      <c r="AZ12" s="458" t="str">
        <f t="shared" si="2"/>
        <v/>
      </c>
      <c r="BA12" s="458" t="str">
        <f t="shared" si="2"/>
        <v/>
      </c>
      <c r="BB12" s="486" t="str">
        <f t="shared" si="2"/>
        <v/>
      </c>
      <c r="BC12" s="459">
        <f t="shared" si="2"/>
        <v>40791</v>
      </c>
      <c r="BD12" s="458" t="str">
        <f t="shared" si="2"/>
        <v/>
      </c>
      <c r="BE12" s="458" t="str">
        <f t="shared" si="2"/>
        <v/>
      </c>
      <c r="BF12" s="486" t="str">
        <f t="shared" si="2"/>
        <v/>
      </c>
      <c r="BG12" s="459">
        <f t="shared" si="2"/>
        <v>40819</v>
      </c>
      <c r="BH12" s="458" t="str">
        <f t="shared" si="2"/>
        <v/>
      </c>
      <c r="BI12" s="458" t="str">
        <f t="shared" si="2"/>
        <v/>
      </c>
      <c r="BJ12" s="458" t="str">
        <f t="shared" si="2"/>
        <v/>
      </c>
      <c r="BK12" s="486" t="str">
        <f t="shared" si="2"/>
        <v/>
      </c>
      <c r="BL12" s="459">
        <f t="shared" si="2"/>
        <v>40854</v>
      </c>
      <c r="BM12" s="458" t="str">
        <f t="shared" si="2"/>
        <v/>
      </c>
      <c r="BN12" s="458" t="str">
        <f t="shared" si="2"/>
        <v/>
      </c>
      <c r="BO12" s="486" t="str">
        <f t="shared" si="2"/>
        <v/>
      </c>
      <c r="BP12" s="459">
        <f t="shared" si="2"/>
        <v>40882</v>
      </c>
      <c r="BQ12" s="458" t="str">
        <f t="shared" si="2"/>
        <v/>
      </c>
      <c r="BR12" s="458" t="str">
        <f t="shared" si="2"/>
        <v/>
      </c>
      <c r="BS12" s="486" t="str">
        <f t="shared" si="2"/>
        <v/>
      </c>
      <c r="BT12" s="459">
        <f t="shared" si="2"/>
        <v>40910</v>
      </c>
      <c r="BU12" s="458" t="str">
        <f t="shared" si="2"/>
        <v/>
      </c>
      <c r="BV12" s="458" t="str">
        <f t="shared" si="2"/>
        <v/>
      </c>
      <c r="BW12" s="458" t="str">
        <f t="shared" si="2"/>
        <v/>
      </c>
      <c r="BX12" s="486" t="str">
        <f>IF(MONTH(BX11)=MONTH(BW11),"",BX11)</f>
        <v/>
      </c>
      <c r="BY12" s="459">
        <f>IF(MONTH(BY11)=MONTH(BX11),"",BY11)</f>
        <v>40945</v>
      </c>
      <c r="BZ12" s="458" t="str">
        <f>IF(MONTH(BZ11)=MONTH(BY11),"",BZ11)</f>
        <v/>
      </c>
      <c r="CA12" s="605" t="str">
        <f>IF(MONTH(CA11)=MONTH(BZ11),"",CA11)</f>
        <v/>
      </c>
      <c r="CB12" s="489" t="str">
        <f>IF(MONTH(CB11)=MONTH(CA11),"",CB11)</f>
        <v/>
      </c>
    </row>
    <row r="13" spans="1:80" s="10" customFormat="1" ht="26.25" customHeight="1">
      <c r="A13" s="9"/>
      <c r="B13" s="28"/>
      <c r="C13" s="28"/>
      <c r="D13" s="28"/>
      <c r="E13" s="28"/>
      <c r="F13" s="28"/>
      <c r="G13" s="28"/>
      <c r="H13" s="28"/>
      <c r="I13" s="28"/>
      <c r="J13" s="473"/>
      <c r="K13" s="456" t="s">
        <v>468</v>
      </c>
      <c r="L13" s="474">
        <f t="shared" ref="L13:AQ13" si="3">L11-WEEKDAY(L11)+2</f>
        <v>40490</v>
      </c>
      <c r="M13" s="475">
        <f t="shared" si="3"/>
        <v>40497</v>
      </c>
      <c r="N13" s="475">
        <f t="shared" si="3"/>
        <v>40504</v>
      </c>
      <c r="O13" s="487">
        <f t="shared" si="3"/>
        <v>40511</v>
      </c>
      <c r="P13" s="474">
        <f t="shared" si="3"/>
        <v>40518</v>
      </c>
      <c r="Q13" s="475">
        <f t="shared" si="3"/>
        <v>40525</v>
      </c>
      <c r="R13" s="475">
        <f t="shared" si="3"/>
        <v>40532</v>
      </c>
      <c r="S13" s="487">
        <f t="shared" si="3"/>
        <v>40539</v>
      </c>
      <c r="T13" s="474">
        <f t="shared" si="3"/>
        <v>40546</v>
      </c>
      <c r="U13" s="475">
        <f t="shared" si="3"/>
        <v>40553</v>
      </c>
      <c r="V13" s="475">
        <f t="shared" si="3"/>
        <v>40560</v>
      </c>
      <c r="W13" s="475">
        <f t="shared" si="3"/>
        <v>40567</v>
      </c>
      <c r="X13" s="487">
        <f t="shared" si="3"/>
        <v>40574</v>
      </c>
      <c r="Y13" s="474">
        <f t="shared" si="3"/>
        <v>40581</v>
      </c>
      <c r="Z13" s="475">
        <f t="shared" si="3"/>
        <v>40588</v>
      </c>
      <c r="AA13" s="475">
        <f t="shared" si="3"/>
        <v>40595</v>
      </c>
      <c r="AB13" s="487">
        <f t="shared" si="3"/>
        <v>40602</v>
      </c>
      <c r="AC13" s="474">
        <f t="shared" si="3"/>
        <v>40609</v>
      </c>
      <c r="AD13" s="475">
        <f t="shared" si="3"/>
        <v>40616</v>
      </c>
      <c r="AE13" s="475">
        <f t="shared" si="3"/>
        <v>40623</v>
      </c>
      <c r="AF13" s="487">
        <f t="shared" si="3"/>
        <v>40630</v>
      </c>
      <c r="AG13" s="474">
        <f t="shared" si="3"/>
        <v>40637</v>
      </c>
      <c r="AH13" s="475">
        <f t="shared" si="3"/>
        <v>40644</v>
      </c>
      <c r="AI13" s="475">
        <f t="shared" si="3"/>
        <v>40651</v>
      </c>
      <c r="AJ13" s="487">
        <f t="shared" si="3"/>
        <v>40658</v>
      </c>
      <c r="AK13" s="474">
        <f t="shared" si="3"/>
        <v>40665</v>
      </c>
      <c r="AL13" s="475">
        <f t="shared" si="3"/>
        <v>40672</v>
      </c>
      <c r="AM13" s="475">
        <f t="shared" si="3"/>
        <v>40679</v>
      </c>
      <c r="AN13" s="475">
        <f t="shared" si="3"/>
        <v>40686</v>
      </c>
      <c r="AO13" s="487">
        <f t="shared" si="3"/>
        <v>40693</v>
      </c>
      <c r="AP13" s="474">
        <f t="shared" si="3"/>
        <v>40700</v>
      </c>
      <c r="AQ13" s="475">
        <f t="shared" si="3"/>
        <v>40707</v>
      </c>
      <c r="AR13" s="475">
        <f t="shared" ref="AR13:CB13" si="4">AR11-WEEKDAY(AR11)+2</f>
        <v>40714</v>
      </c>
      <c r="AS13" s="487">
        <f t="shared" si="4"/>
        <v>40721</v>
      </c>
      <c r="AT13" s="474">
        <f t="shared" si="4"/>
        <v>40728</v>
      </c>
      <c r="AU13" s="475">
        <f t="shared" si="4"/>
        <v>40735</v>
      </c>
      <c r="AV13" s="475">
        <f t="shared" si="4"/>
        <v>40742</v>
      </c>
      <c r="AW13" s="487">
        <f t="shared" si="4"/>
        <v>40749</v>
      </c>
      <c r="AX13" s="474">
        <f t="shared" si="4"/>
        <v>40756</v>
      </c>
      <c r="AY13" s="475">
        <f t="shared" si="4"/>
        <v>40763</v>
      </c>
      <c r="AZ13" s="475">
        <f t="shared" si="4"/>
        <v>40770</v>
      </c>
      <c r="BA13" s="475">
        <f t="shared" si="4"/>
        <v>40777</v>
      </c>
      <c r="BB13" s="487">
        <f t="shared" si="4"/>
        <v>40784</v>
      </c>
      <c r="BC13" s="474">
        <f t="shared" si="4"/>
        <v>40791</v>
      </c>
      <c r="BD13" s="475">
        <f t="shared" si="4"/>
        <v>40798</v>
      </c>
      <c r="BE13" s="475">
        <f t="shared" si="4"/>
        <v>40805</v>
      </c>
      <c r="BF13" s="487">
        <f t="shared" si="4"/>
        <v>40812</v>
      </c>
      <c r="BG13" s="474">
        <f t="shared" si="4"/>
        <v>40819</v>
      </c>
      <c r="BH13" s="475">
        <f t="shared" si="4"/>
        <v>40826</v>
      </c>
      <c r="BI13" s="475">
        <f t="shared" si="4"/>
        <v>40833</v>
      </c>
      <c r="BJ13" s="475">
        <f t="shared" si="4"/>
        <v>40840</v>
      </c>
      <c r="BK13" s="487">
        <f t="shared" si="4"/>
        <v>40847</v>
      </c>
      <c r="BL13" s="474">
        <f t="shared" si="4"/>
        <v>40854</v>
      </c>
      <c r="BM13" s="475">
        <f t="shared" si="4"/>
        <v>40861</v>
      </c>
      <c r="BN13" s="475">
        <f t="shared" si="4"/>
        <v>40868</v>
      </c>
      <c r="BO13" s="487">
        <f t="shared" si="4"/>
        <v>40875</v>
      </c>
      <c r="BP13" s="474">
        <f t="shared" si="4"/>
        <v>40882</v>
      </c>
      <c r="BQ13" s="475">
        <f t="shared" si="4"/>
        <v>40889</v>
      </c>
      <c r="BR13" s="475">
        <f t="shared" si="4"/>
        <v>40896</v>
      </c>
      <c r="BS13" s="487">
        <f t="shared" si="4"/>
        <v>40903</v>
      </c>
      <c r="BT13" s="474">
        <f t="shared" si="4"/>
        <v>40910</v>
      </c>
      <c r="BU13" s="475">
        <f t="shared" si="4"/>
        <v>40917</v>
      </c>
      <c r="BV13" s="475">
        <f t="shared" si="4"/>
        <v>40924</v>
      </c>
      <c r="BW13" s="475">
        <f t="shared" si="4"/>
        <v>40931</v>
      </c>
      <c r="BX13" s="487">
        <f t="shared" si="4"/>
        <v>40938</v>
      </c>
      <c r="BY13" s="474">
        <f t="shared" si="4"/>
        <v>40945</v>
      </c>
      <c r="BZ13" s="475">
        <f t="shared" si="4"/>
        <v>40952</v>
      </c>
      <c r="CA13" s="606">
        <f t="shared" si="4"/>
        <v>40959</v>
      </c>
      <c r="CB13" s="490">
        <f t="shared" si="4"/>
        <v>40966</v>
      </c>
    </row>
    <row r="14" spans="1:80" s="2" customFormat="1" ht="36">
      <c r="A14" s="1" t="s">
        <v>520</v>
      </c>
      <c r="B14" s="449" t="s">
        <v>521</v>
      </c>
      <c r="C14" s="33"/>
      <c r="D14" s="33" t="s">
        <v>618</v>
      </c>
      <c r="E14" s="33" t="s">
        <v>523</v>
      </c>
      <c r="F14" s="33" t="s">
        <v>524</v>
      </c>
      <c r="G14" s="33" t="s">
        <v>525</v>
      </c>
      <c r="H14" s="33" t="s">
        <v>526</v>
      </c>
      <c r="I14" s="33" t="s">
        <v>530</v>
      </c>
      <c r="J14" s="31"/>
      <c r="K14" s="455" t="s">
        <v>513</v>
      </c>
      <c r="L14" s="460">
        <f>semaine(L11)</f>
        <v>37</v>
      </c>
      <c r="M14" s="461">
        <f t="shared" ref="M14:BX14" si="5">semaine(M11)</f>
        <v>38</v>
      </c>
      <c r="N14" s="461">
        <f t="shared" si="5"/>
        <v>39</v>
      </c>
      <c r="O14" s="484">
        <f t="shared" si="5"/>
        <v>40</v>
      </c>
      <c r="P14" s="460">
        <f t="shared" si="5"/>
        <v>41</v>
      </c>
      <c r="Q14" s="461">
        <f t="shared" si="5"/>
        <v>42</v>
      </c>
      <c r="R14" s="461">
        <f t="shared" si="5"/>
        <v>43</v>
      </c>
      <c r="S14" s="484">
        <f t="shared" si="5"/>
        <v>44</v>
      </c>
      <c r="T14" s="460">
        <f t="shared" si="5"/>
        <v>-7</v>
      </c>
      <c r="U14" s="461">
        <f t="shared" si="5"/>
        <v>-6</v>
      </c>
      <c r="V14" s="461">
        <f t="shared" si="5"/>
        <v>-5</v>
      </c>
      <c r="W14" s="461">
        <f t="shared" si="5"/>
        <v>-4</v>
      </c>
      <c r="X14" s="484">
        <f t="shared" si="5"/>
        <v>-3</v>
      </c>
      <c r="Y14" s="460">
        <f t="shared" si="5"/>
        <v>-2</v>
      </c>
      <c r="Z14" s="461">
        <f t="shared" si="5"/>
        <v>-1</v>
      </c>
      <c r="AA14" s="461">
        <f t="shared" si="5"/>
        <v>53</v>
      </c>
      <c r="AB14" s="484">
        <f t="shared" si="5"/>
        <v>1</v>
      </c>
      <c r="AC14" s="460">
        <f t="shared" si="5"/>
        <v>2</v>
      </c>
      <c r="AD14" s="461">
        <f t="shared" si="5"/>
        <v>3</v>
      </c>
      <c r="AE14" s="461">
        <f t="shared" si="5"/>
        <v>4</v>
      </c>
      <c r="AF14" s="484">
        <f t="shared" si="5"/>
        <v>5</v>
      </c>
      <c r="AG14" s="460">
        <f t="shared" si="5"/>
        <v>6</v>
      </c>
      <c r="AH14" s="461">
        <f t="shared" si="5"/>
        <v>7</v>
      </c>
      <c r="AI14" s="461">
        <f t="shared" si="5"/>
        <v>8</v>
      </c>
      <c r="AJ14" s="484">
        <f t="shared" si="5"/>
        <v>9</v>
      </c>
      <c r="AK14" s="460">
        <f t="shared" si="5"/>
        <v>10</v>
      </c>
      <c r="AL14" s="461">
        <f t="shared" si="5"/>
        <v>11</v>
      </c>
      <c r="AM14" s="461">
        <f t="shared" si="5"/>
        <v>12</v>
      </c>
      <c r="AN14" s="461">
        <f t="shared" si="5"/>
        <v>13</v>
      </c>
      <c r="AO14" s="484">
        <f t="shared" si="5"/>
        <v>14</v>
      </c>
      <c r="AP14" s="460">
        <f t="shared" si="5"/>
        <v>15</v>
      </c>
      <c r="AQ14" s="461">
        <f t="shared" si="5"/>
        <v>16</v>
      </c>
      <c r="AR14" s="461">
        <f t="shared" si="5"/>
        <v>17</v>
      </c>
      <c r="AS14" s="484">
        <f t="shared" si="5"/>
        <v>18</v>
      </c>
      <c r="AT14" s="460">
        <f t="shared" si="5"/>
        <v>19</v>
      </c>
      <c r="AU14" s="461">
        <f t="shared" si="5"/>
        <v>20</v>
      </c>
      <c r="AV14" s="461">
        <f t="shared" si="5"/>
        <v>21</v>
      </c>
      <c r="AW14" s="484">
        <f t="shared" si="5"/>
        <v>22</v>
      </c>
      <c r="AX14" s="460">
        <f t="shared" si="5"/>
        <v>23</v>
      </c>
      <c r="AY14" s="461">
        <f t="shared" si="5"/>
        <v>24</v>
      </c>
      <c r="AZ14" s="461">
        <f t="shared" si="5"/>
        <v>25</v>
      </c>
      <c r="BA14" s="461">
        <f t="shared" si="5"/>
        <v>26</v>
      </c>
      <c r="BB14" s="484">
        <f t="shared" si="5"/>
        <v>27</v>
      </c>
      <c r="BC14" s="460">
        <f t="shared" si="5"/>
        <v>28</v>
      </c>
      <c r="BD14" s="461">
        <f t="shared" si="5"/>
        <v>29</v>
      </c>
      <c r="BE14" s="461">
        <f t="shared" si="5"/>
        <v>30</v>
      </c>
      <c r="BF14" s="484">
        <f t="shared" si="5"/>
        <v>31</v>
      </c>
      <c r="BG14" s="460">
        <f t="shared" si="5"/>
        <v>32</v>
      </c>
      <c r="BH14" s="461">
        <f t="shared" si="5"/>
        <v>33</v>
      </c>
      <c r="BI14" s="461">
        <f t="shared" si="5"/>
        <v>34</v>
      </c>
      <c r="BJ14" s="461">
        <f t="shared" si="5"/>
        <v>35</v>
      </c>
      <c r="BK14" s="484">
        <f t="shared" si="5"/>
        <v>36</v>
      </c>
      <c r="BL14" s="460">
        <f t="shared" si="5"/>
        <v>37</v>
      </c>
      <c r="BM14" s="461">
        <f t="shared" si="5"/>
        <v>38</v>
      </c>
      <c r="BN14" s="461">
        <f t="shared" si="5"/>
        <v>39</v>
      </c>
      <c r="BO14" s="484">
        <f t="shared" si="5"/>
        <v>40</v>
      </c>
      <c r="BP14" s="460">
        <f t="shared" si="5"/>
        <v>41</v>
      </c>
      <c r="BQ14" s="461">
        <f t="shared" si="5"/>
        <v>42</v>
      </c>
      <c r="BR14" s="461">
        <f t="shared" si="5"/>
        <v>43</v>
      </c>
      <c r="BS14" s="484">
        <f t="shared" si="5"/>
        <v>44</v>
      </c>
      <c r="BT14" s="460">
        <f t="shared" si="5"/>
        <v>-7</v>
      </c>
      <c r="BU14" s="461">
        <f t="shared" si="5"/>
        <v>-6</v>
      </c>
      <c r="BV14" s="461">
        <f t="shared" si="5"/>
        <v>-5</v>
      </c>
      <c r="BW14" s="461">
        <f t="shared" si="5"/>
        <v>-4</v>
      </c>
      <c r="BX14" s="484">
        <f t="shared" si="5"/>
        <v>-3</v>
      </c>
      <c r="BY14" s="460">
        <f>semaine(BY11)</f>
        <v>-2</v>
      </c>
      <c r="BZ14" s="461">
        <f>semaine(BZ11)</f>
        <v>-1</v>
      </c>
      <c r="CA14" s="607">
        <f>semaine(CA11)</f>
        <v>53</v>
      </c>
      <c r="CB14" s="491">
        <f>semaine(CB11)</f>
        <v>1</v>
      </c>
    </row>
    <row r="15" spans="1:80">
      <c r="A15" s="509"/>
      <c r="B15" s="551"/>
      <c r="C15" s="551"/>
      <c r="D15" s="551"/>
      <c r="E15" s="551"/>
      <c r="F15" s="551"/>
      <c r="G15" s="551"/>
      <c r="H15" s="551"/>
      <c r="I15" s="551"/>
      <c r="J15" s="551"/>
      <c r="K15" s="552"/>
      <c r="L15" s="603"/>
      <c r="M15" s="510"/>
      <c r="N15" s="510"/>
      <c r="O15" s="511"/>
      <c r="P15" s="603"/>
      <c r="Q15" s="510"/>
      <c r="R15" s="604"/>
      <c r="S15" s="511"/>
      <c r="T15" s="603"/>
      <c r="U15" s="604"/>
      <c r="V15" s="604"/>
      <c r="W15" s="604"/>
      <c r="X15" s="553"/>
      <c r="Y15" s="603"/>
      <c r="Z15" s="604"/>
      <c r="AA15" s="604"/>
      <c r="AB15" s="553"/>
      <c r="AC15" s="603"/>
      <c r="AD15" s="604"/>
      <c r="AE15" s="604"/>
      <c r="AF15" s="553"/>
      <c r="AG15" s="603"/>
      <c r="AH15" s="604"/>
      <c r="AI15" s="604"/>
      <c r="AJ15" s="553"/>
      <c r="AK15" s="603"/>
      <c r="AL15" s="604"/>
      <c r="AM15" s="604"/>
      <c r="AN15" s="604"/>
      <c r="AO15" s="553"/>
      <c r="AP15" s="603"/>
      <c r="AQ15" s="604"/>
      <c r="AR15" s="604"/>
      <c r="AS15" s="553"/>
      <c r="AT15" s="603"/>
      <c r="AU15" s="604"/>
      <c r="AV15" s="604"/>
      <c r="AW15" s="553"/>
      <c r="AX15" s="603"/>
      <c r="AY15" s="604"/>
      <c r="AZ15" s="604"/>
      <c r="BA15" s="604"/>
      <c r="BB15" s="553"/>
      <c r="BC15" s="603"/>
      <c r="BD15" s="604"/>
      <c r="BE15" s="604"/>
      <c r="BF15" s="553"/>
      <c r="BG15" s="603"/>
      <c r="BH15" s="604"/>
      <c r="BI15" s="604"/>
      <c r="BJ15" s="604"/>
      <c r="BK15" s="553"/>
      <c r="BL15" s="603"/>
      <c r="BM15" s="604"/>
      <c r="BN15" s="604"/>
      <c r="BO15" s="553"/>
      <c r="BP15" s="603"/>
      <c r="BQ15" s="604"/>
      <c r="BR15" s="604"/>
      <c r="BS15" s="553"/>
      <c r="BT15" s="603"/>
      <c r="BU15" s="604"/>
      <c r="BV15" s="604"/>
      <c r="BW15" s="604"/>
      <c r="BX15" s="553"/>
      <c r="BY15" s="603"/>
      <c r="BZ15" s="604"/>
      <c r="CA15" s="554"/>
      <c r="CB15" s="555"/>
    </row>
    <row r="16" spans="1:80" ht="12" thickBot="1">
      <c r="A16" s="547">
        <v>1</v>
      </c>
      <c r="B16" s="556" t="s">
        <v>495</v>
      </c>
      <c r="C16" s="545"/>
      <c r="D16" s="557">
        <f>DureeHL($L16:$CB16)</f>
        <v>11</v>
      </c>
      <c r="E16" s="545">
        <v>0</v>
      </c>
      <c r="F16" s="545"/>
      <c r="G16" s="545" t="str">
        <f t="shared" ref="G16:G22" si="6">Cadence($D16)</f>
        <v/>
      </c>
      <c r="H16" s="558">
        <f t="shared" ref="H16:H21" si="7">debut($L16:$CB16)</f>
        <v>0</v>
      </c>
      <c r="I16" s="558">
        <f t="shared" ref="I16:I21" si="8">Fin($L16:$CB16)</f>
        <v>0</v>
      </c>
      <c r="J16" s="545"/>
      <c r="K16" s="729"/>
      <c r="L16" s="733"/>
      <c r="M16" s="548"/>
      <c r="N16" s="548"/>
      <c r="O16" s="546"/>
      <c r="P16" s="734"/>
      <c r="Q16" s="732"/>
      <c r="R16" s="732"/>
      <c r="S16" s="731"/>
      <c r="T16" s="734"/>
      <c r="U16" s="732"/>
      <c r="V16" s="732"/>
      <c r="W16" s="732"/>
      <c r="X16" s="731"/>
      <c r="Y16" s="734"/>
      <c r="Z16" s="732"/>
      <c r="AA16" s="712"/>
      <c r="AB16" s="546"/>
      <c r="AC16" s="733"/>
      <c r="AD16" s="548"/>
      <c r="AE16" s="548"/>
      <c r="AF16" s="546"/>
      <c r="AG16" s="547"/>
      <c r="AH16" s="548"/>
      <c r="AI16" s="548"/>
      <c r="AJ16" s="546"/>
      <c r="AK16" s="547"/>
      <c r="AL16" s="548"/>
      <c r="AM16" s="548"/>
      <c r="AN16" s="548"/>
      <c r="AO16" s="546"/>
      <c r="AP16" s="547"/>
      <c r="AQ16" s="548"/>
      <c r="AR16" s="548"/>
      <c r="AS16" s="546"/>
      <c r="AT16" s="547"/>
      <c r="AU16" s="548"/>
      <c r="AV16" s="548"/>
      <c r="AW16" s="546"/>
      <c r="AX16" s="547"/>
      <c r="AY16" s="548"/>
      <c r="AZ16" s="548"/>
      <c r="BA16" s="548"/>
      <c r="BB16" s="546"/>
      <c r="BC16" s="547"/>
      <c r="BD16" s="548"/>
      <c r="BE16" s="548"/>
      <c r="BF16" s="546"/>
      <c r="BG16" s="547"/>
      <c r="BH16" s="548"/>
      <c r="BI16" s="548"/>
      <c r="BJ16" s="548"/>
      <c r="BK16" s="546"/>
      <c r="BL16" s="547"/>
      <c r="BM16" s="548"/>
      <c r="BN16" s="548"/>
      <c r="BO16" s="546"/>
      <c r="BP16" s="547"/>
      <c r="BQ16" s="548"/>
      <c r="BR16" s="548"/>
      <c r="BS16" s="546"/>
      <c r="BT16" s="547"/>
      <c r="BU16" s="548"/>
      <c r="BV16" s="548"/>
      <c r="BW16" s="548"/>
      <c r="BX16" s="546"/>
      <c r="BY16" s="515"/>
      <c r="BZ16" s="666"/>
      <c r="CA16" s="560"/>
      <c r="CB16" s="549"/>
    </row>
    <row r="17" spans="1:80" ht="12.75" thickTop="1" thickBot="1">
      <c r="A17" s="547">
        <v>2</v>
      </c>
      <c r="B17" s="556" t="s">
        <v>485</v>
      </c>
      <c r="C17" s="545"/>
      <c r="D17" s="557">
        <v>1</v>
      </c>
      <c r="E17" s="545">
        <v>0</v>
      </c>
      <c r="F17" s="545"/>
      <c r="G17" s="545" t="str">
        <f t="shared" si="6"/>
        <v/>
      </c>
      <c r="H17" s="558">
        <f t="shared" si="7"/>
        <v>0</v>
      </c>
      <c r="I17" s="558">
        <f t="shared" si="8"/>
        <v>0</v>
      </c>
      <c r="J17" s="730"/>
      <c r="K17" s="729"/>
      <c r="L17" s="733"/>
      <c r="M17" s="548"/>
      <c r="N17" s="548"/>
      <c r="O17" s="727"/>
      <c r="P17" s="725"/>
      <c r="Q17" s="726"/>
      <c r="R17" s="742"/>
      <c r="S17" s="744"/>
      <c r="T17" s="745"/>
      <c r="U17" s="743"/>
      <c r="V17" s="743"/>
      <c r="W17" s="743"/>
      <c r="X17" s="728"/>
      <c r="Y17" s="746"/>
      <c r="Z17" s="742"/>
      <c r="AA17" s="712"/>
      <c r="AB17" s="546"/>
      <c r="AC17" s="733"/>
      <c r="AD17" s="712"/>
      <c r="AE17" s="712"/>
      <c r="AF17" s="546"/>
      <c r="AG17" s="733"/>
      <c r="AH17" s="712"/>
      <c r="AI17" s="548"/>
      <c r="AJ17" s="546"/>
      <c r="AK17" s="547"/>
      <c r="AL17" s="548"/>
      <c r="AM17" s="548"/>
      <c r="AN17" s="548"/>
      <c r="AO17" s="546"/>
      <c r="AP17" s="547"/>
      <c r="AQ17" s="548"/>
      <c r="AR17" s="548"/>
      <c r="AS17" s="546"/>
      <c r="AT17" s="547"/>
      <c r="AU17" s="548"/>
      <c r="AV17" s="548"/>
      <c r="AW17" s="546"/>
      <c r="AX17" s="547"/>
      <c r="AY17" s="548"/>
      <c r="AZ17" s="548"/>
      <c r="BA17" s="548"/>
      <c r="BB17" s="546"/>
      <c r="BC17" s="547"/>
      <c r="BD17" s="548"/>
      <c r="BE17" s="548"/>
      <c r="BF17" s="546"/>
      <c r="BG17" s="547"/>
      <c r="BH17" s="548"/>
      <c r="BI17" s="548"/>
      <c r="BJ17" s="548"/>
      <c r="BK17" s="546"/>
      <c r="BL17" s="547"/>
      <c r="BM17" s="548"/>
      <c r="BN17" s="548"/>
      <c r="BO17" s="546"/>
      <c r="BP17" s="547"/>
      <c r="BQ17" s="548"/>
      <c r="BR17" s="548"/>
      <c r="BS17" s="546"/>
      <c r="BT17" s="547"/>
      <c r="BU17" s="548"/>
      <c r="BV17" s="548"/>
      <c r="BW17" s="548"/>
      <c r="BX17" s="546"/>
      <c r="BY17" s="515"/>
      <c r="BZ17" s="666"/>
      <c r="CA17" s="707"/>
      <c r="CB17" s="549"/>
    </row>
    <row r="18" spans="1:80" ht="12.75" thickTop="1" thickBot="1">
      <c r="A18" s="547">
        <v>2</v>
      </c>
      <c r="B18" s="556" t="s">
        <v>496</v>
      </c>
      <c r="C18" s="545"/>
      <c r="D18" s="557">
        <v>1</v>
      </c>
      <c r="E18" s="545">
        <v>0</v>
      </c>
      <c r="F18" s="545"/>
      <c r="G18" s="545" t="str">
        <f t="shared" si="6"/>
        <v/>
      </c>
      <c r="H18" s="558">
        <f t="shared" si="7"/>
        <v>0</v>
      </c>
      <c r="I18" s="558">
        <f t="shared" si="8"/>
        <v>0</v>
      </c>
      <c r="J18" s="730"/>
      <c r="K18" s="729"/>
      <c r="L18" s="547"/>
      <c r="M18" s="548"/>
      <c r="N18" s="548"/>
      <c r="O18" s="727"/>
      <c r="P18" s="725"/>
      <c r="Q18" s="726"/>
      <c r="R18" s="726"/>
      <c r="S18" s="727"/>
      <c r="T18" s="725"/>
      <c r="U18" s="726"/>
      <c r="V18" s="726"/>
      <c r="W18" s="726"/>
      <c r="X18" s="735"/>
      <c r="Y18" s="736"/>
      <c r="Z18" s="737"/>
      <c r="AA18" s="737"/>
      <c r="AB18" s="735"/>
      <c r="AC18" s="736"/>
      <c r="AD18" s="737"/>
      <c r="AE18" s="737"/>
      <c r="AF18" s="735"/>
      <c r="AG18" s="736"/>
      <c r="AH18" s="747"/>
      <c r="AI18" s="548"/>
      <c r="AJ18" s="546"/>
      <c r="AK18" s="547"/>
      <c r="AL18" s="548"/>
      <c r="AM18" s="548"/>
      <c r="AN18" s="548"/>
      <c r="AO18" s="546"/>
      <c r="AP18" s="547"/>
      <c r="AQ18" s="548"/>
      <c r="AR18" s="548"/>
      <c r="AS18" s="546"/>
      <c r="AT18" s="547"/>
      <c r="AU18" s="548"/>
      <c r="AV18" s="548"/>
      <c r="AW18" s="546"/>
      <c r="AX18" s="547"/>
      <c r="AY18" s="548"/>
      <c r="AZ18" s="548"/>
      <c r="BA18" s="548"/>
      <c r="BB18" s="546"/>
      <c r="BC18" s="547"/>
      <c r="BD18" s="548"/>
      <c r="BE18" s="548"/>
      <c r="BF18" s="546"/>
      <c r="BG18" s="547"/>
      <c r="BH18" s="548"/>
      <c r="BI18" s="548"/>
      <c r="BJ18" s="548"/>
      <c r="BK18" s="546"/>
      <c r="BL18" s="547"/>
      <c r="BM18" s="548"/>
      <c r="BN18" s="548"/>
      <c r="BO18" s="546"/>
      <c r="BP18" s="547"/>
      <c r="BQ18" s="548"/>
      <c r="BR18" s="548"/>
      <c r="BS18" s="546"/>
      <c r="BT18" s="547"/>
      <c r="BU18" s="548"/>
      <c r="BV18" s="548"/>
      <c r="BW18" s="548"/>
      <c r="BX18" s="546"/>
      <c r="BY18" s="515"/>
      <c r="BZ18" s="666"/>
      <c r="CA18" s="707"/>
      <c r="CB18" s="706"/>
    </row>
    <row r="19" spans="1:80" ht="12.75" thickTop="1" thickBot="1">
      <c r="A19" s="547">
        <v>3</v>
      </c>
      <c r="B19" s="556" t="s">
        <v>497</v>
      </c>
      <c r="C19" s="545"/>
      <c r="D19" s="557">
        <f>DureeHL($L19:$CB19)</f>
        <v>6</v>
      </c>
      <c r="E19" s="545">
        <v>0</v>
      </c>
      <c r="F19" s="545"/>
      <c r="G19" s="545" t="str">
        <f t="shared" si="6"/>
        <v/>
      </c>
      <c r="H19" s="558">
        <f t="shared" si="7"/>
        <v>0</v>
      </c>
      <c r="I19" s="558">
        <f t="shared" si="8"/>
        <v>0</v>
      </c>
      <c r="J19" s="543"/>
      <c r="K19" s="729"/>
      <c r="L19" s="547"/>
      <c r="M19" s="548"/>
      <c r="N19" s="548"/>
      <c r="O19" s="546"/>
      <c r="P19" s="547"/>
      <c r="Q19" s="548"/>
      <c r="R19" s="548"/>
      <c r="S19" s="546"/>
      <c r="T19" s="547"/>
      <c r="U19" s="548"/>
      <c r="V19" s="548"/>
      <c r="W19" s="548"/>
      <c r="X19" s="727"/>
      <c r="Y19" s="725"/>
      <c r="Z19" s="726"/>
      <c r="AA19" s="726"/>
      <c r="AB19" s="727"/>
      <c r="AC19" s="725"/>
      <c r="AD19" s="726"/>
      <c r="AE19" s="726"/>
      <c r="AF19" s="727"/>
      <c r="AG19" s="725"/>
      <c r="AH19" s="737"/>
      <c r="AI19" s="739"/>
      <c r="AJ19" s="740"/>
      <c r="AK19" s="738"/>
      <c r="AL19" s="739"/>
      <c r="AM19" s="741"/>
      <c r="AN19" s="548"/>
      <c r="AO19" s="546"/>
      <c r="AP19" s="547"/>
      <c r="AQ19" s="548"/>
      <c r="AR19" s="548"/>
      <c r="AS19" s="546"/>
      <c r="AT19" s="547"/>
      <c r="AU19" s="548"/>
      <c r="AV19" s="548"/>
      <c r="AW19" s="546"/>
      <c r="AX19" s="547"/>
      <c r="AY19" s="548"/>
      <c r="AZ19" s="548"/>
      <c r="BA19" s="548"/>
      <c r="BB19" s="546"/>
      <c r="BC19" s="547"/>
      <c r="BD19" s="548"/>
      <c r="BE19" s="548"/>
      <c r="BF19" s="546"/>
      <c r="BG19" s="547"/>
      <c r="BH19" s="548"/>
      <c r="BI19" s="548"/>
      <c r="BJ19" s="548"/>
      <c r="BK19" s="546"/>
      <c r="BL19" s="547"/>
      <c r="BM19" s="548"/>
      <c r="BN19" s="548"/>
      <c r="BO19" s="546"/>
      <c r="BP19" s="547"/>
      <c r="BQ19" s="548"/>
      <c r="BR19" s="548"/>
      <c r="BS19" s="546"/>
      <c r="BT19" s="547"/>
      <c r="BU19" s="548"/>
      <c r="BV19" s="548"/>
      <c r="BW19" s="548"/>
      <c r="BX19" s="546"/>
      <c r="BY19" s="515"/>
      <c r="BZ19" s="666"/>
      <c r="CA19" s="707"/>
      <c r="CB19" s="706"/>
    </row>
    <row r="20" spans="1:80" ht="12.75" thickTop="1" thickBot="1">
      <c r="A20" s="547">
        <v>4</v>
      </c>
      <c r="B20" s="556" t="s">
        <v>498</v>
      </c>
      <c r="C20" s="545"/>
      <c r="D20" s="557">
        <f>DureeHL($L20:$CB20)</f>
        <v>3</v>
      </c>
      <c r="E20" s="545">
        <v>182</v>
      </c>
      <c r="F20" s="545" t="s">
        <v>516</v>
      </c>
      <c r="G20" s="545" t="str">
        <f t="shared" si="6"/>
        <v/>
      </c>
      <c r="H20" s="558">
        <f t="shared" si="7"/>
        <v>0</v>
      </c>
      <c r="I20" s="558">
        <f t="shared" si="8"/>
        <v>0</v>
      </c>
      <c r="J20" s="545"/>
      <c r="K20" s="729"/>
      <c r="L20" s="733"/>
      <c r="M20" s="548"/>
      <c r="N20" s="548"/>
      <c r="O20" s="546"/>
      <c r="P20" s="547"/>
      <c r="Q20" s="548"/>
      <c r="R20" s="548"/>
      <c r="S20" s="546"/>
      <c r="T20" s="547"/>
      <c r="U20" s="548"/>
      <c r="V20" s="548"/>
      <c r="W20" s="548"/>
      <c r="X20" s="546"/>
      <c r="Y20" s="547"/>
      <c r="Z20" s="548"/>
      <c r="AA20" s="548"/>
      <c r="AB20" s="546"/>
      <c r="AC20" s="547"/>
      <c r="AD20" s="548"/>
      <c r="AE20" s="548"/>
      <c r="AF20" s="546"/>
      <c r="AG20" s="547"/>
      <c r="AH20" s="726"/>
      <c r="AI20" s="726"/>
      <c r="AJ20" s="727"/>
      <c r="AK20" s="725"/>
      <c r="AL20" s="726"/>
      <c r="AM20" s="550"/>
      <c r="AN20" s="756"/>
      <c r="AO20" s="756"/>
      <c r="AP20" s="734"/>
      <c r="AQ20" s="712"/>
      <c r="AR20" s="548"/>
      <c r="AS20" s="546"/>
      <c r="AT20" s="547"/>
      <c r="AU20" s="548"/>
      <c r="AV20" s="548"/>
      <c r="AW20" s="546"/>
      <c r="AX20" s="547"/>
      <c r="AY20" s="548"/>
      <c r="AZ20" s="548"/>
      <c r="BA20" s="548"/>
      <c r="BB20" s="546"/>
      <c r="BC20" s="547"/>
      <c r="BD20" s="548"/>
      <c r="BE20" s="548"/>
      <c r="BF20" s="546"/>
      <c r="BG20" s="547"/>
      <c r="BH20" s="548"/>
      <c r="BI20" s="548"/>
      <c r="BJ20" s="548"/>
      <c r="BK20" s="546"/>
      <c r="BL20" s="547"/>
      <c r="BM20" s="548"/>
      <c r="BN20" s="548"/>
      <c r="BO20" s="546"/>
      <c r="BP20" s="547"/>
      <c r="BQ20" s="548"/>
      <c r="BR20" s="548"/>
      <c r="BS20" s="546"/>
      <c r="BT20" s="547"/>
      <c r="BU20" s="548"/>
      <c r="BV20" s="548"/>
      <c r="BW20" s="548"/>
      <c r="BX20" s="546"/>
      <c r="BY20" s="515"/>
      <c r="BZ20" s="666"/>
      <c r="CA20" s="707"/>
      <c r="CB20" s="549"/>
    </row>
    <row r="21" spans="1:80" ht="12.75" thickTop="1" thickBot="1">
      <c r="A21" s="547">
        <v>4</v>
      </c>
      <c r="B21" s="556" t="s">
        <v>499</v>
      </c>
      <c r="C21" s="545"/>
      <c r="D21" s="557">
        <f>DureeHL($L21:$CB21)</f>
        <v>7</v>
      </c>
      <c r="E21" s="545">
        <v>182</v>
      </c>
      <c r="F21" s="545" t="s">
        <v>516</v>
      </c>
      <c r="G21" s="545" t="str">
        <f t="shared" si="6"/>
        <v/>
      </c>
      <c r="H21" s="558">
        <f t="shared" si="7"/>
        <v>0</v>
      </c>
      <c r="I21" s="558">
        <f t="shared" si="8"/>
        <v>0</v>
      </c>
      <c r="J21" s="545"/>
      <c r="K21" s="729"/>
      <c r="L21" s="547"/>
      <c r="M21" s="548"/>
      <c r="N21" s="548"/>
      <c r="O21" s="546"/>
      <c r="P21" s="547"/>
      <c r="Q21" s="548"/>
      <c r="R21" s="548"/>
      <c r="S21" s="546"/>
      <c r="T21" s="547"/>
      <c r="U21" s="548"/>
      <c r="V21" s="548"/>
      <c r="W21" s="548"/>
      <c r="X21" s="546"/>
      <c r="Y21" s="733"/>
      <c r="Z21" s="712"/>
      <c r="AA21" s="732"/>
      <c r="AB21" s="731"/>
      <c r="AC21" s="734"/>
      <c r="AD21" s="732"/>
      <c r="AE21" s="712"/>
      <c r="AF21" s="546"/>
      <c r="AG21" s="733"/>
      <c r="AH21" s="726"/>
      <c r="AI21" s="726"/>
      <c r="AJ21" s="727"/>
      <c r="AK21" s="725"/>
      <c r="AL21" s="726"/>
      <c r="AM21" s="755"/>
      <c r="AN21" s="754"/>
      <c r="AO21" s="754"/>
      <c r="AP21" s="754"/>
      <c r="AQ21" s="753"/>
      <c r="AR21" s="732"/>
      <c r="AS21" s="731"/>
      <c r="AT21" s="547"/>
      <c r="AU21" s="548"/>
      <c r="AV21" s="548"/>
      <c r="AW21" s="546"/>
      <c r="AX21" s="547"/>
      <c r="AY21" s="548"/>
      <c r="AZ21" s="548"/>
      <c r="BA21" s="548"/>
      <c r="BB21" s="546"/>
      <c r="BC21" s="547"/>
      <c r="BD21" s="548"/>
      <c r="BE21" s="548"/>
      <c r="BF21" s="546"/>
      <c r="BG21" s="547"/>
      <c r="BH21" s="548"/>
      <c r="BI21" s="548"/>
      <c r="BJ21" s="548"/>
      <c r="BK21" s="546"/>
      <c r="BL21" s="547"/>
      <c r="BM21" s="548"/>
      <c r="BN21" s="548"/>
      <c r="BO21" s="546"/>
      <c r="BP21" s="547"/>
      <c r="BQ21" s="548"/>
      <c r="BR21" s="548"/>
      <c r="BS21" s="546"/>
      <c r="BT21" s="547"/>
      <c r="BU21" s="548"/>
      <c r="BV21" s="548"/>
      <c r="BW21" s="548"/>
      <c r="BX21" s="546"/>
      <c r="BY21" s="515"/>
      <c r="BZ21" s="666"/>
      <c r="CA21" s="707"/>
      <c r="CB21" s="549"/>
    </row>
    <row r="22" spans="1:80" ht="12" thickTop="1">
      <c r="A22" s="547">
        <v>12</v>
      </c>
      <c r="B22" s="556"/>
      <c r="C22" s="556"/>
      <c r="D22" s="557" t="str">
        <f>DureeHL($L22:$CB22)</f>
        <v/>
      </c>
      <c r="E22" s="545"/>
      <c r="F22" s="545"/>
      <c r="G22" s="545" t="str">
        <f t="shared" si="6"/>
        <v/>
      </c>
      <c r="H22" s="558"/>
      <c r="I22" s="558"/>
      <c r="J22" s="545"/>
      <c r="K22" s="559"/>
      <c r="L22" s="547"/>
      <c r="M22" s="548"/>
      <c r="N22" s="548"/>
      <c r="O22" s="546"/>
      <c r="P22" s="547"/>
      <c r="Q22" s="548"/>
      <c r="R22" s="548"/>
      <c r="S22" s="546"/>
      <c r="T22" s="547"/>
      <c r="U22" s="548"/>
      <c r="V22" s="548"/>
      <c r="W22" s="548"/>
      <c r="X22" s="727"/>
      <c r="Y22" s="725"/>
      <c r="Z22" s="726"/>
      <c r="AA22" s="726"/>
      <c r="AB22" s="727"/>
      <c r="AC22" s="725"/>
      <c r="AD22" s="726"/>
      <c r="AE22" s="726"/>
      <c r="AF22" s="727"/>
      <c r="AG22" s="547"/>
      <c r="AH22" s="548"/>
      <c r="AI22" s="548"/>
      <c r="AJ22" s="546"/>
      <c r="AK22" s="547"/>
      <c r="AL22" s="548"/>
      <c r="AM22" s="726"/>
      <c r="AN22" s="726"/>
      <c r="AO22" s="727"/>
      <c r="AP22" s="725"/>
      <c r="AQ22" s="726"/>
      <c r="AR22" s="726"/>
      <c r="AS22" s="727"/>
      <c r="AT22" s="547"/>
      <c r="AU22" s="548"/>
      <c r="AV22" s="548"/>
      <c r="AW22" s="546"/>
      <c r="AX22" s="547"/>
      <c r="AY22" s="548"/>
      <c r="AZ22" s="548"/>
      <c r="BA22" s="548"/>
      <c r="BB22" s="546"/>
      <c r="BC22" s="547"/>
      <c r="BD22" s="548"/>
      <c r="BE22" s="548"/>
      <c r="BF22" s="546"/>
      <c r="BG22" s="547"/>
      <c r="BH22" s="548"/>
      <c r="BI22" s="548"/>
      <c r="BJ22" s="548"/>
      <c r="BK22" s="546"/>
      <c r="BL22" s="547"/>
      <c r="BM22" s="548"/>
      <c r="BN22" s="548"/>
      <c r="BO22" s="546"/>
      <c r="BP22" s="547"/>
      <c r="BQ22" s="548"/>
      <c r="BR22" s="548"/>
      <c r="BS22" s="546"/>
      <c r="BT22" s="547"/>
      <c r="BU22" s="548"/>
      <c r="BV22" s="548"/>
      <c r="BW22" s="548"/>
      <c r="BX22" s="546"/>
      <c r="BY22" s="547"/>
      <c r="BZ22" s="548"/>
      <c r="CA22" s="560"/>
      <c r="CB22" s="549"/>
    </row>
    <row r="23" spans="1:80" s="10" customFormat="1">
      <c r="A23" s="547">
        <v>13</v>
      </c>
      <c r="B23" s="545"/>
      <c r="C23" s="545"/>
      <c r="D23" s="545"/>
      <c r="E23" s="545"/>
      <c r="F23" s="545"/>
      <c r="G23" s="545"/>
      <c r="H23" s="545"/>
      <c r="I23" s="545"/>
      <c r="J23" s="545"/>
      <c r="K23" s="559"/>
      <c r="L23" s="547"/>
      <c r="M23" s="548"/>
      <c r="N23" s="548"/>
      <c r="O23" s="546"/>
      <c r="P23" s="547"/>
      <c r="Q23" s="548"/>
      <c r="R23" s="548"/>
      <c r="S23" s="546"/>
      <c r="T23" s="547"/>
      <c r="U23" s="548"/>
      <c r="V23" s="548"/>
      <c r="W23" s="548"/>
      <c r="X23" s="546"/>
      <c r="Y23" s="547"/>
      <c r="Z23" s="548"/>
      <c r="AA23" s="548"/>
      <c r="AB23" s="546"/>
      <c r="AC23" s="547"/>
      <c r="AD23" s="548"/>
      <c r="AE23" s="548"/>
      <c r="AF23" s="546"/>
      <c r="AG23" s="547"/>
      <c r="AH23" s="548"/>
      <c r="AI23" s="548"/>
      <c r="AJ23" s="546"/>
      <c r="AK23" s="547"/>
      <c r="AL23" s="548"/>
      <c r="AM23" s="548"/>
      <c r="AN23" s="548"/>
      <c r="AO23" s="546"/>
      <c r="AP23" s="547"/>
      <c r="AQ23" s="548"/>
      <c r="AR23" s="548"/>
      <c r="AS23" s="546"/>
      <c r="AT23" s="547"/>
      <c r="AU23" s="548"/>
      <c r="AV23" s="548"/>
      <c r="AW23" s="546"/>
      <c r="AX23" s="547"/>
      <c r="AY23" s="548"/>
      <c r="AZ23" s="548"/>
      <c r="BA23" s="548"/>
      <c r="BB23" s="546"/>
      <c r="BC23" s="547"/>
      <c r="BD23" s="548"/>
      <c r="BE23" s="548"/>
      <c r="BF23" s="546"/>
      <c r="BG23" s="547"/>
      <c r="BH23" s="548"/>
      <c r="BI23" s="548"/>
      <c r="BJ23" s="548"/>
      <c r="BK23" s="546"/>
      <c r="BL23" s="547"/>
      <c r="BM23" s="548"/>
      <c r="BN23" s="548"/>
      <c r="BO23" s="546"/>
      <c r="BP23" s="547"/>
      <c r="BQ23" s="548"/>
      <c r="BR23" s="548"/>
      <c r="BS23" s="546"/>
      <c r="BT23" s="547"/>
      <c r="BU23" s="548"/>
      <c r="BV23" s="548"/>
      <c r="BW23" s="548"/>
      <c r="BX23" s="546"/>
      <c r="BY23" s="547"/>
      <c r="BZ23" s="548"/>
      <c r="CA23" s="560"/>
      <c r="CB23" s="549"/>
    </row>
    <row r="24" spans="1:80">
      <c r="A24" s="562">
        <v>14</v>
      </c>
      <c r="B24" s="563" t="s">
        <v>590</v>
      </c>
      <c r="C24" s="564" t="s">
        <v>591</v>
      </c>
      <c r="D24" s="565"/>
      <c r="E24" s="566"/>
      <c r="F24" s="566"/>
      <c r="G24" s="566"/>
      <c r="H24" s="566"/>
      <c r="I24" s="566" t="s">
        <v>592</v>
      </c>
      <c r="J24" s="567">
        <f>SUBTOTAL(9,J25:J285)</f>
        <v>98296.74083333333</v>
      </c>
      <c r="K24" s="568" t="str">
        <f>IF(J24=0,"C","")</f>
        <v/>
      </c>
      <c r="L24" s="547"/>
      <c r="M24" s="548"/>
      <c r="N24" s="548"/>
      <c r="O24" s="546"/>
      <c r="P24" s="547"/>
      <c r="Q24" s="548"/>
      <c r="R24" s="548"/>
      <c r="S24" s="546"/>
      <c r="T24" s="547"/>
      <c r="U24" s="548"/>
      <c r="V24" s="548"/>
      <c r="W24" s="548"/>
      <c r="X24" s="546"/>
      <c r="Y24" s="547"/>
      <c r="Z24" s="548"/>
      <c r="AA24" s="548"/>
      <c r="AB24" s="546"/>
      <c r="AC24" s="547"/>
      <c r="AD24" s="548"/>
      <c r="AE24" s="548"/>
      <c r="AF24" s="546"/>
      <c r="AG24" s="547"/>
      <c r="AH24" s="548"/>
      <c r="AI24" s="548"/>
      <c r="AJ24" s="546"/>
      <c r="AK24" s="547"/>
      <c r="AL24" s="548"/>
      <c r="AM24" s="548"/>
      <c r="AN24" s="548"/>
      <c r="AO24" s="546"/>
      <c r="AP24" s="547"/>
      <c r="AQ24" s="548"/>
      <c r="AR24" s="548"/>
      <c r="AS24" s="546"/>
      <c r="AT24" s="547"/>
      <c r="AU24" s="548"/>
      <c r="AV24" s="548"/>
      <c r="AW24" s="546"/>
      <c r="AX24" s="547"/>
      <c r="AY24" s="548"/>
      <c r="AZ24" s="548"/>
      <c r="BA24" s="548"/>
      <c r="BB24" s="546"/>
      <c r="BC24" s="547"/>
      <c r="BD24" s="548"/>
      <c r="BE24" s="548"/>
      <c r="BF24" s="546"/>
      <c r="BG24" s="547"/>
      <c r="BH24" s="548"/>
      <c r="BI24" s="548"/>
      <c r="BJ24" s="548"/>
      <c r="BK24" s="546"/>
      <c r="BL24" s="547"/>
      <c r="BM24" s="548"/>
      <c r="BN24" s="548"/>
      <c r="BO24" s="546"/>
      <c r="BP24" s="547"/>
      <c r="BQ24" s="548"/>
      <c r="BR24" s="548"/>
      <c r="BS24" s="546"/>
      <c r="BT24" s="547"/>
      <c r="BU24" s="548"/>
      <c r="BV24" s="548"/>
      <c r="BW24" s="548"/>
      <c r="BX24" s="546"/>
      <c r="BY24" s="547"/>
      <c r="BZ24" s="548"/>
      <c r="CA24" s="560"/>
      <c r="CB24" s="549"/>
    </row>
    <row r="25" spans="1:80">
      <c r="A25" s="569">
        <v>15</v>
      </c>
      <c r="B25" s="570" t="s">
        <v>593</v>
      </c>
      <c r="C25" s="571"/>
      <c r="D25" s="572"/>
      <c r="E25" s="572"/>
      <c r="F25" s="572"/>
      <c r="G25" s="572"/>
      <c r="H25" s="573"/>
      <c r="I25" s="574" t="s">
        <v>594</v>
      </c>
      <c r="J25" s="575">
        <f>SUBTOTAL(9,J27:J166)</f>
        <v>26364.300833333331</v>
      </c>
      <c r="K25" s="576" t="str">
        <f t="shared" ref="K25:K227" si="9">IF(J25=0,"C","")</f>
        <v/>
      </c>
      <c r="L25" s="547"/>
      <c r="M25" s="548"/>
      <c r="N25" s="548"/>
      <c r="O25" s="546"/>
      <c r="P25" s="547"/>
      <c r="Q25" s="548"/>
      <c r="R25" s="548"/>
      <c r="S25" s="546"/>
      <c r="T25" s="547"/>
      <c r="U25" s="548"/>
      <c r="V25" s="548"/>
      <c r="W25" s="548"/>
      <c r="X25" s="546"/>
      <c r="Y25" s="547"/>
      <c r="Z25" s="548"/>
      <c r="AA25" s="548"/>
      <c r="AB25" s="546"/>
      <c r="AC25" s="547"/>
      <c r="AD25" s="548"/>
      <c r="AE25" s="548"/>
      <c r="AF25" s="546"/>
      <c r="AG25" s="547"/>
      <c r="AH25" s="548"/>
      <c r="AI25" s="548"/>
      <c r="AJ25" s="546"/>
      <c r="AK25" s="547"/>
      <c r="AL25" s="548"/>
      <c r="AM25" s="548"/>
      <c r="AN25" s="548"/>
      <c r="AO25" s="546"/>
      <c r="AP25" s="547"/>
      <c r="AQ25" s="548"/>
      <c r="AR25" s="548"/>
      <c r="AS25" s="546"/>
      <c r="AT25" s="547"/>
      <c r="AU25" s="548"/>
      <c r="AV25" s="548"/>
      <c r="AW25" s="546"/>
      <c r="AX25" s="547"/>
      <c r="AY25" s="548"/>
      <c r="AZ25" s="548"/>
      <c r="BA25" s="548"/>
      <c r="BB25" s="546"/>
      <c r="BC25" s="547"/>
      <c r="BD25" s="548"/>
      <c r="BE25" s="548"/>
      <c r="BF25" s="546"/>
      <c r="BG25" s="547"/>
      <c r="BH25" s="548"/>
      <c r="BI25" s="548"/>
      <c r="BJ25" s="548"/>
      <c r="BK25" s="546"/>
      <c r="BL25" s="547"/>
      <c r="BM25" s="548"/>
      <c r="BN25" s="548"/>
      <c r="BO25" s="546"/>
      <c r="BP25" s="547"/>
      <c r="BQ25" s="548"/>
      <c r="BR25" s="548"/>
      <c r="BS25" s="546"/>
      <c r="BT25" s="547"/>
      <c r="BU25" s="548"/>
      <c r="BV25" s="548"/>
      <c r="BW25" s="548"/>
      <c r="BX25" s="546"/>
      <c r="BY25" s="547"/>
      <c r="BZ25" s="548"/>
      <c r="CA25" s="560"/>
      <c r="CB25" s="549"/>
    </row>
    <row r="26" spans="1:80">
      <c r="A26" s="569">
        <v>16</v>
      </c>
      <c r="B26" s="577" t="s">
        <v>595</v>
      </c>
      <c r="C26" s="578"/>
      <c r="D26" s="578" t="s">
        <v>618</v>
      </c>
      <c r="E26" s="578" t="s">
        <v>523</v>
      </c>
      <c r="F26" s="578" t="s">
        <v>524</v>
      </c>
      <c r="G26" s="578" t="s">
        <v>596</v>
      </c>
      <c r="H26" s="579"/>
      <c r="I26" s="580"/>
      <c r="J26" s="580" t="s">
        <v>597</v>
      </c>
      <c r="K26" s="581" t="str">
        <f>IF(J25=0,"C","")</f>
        <v/>
      </c>
      <c r="L26" s="547"/>
      <c r="M26" s="548"/>
      <c r="N26" s="548"/>
      <c r="O26" s="546"/>
      <c r="P26" s="547"/>
      <c r="Q26" s="548"/>
      <c r="R26" s="548"/>
      <c r="S26" s="546"/>
      <c r="T26" s="547"/>
      <c r="U26" s="548"/>
      <c r="V26" s="548"/>
      <c r="W26" s="548"/>
      <c r="X26" s="546"/>
      <c r="Y26" s="547"/>
      <c r="Z26" s="548"/>
      <c r="AA26" s="548"/>
      <c r="AB26" s="546"/>
      <c r="AC26" s="547"/>
      <c r="AD26" s="548"/>
      <c r="AE26" s="548"/>
      <c r="AF26" s="546"/>
      <c r="AG26" s="547"/>
      <c r="AH26" s="548"/>
      <c r="AI26" s="548"/>
      <c r="AJ26" s="546"/>
      <c r="AK26" s="547"/>
      <c r="AL26" s="548"/>
      <c r="AM26" s="548"/>
      <c r="AN26" s="548"/>
      <c r="AO26" s="546"/>
      <c r="AP26" s="547"/>
      <c r="AQ26" s="548"/>
      <c r="AR26" s="548"/>
      <c r="AS26" s="546"/>
      <c r="AT26" s="547"/>
      <c r="AU26" s="548"/>
      <c r="AV26" s="548"/>
      <c r="AW26" s="546"/>
      <c r="AX26" s="547"/>
      <c r="AY26" s="548"/>
      <c r="AZ26" s="548"/>
      <c r="BA26" s="548"/>
      <c r="BB26" s="546"/>
      <c r="BC26" s="547"/>
      <c r="BD26" s="548"/>
      <c r="BE26" s="548"/>
      <c r="BF26" s="546"/>
      <c r="BG26" s="547"/>
      <c r="BH26" s="548"/>
      <c r="BI26" s="548"/>
      <c r="BJ26" s="548"/>
      <c r="BK26" s="546"/>
      <c r="BL26" s="547"/>
      <c r="BM26" s="548"/>
      <c r="BN26" s="548"/>
      <c r="BO26" s="546"/>
      <c r="BP26" s="547"/>
      <c r="BQ26" s="548"/>
      <c r="BR26" s="548"/>
      <c r="BS26" s="546"/>
      <c r="BT26" s="547"/>
      <c r="BU26" s="548"/>
      <c r="BV26" s="548"/>
      <c r="BW26" s="548"/>
      <c r="BX26" s="546"/>
      <c r="BY26" s="547"/>
      <c r="BZ26" s="548"/>
      <c r="CA26" s="560"/>
      <c r="CB26" s="549"/>
    </row>
    <row r="27" spans="1:80">
      <c r="A27" s="582">
        <v>17</v>
      </c>
      <c r="B27" s="583" t="s">
        <v>625</v>
      </c>
      <c r="C27" s="584"/>
      <c r="D27" s="584"/>
      <c r="E27" s="584"/>
      <c r="F27" s="584"/>
      <c r="G27" s="584"/>
      <c r="H27" s="585"/>
      <c r="I27" s="586" t="s">
        <v>594</v>
      </c>
      <c r="J27" s="587">
        <f>SUBTOTAL(9,J28:J140)</f>
        <v>20722.020833333332</v>
      </c>
      <c r="K27" s="588" t="str">
        <f t="shared" si="9"/>
        <v/>
      </c>
      <c r="L27" s="547"/>
      <c r="M27" s="548"/>
      <c r="N27" s="548"/>
      <c r="O27" s="546"/>
      <c r="P27" s="547"/>
      <c r="Q27" s="548"/>
      <c r="R27" s="548"/>
      <c r="S27" s="546"/>
      <c r="T27" s="547"/>
      <c r="U27" s="548"/>
      <c r="V27" s="548"/>
      <c r="W27" s="548"/>
      <c r="X27" s="546"/>
      <c r="Y27" s="547"/>
      <c r="Z27" s="548"/>
      <c r="AA27" s="548"/>
      <c r="AB27" s="546"/>
      <c r="AC27" s="547"/>
      <c r="AD27" s="548"/>
      <c r="AE27" s="548"/>
      <c r="AF27" s="546"/>
      <c r="AG27" s="547"/>
      <c r="AH27" s="548"/>
      <c r="AI27" s="548"/>
      <c r="AJ27" s="546"/>
      <c r="AK27" s="547"/>
      <c r="AL27" s="548"/>
      <c r="AM27" s="548"/>
      <c r="AN27" s="548"/>
      <c r="AO27" s="546"/>
      <c r="AP27" s="547"/>
      <c r="AQ27" s="548"/>
      <c r="AR27" s="548"/>
      <c r="AS27" s="546"/>
      <c r="AT27" s="547"/>
      <c r="AU27" s="548"/>
      <c r="AV27" s="548"/>
      <c r="AW27" s="546"/>
      <c r="AX27" s="547"/>
      <c r="AY27" s="548"/>
      <c r="AZ27" s="548"/>
      <c r="BA27" s="548"/>
      <c r="BB27" s="546"/>
      <c r="BC27" s="547"/>
      <c r="BD27" s="548"/>
      <c r="BE27" s="548"/>
      <c r="BF27" s="546"/>
      <c r="BG27" s="547"/>
      <c r="BH27" s="548"/>
      <c r="BI27" s="548"/>
      <c r="BJ27" s="548"/>
      <c r="BK27" s="546"/>
      <c r="BL27" s="547"/>
      <c r="BM27" s="548"/>
      <c r="BN27" s="548"/>
      <c r="BO27" s="546"/>
      <c r="BP27" s="547"/>
      <c r="BQ27" s="548"/>
      <c r="BR27" s="548"/>
      <c r="BS27" s="546"/>
      <c r="BT27" s="547"/>
      <c r="BU27" s="548"/>
      <c r="BV27" s="548"/>
      <c r="BW27" s="548"/>
      <c r="BX27" s="546"/>
      <c r="BY27" s="547"/>
      <c r="BZ27" s="548"/>
      <c r="CA27" s="560"/>
      <c r="CB27" s="549"/>
    </row>
    <row r="28" spans="1:80" outlineLevel="1">
      <c r="A28" s="515">
        <v>18</v>
      </c>
      <c r="B28" s="556"/>
      <c r="C28" s="545"/>
      <c r="D28" s="557"/>
      <c r="E28" s="545"/>
      <c r="F28" s="545"/>
      <c r="G28" s="589"/>
      <c r="H28" s="558"/>
      <c r="I28" s="558"/>
      <c r="J28" s="589" t="s">
        <v>624</v>
      </c>
      <c r="K28" s="590" t="str">
        <f t="shared" si="9"/>
        <v/>
      </c>
      <c r="L28" s="547"/>
      <c r="M28" s="548"/>
      <c r="N28" s="548"/>
      <c r="O28" s="546"/>
      <c r="P28" s="547"/>
      <c r="Q28" s="548"/>
      <c r="R28" s="548"/>
      <c r="S28" s="546"/>
      <c r="T28" s="547"/>
      <c r="U28" s="548"/>
      <c r="V28" s="548"/>
      <c r="W28" s="548"/>
      <c r="X28" s="546"/>
      <c r="Y28" s="547"/>
      <c r="Z28" s="548"/>
      <c r="AA28" s="548"/>
      <c r="AB28" s="546"/>
      <c r="AC28" s="547"/>
      <c r="AD28" s="548"/>
      <c r="AE28" s="548"/>
      <c r="AF28" s="546"/>
      <c r="AG28" s="547"/>
      <c r="AH28" s="548"/>
      <c r="AI28" s="548"/>
      <c r="AJ28" s="546"/>
      <c r="AK28" s="547"/>
      <c r="AL28" s="548"/>
      <c r="AM28" s="548"/>
      <c r="AN28" s="548"/>
      <c r="AO28" s="546"/>
      <c r="AP28" s="547"/>
      <c r="AQ28" s="548"/>
      <c r="AR28" s="548"/>
      <c r="AS28" s="546"/>
      <c r="AT28" s="547"/>
      <c r="AU28" s="548"/>
      <c r="AV28" s="548"/>
      <c r="AW28" s="546"/>
      <c r="AX28" s="547"/>
      <c r="AY28" s="548"/>
      <c r="AZ28" s="548"/>
      <c r="BA28" s="548"/>
      <c r="BB28" s="546"/>
      <c r="BC28" s="547"/>
      <c r="BD28" s="548"/>
      <c r="BE28" s="548"/>
      <c r="BF28" s="546"/>
      <c r="BG28" s="547"/>
      <c r="BH28" s="548"/>
      <c r="BI28" s="548"/>
      <c r="BJ28" s="548"/>
      <c r="BK28" s="546"/>
      <c r="BL28" s="547"/>
      <c r="BM28" s="548"/>
      <c r="BN28" s="548"/>
      <c r="BO28" s="546"/>
      <c r="BP28" s="547"/>
      <c r="BQ28" s="548"/>
      <c r="BR28" s="548"/>
      <c r="BS28" s="546"/>
      <c r="BT28" s="547"/>
      <c r="BU28" s="548"/>
      <c r="BV28" s="548"/>
      <c r="BW28" s="548"/>
      <c r="BX28" s="546"/>
      <c r="BY28" s="547"/>
      <c r="BZ28" s="548"/>
      <c r="CA28" s="560"/>
      <c r="CB28" s="549"/>
    </row>
    <row r="29" spans="1:80" ht="12" outlineLevel="1" thickBot="1">
      <c r="A29" s="515">
        <v>19</v>
      </c>
      <c r="B29" s="556" t="s">
        <v>619</v>
      </c>
      <c r="C29" s="545"/>
      <c r="D29" s="557">
        <f>DureeHL($L29:$CB29)</f>
        <v>17</v>
      </c>
      <c r="E29" s="589">
        <f>SUM(I30:I49)</f>
        <v>165.375</v>
      </c>
      <c r="F29" s="545" t="s">
        <v>533</v>
      </c>
      <c r="G29" s="589" t="s">
        <v>452</v>
      </c>
      <c r="H29" s="591"/>
      <c r="I29" s="558"/>
      <c r="J29" s="592" t="str">
        <f>IF(SUM(J30:J57)=0,0," ")</f>
        <v xml:space="preserve"> </v>
      </c>
      <c r="K29" s="590" t="str">
        <f t="shared" si="9"/>
        <v/>
      </c>
      <c r="L29" s="733"/>
      <c r="M29" s="548"/>
      <c r="N29" s="548"/>
      <c r="O29" s="561"/>
      <c r="P29" s="749"/>
      <c r="Q29" s="748"/>
      <c r="R29" s="748"/>
      <c r="S29" s="561"/>
      <c r="T29" s="749"/>
      <c r="U29" s="748"/>
      <c r="V29" s="748"/>
      <c r="W29" s="748"/>
      <c r="X29" s="561"/>
      <c r="Y29" s="749"/>
      <c r="Z29" s="748"/>
      <c r="AA29" s="748"/>
      <c r="AB29" s="561"/>
      <c r="AC29" s="749"/>
      <c r="AD29" s="748"/>
      <c r="AE29" s="748"/>
      <c r="AF29" s="546"/>
      <c r="AG29" s="733"/>
      <c r="AH29" s="712"/>
      <c r="AI29" s="712"/>
      <c r="AJ29" s="546"/>
      <c r="AK29" s="733"/>
      <c r="AL29" s="712"/>
      <c r="AM29" s="712"/>
      <c r="AN29" s="712"/>
      <c r="AO29" s="546"/>
      <c r="AP29" s="547"/>
      <c r="AQ29" s="548"/>
      <c r="AR29" s="548"/>
      <c r="AS29" s="546"/>
      <c r="AT29" s="547"/>
      <c r="AU29" s="548"/>
      <c r="AV29" s="548"/>
      <c r="AW29" s="546"/>
      <c r="AX29" s="547"/>
      <c r="AY29" s="548"/>
      <c r="AZ29" s="548"/>
      <c r="BA29" s="548"/>
      <c r="BB29" s="546"/>
      <c r="BC29" s="547"/>
      <c r="BD29" s="548"/>
      <c r="BE29" s="548"/>
      <c r="BF29" s="546"/>
      <c r="BG29" s="547"/>
      <c r="BH29" s="548"/>
      <c r="BI29" s="548"/>
      <c r="BJ29" s="548"/>
      <c r="BK29" s="546"/>
      <c r="BL29" s="547"/>
      <c r="BM29" s="548"/>
      <c r="BN29" s="548"/>
      <c r="BO29" s="546"/>
      <c r="BP29" s="547"/>
      <c r="BQ29" s="548"/>
      <c r="BR29" s="548"/>
      <c r="BS29" s="546"/>
      <c r="BT29" s="547"/>
      <c r="BU29" s="548"/>
      <c r="BV29" s="548"/>
      <c r="BW29" s="548"/>
      <c r="BX29" s="546"/>
      <c r="BY29" s="547"/>
      <c r="BZ29" s="548"/>
      <c r="CA29" s="560"/>
      <c r="CB29" s="549"/>
    </row>
    <row r="30" spans="1:80" ht="12" outlineLevel="2" thickTop="1">
      <c r="A30" s="515">
        <v>20</v>
      </c>
      <c r="B30" s="556" t="s">
        <v>15</v>
      </c>
      <c r="C30" s="545"/>
      <c r="D30" s="557">
        <f>D29</f>
        <v>17</v>
      </c>
      <c r="E30" s="545">
        <v>12</v>
      </c>
      <c r="F30" s="545" t="s">
        <v>532</v>
      </c>
      <c r="G30" s="589">
        <v>3.9895833333333339</v>
      </c>
      <c r="H30" s="591">
        <v>7</v>
      </c>
      <c r="I30" s="591">
        <f>H30*E30</f>
        <v>84</v>
      </c>
      <c r="J30" s="589">
        <f>IF(D30="Achat",1,IF(D30="",0,D30*7))*E30*G30</f>
        <v>5697.1250000000009</v>
      </c>
      <c r="K30" s="590" t="str">
        <f t="shared" si="9"/>
        <v/>
      </c>
      <c r="L30" s="547"/>
      <c r="M30" s="548"/>
      <c r="N30" s="548"/>
      <c r="O30" s="727"/>
      <c r="P30" s="725"/>
      <c r="Q30" s="726"/>
      <c r="R30" s="726"/>
      <c r="S30" s="727"/>
      <c r="T30" s="725"/>
      <c r="U30" s="726"/>
      <c r="V30" s="726"/>
      <c r="W30" s="726"/>
      <c r="X30" s="727"/>
      <c r="Y30" s="725"/>
      <c r="Z30" s="726"/>
      <c r="AA30" s="726"/>
      <c r="AB30" s="727"/>
      <c r="AC30" s="725"/>
      <c r="AD30" s="726"/>
      <c r="AE30" s="726"/>
      <c r="AF30" s="727"/>
      <c r="AG30" s="725"/>
      <c r="AH30" s="726"/>
      <c r="AI30" s="726"/>
      <c r="AJ30" s="727"/>
      <c r="AK30" s="725"/>
      <c r="AL30" s="726"/>
      <c r="AM30" s="726"/>
      <c r="AN30" s="726"/>
      <c r="AO30" s="727"/>
      <c r="AP30" s="547"/>
      <c r="AQ30" s="548"/>
      <c r="AR30" s="548"/>
      <c r="AS30" s="546"/>
      <c r="AT30" s="547"/>
      <c r="AU30" s="548"/>
      <c r="AV30" s="548"/>
      <c r="AW30" s="546"/>
      <c r="AX30" s="547"/>
      <c r="AY30" s="548"/>
      <c r="AZ30" s="548"/>
      <c r="BA30" s="548"/>
      <c r="BB30" s="546"/>
      <c r="BC30" s="547"/>
      <c r="BD30" s="548"/>
      <c r="BE30" s="548"/>
      <c r="BF30" s="546"/>
      <c r="BG30" s="547"/>
      <c r="BH30" s="548"/>
      <c r="BI30" s="548"/>
      <c r="BJ30" s="548"/>
      <c r="BK30" s="546"/>
      <c r="BL30" s="547"/>
      <c r="BM30" s="548"/>
      <c r="BN30" s="548"/>
      <c r="BO30" s="546"/>
      <c r="BP30" s="547"/>
      <c r="BQ30" s="548"/>
      <c r="BR30" s="548"/>
      <c r="BS30" s="546"/>
      <c r="BT30" s="547"/>
      <c r="BU30" s="548"/>
      <c r="BV30" s="548"/>
      <c r="BW30" s="548"/>
      <c r="BX30" s="546"/>
      <c r="BY30" s="547"/>
      <c r="BZ30" s="548"/>
      <c r="CA30" s="560"/>
      <c r="CB30" s="549"/>
    </row>
    <row r="31" spans="1:80" outlineLevel="2">
      <c r="A31" s="515">
        <v>21</v>
      </c>
      <c r="B31" s="556" t="s">
        <v>21</v>
      </c>
      <c r="C31" s="545"/>
      <c r="D31" s="557">
        <f>D29</f>
        <v>17</v>
      </c>
      <c r="E31" s="545"/>
      <c r="F31" s="545" t="s">
        <v>532</v>
      </c>
      <c r="G31" s="589">
        <v>3.1875</v>
      </c>
      <c r="H31" s="591">
        <f>H32+H33</f>
        <v>3.75</v>
      </c>
      <c r="I31" s="591">
        <f>H31*E31</f>
        <v>0</v>
      </c>
      <c r="J31" s="589">
        <f t="shared" ref="J31:J94" si="10">IF(D31="Achat",1,IF(D31="",0,D31*7))*E31*G31</f>
        <v>0</v>
      </c>
      <c r="K31" s="590" t="str">
        <f t="shared" si="9"/>
        <v>C</v>
      </c>
      <c r="L31" s="547"/>
      <c r="M31" s="548"/>
      <c r="N31" s="548"/>
      <c r="O31" s="546"/>
      <c r="P31" s="547"/>
      <c r="Q31" s="548"/>
      <c r="R31" s="548"/>
      <c r="S31" s="546"/>
      <c r="T31" s="547"/>
      <c r="U31" s="548"/>
      <c r="V31" s="548"/>
      <c r="W31" s="548"/>
      <c r="X31" s="546"/>
      <c r="Y31" s="547"/>
      <c r="Z31" s="548"/>
      <c r="AA31" s="548"/>
      <c r="AB31" s="546"/>
      <c r="AC31" s="547"/>
      <c r="AD31" s="548"/>
      <c r="AE31" s="548"/>
      <c r="AF31" s="546"/>
      <c r="AG31" s="547"/>
      <c r="AH31" s="548"/>
      <c r="AI31" s="548"/>
      <c r="AJ31" s="546"/>
      <c r="AK31" s="547"/>
      <c r="AL31" s="548"/>
      <c r="AM31" s="548"/>
      <c r="AN31" s="548"/>
      <c r="AO31" s="546"/>
      <c r="AP31" s="547"/>
      <c r="AQ31" s="548"/>
      <c r="AR31" s="548"/>
      <c r="AS31" s="546"/>
      <c r="AT31" s="547"/>
      <c r="AU31" s="548"/>
      <c r="AV31" s="548"/>
      <c r="AW31" s="546"/>
      <c r="AX31" s="547"/>
      <c r="AY31" s="548"/>
      <c r="AZ31" s="548"/>
      <c r="BA31" s="548"/>
      <c r="BB31" s="546"/>
      <c r="BC31" s="547"/>
      <c r="BD31" s="548"/>
      <c r="BE31" s="548"/>
      <c r="BF31" s="546"/>
      <c r="BG31" s="547"/>
      <c r="BH31" s="548"/>
      <c r="BI31" s="548"/>
      <c r="BJ31" s="548"/>
      <c r="BK31" s="546"/>
      <c r="BL31" s="547"/>
      <c r="BM31" s="548"/>
      <c r="BN31" s="548"/>
      <c r="BO31" s="546"/>
      <c r="BP31" s="547"/>
      <c r="BQ31" s="548"/>
      <c r="BR31" s="548"/>
      <c r="BS31" s="546"/>
      <c r="BT31" s="547"/>
      <c r="BU31" s="548"/>
      <c r="BV31" s="548"/>
      <c r="BW31" s="548"/>
      <c r="BX31" s="546"/>
      <c r="BY31" s="547"/>
      <c r="BZ31" s="548"/>
      <c r="CA31" s="560"/>
      <c r="CB31" s="549"/>
    </row>
    <row r="32" spans="1:80" outlineLevel="2">
      <c r="A32" s="515">
        <v>22</v>
      </c>
      <c r="B32" s="556" t="s">
        <v>18</v>
      </c>
      <c r="C32" s="545"/>
      <c r="D32" s="557">
        <f>D30</f>
        <v>17</v>
      </c>
      <c r="E32" s="545">
        <v>12</v>
      </c>
      <c r="F32" s="545" t="s">
        <v>532</v>
      </c>
      <c r="G32" s="589">
        <v>2.125</v>
      </c>
      <c r="H32" s="591">
        <v>2.5</v>
      </c>
      <c r="I32" s="591">
        <f t="shared" ref="I32:I49" si="11">H32*E32</f>
        <v>30</v>
      </c>
      <c r="J32" s="589">
        <f t="shared" si="10"/>
        <v>3034.5</v>
      </c>
      <c r="K32" s="590" t="str">
        <f t="shared" si="9"/>
        <v/>
      </c>
      <c r="L32" s="547"/>
      <c r="M32" s="548"/>
      <c r="N32" s="548"/>
      <c r="O32" s="546"/>
      <c r="P32" s="547"/>
      <c r="Q32" s="548"/>
      <c r="R32" s="548"/>
      <c r="S32" s="546"/>
      <c r="T32" s="547"/>
      <c r="U32" s="548"/>
      <c r="V32" s="548"/>
      <c r="W32" s="548"/>
      <c r="X32" s="546"/>
      <c r="Y32" s="547"/>
      <c r="Z32" s="548"/>
      <c r="AA32" s="548"/>
      <c r="AB32" s="546"/>
      <c r="AC32" s="547"/>
      <c r="AD32" s="548"/>
      <c r="AE32" s="548"/>
      <c r="AF32" s="546"/>
      <c r="AG32" s="547"/>
      <c r="AH32" s="548"/>
      <c r="AI32" s="548"/>
      <c r="AJ32" s="546"/>
      <c r="AK32" s="547"/>
      <c r="AL32" s="548"/>
      <c r="AM32" s="548"/>
      <c r="AN32" s="548"/>
      <c r="AO32" s="546"/>
      <c r="AP32" s="547"/>
      <c r="AQ32" s="548"/>
      <c r="AR32" s="548"/>
      <c r="AS32" s="546"/>
      <c r="AT32" s="547"/>
      <c r="AU32" s="548"/>
      <c r="AV32" s="548"/>
      <c r="AW32" s="546"/>
      <c r="AX32" s="547"/>
      <c r="AY32" s="548"/>
      <c r="AZ32" s="548"/>
      <c r="BA32" s="548"/>
      <c r="BB32" s="546"/>
      <c r="BC32" s="547"/>
      <c r="BD32" s="548"/>
      <c r="BE32" s="548"/>
      <c r="BF32" s="546"/>
      <c r="BG32" s="547"/>
      <c r="BH32" s="548"/>
      <c r="BI32" s="548"/>
      <c r="BJ32" s="548"/>
      <c r="BK32" s="546"/>
      <c r="BL32" s="547"/>
      <c r="BM32" s="548"/>
      <c r="BN32" s="548"/>
      <c r="BO32" s="546"/>
      <c r="BP32" s="547"/>
      <c r="BQ32" s="548"/>
      <c r="BR32" s="548"/>
      <c r="BS32" s="546"/>
      <c r="BT32" s="547"/>
      <c r="BU32" s="548"/>
      <c r="BV32" s="548"/>
      <c r="BW32" s="548"/>
      <c r="BX32" s="546"/>
      <c r="BY32" s="547"/>
      <c r="BZ32" s="548"/>
      <c r="CA32" s="560"/>
      <c r="CB32" s="549"/>
    </row>
    <row r="33" spans="1:80" outlineLevel="2">
      <c r="A33" s="515">
        <v>23</v>
      </c>
      <c r="B33" s="556" t="s">
        <v>24</v>
      </c>
      <c r="C33" s="545"/>
      <c r="D33" s="557">
        <f t="shared" ref="D33:D57" si="12">D32</f>
        <v>17</v>
      </c>
      <c r="E33" s="545">
        <v>12</v>
      </c>
      <c r="F33" s="545" t="s">
        <v>532</v>
      </c>
      <c r="G33" s="589">
        <v>0.94791666666666663</v>
      </c>
      <c r="H33" s="591">
        <v>1.25</v>
      </c>
      <c r="I33" s="591">
        <f t="shared" si="11"/>
        <v>15</v>
      </c>
      <c r="J33" s="589">
        <f t="shared" si="10"/>
        <v>1353.625</v>
      </c>
      <c r="K33" s="590" t="str">
        <f t="shared" si="9"/>
        <v/>
      </c>
      <c r="L33" s="547"/>
      <c r="M33" s="548"/>
      <c r="N33" s="548"/>
      <c r="O33" s="546"/>
      <c r="P33" s="547"/>
      <c r="Q33" s="548"/>
      <c r="R33" s="548"/>
      <c r="S33" s="546"/>
      <c r="T33" s="547"/>
      <c r="U33" s="548"/>
      <c r="V33" s="548"/>
      <c r="W33" s="548"/>
      <c r="X33" s="546"/>
      <c r="Y33" s="547"/>
      <c r="Z33" s="548"/>
      <c r="AA33" s="548"/>
      <c r="AB33" s="546"/>
      <c r="AC33" s="547"/>
      <c r="AD33" s="548"/>
      <c r="AE33" s="548"/>
      <c r="AF33" s="546"/>
      <c r="AG33" s="547"/>
      <c r="AH33" s="548"/>
      <c r="AI33" s="548"/>
      <c r="AJ33" s="546"/>
      <c r="AK33" s="547"/>
      <c r="AL33" s="548"/>
      <c r="AM33" s="548"/>
      <c r="AN33" s="548"/>
      <c r="AO33" s="546"/>
      <c r="AP33" s="547"/>
      <c r="AQ33" s="548"/>
      <c r="AR33" s="548"/>
      <c r="AS33" s="546"/>
      <c r="AT33" s="547"/>
      <c r="AU33" s="548"/>
      <c r="AV33" s="548"/>
      <c r="AW33" s="546"/>
      <c r="AX33" s="547"/>
      <c r="AY33" s="548"/>
      <c r="AZ33" s="548"/>
      <c r="BA33" s="548"/>
      <c r="BB33" s="546"/>
      <c r="BC33" s="547"/>
      <c r="BD33" s="548"/>
      <c r="BE33" s="548"/>
      <c r="BF33" s="546"/>
      <c r="BG33" s="547"/>
      <c r="BH33" s="548"/>
      <c r="BI33" s="548"/>
      <c r="BJ33" s="548"/>
      <c r="BK33" s="546"/>
      <c r="BL33" s="547"/>
      <c r="BM33" s="548"/>
      <c r="BN33" s="548"/>
      <c r="BO33" s="546"/>
      <c r="BP33" s="547"/>
      <c r="BQ33" s="548"/>
      <c r="BR33" s="548"/>
      <c r="BS33" s="546"/>
      <c r="BT33" s="547"/>
      <c r="BU33" s="548"/>
      <c r="BV33" s="548"/>
      <c r="BW33" s="548"/>
      <c r="BX33" s="546"/>
      <c r="BY33" s="547"/>
      <c r="BZ33" s="548"/>
      <c r="CA33" s="560"/>
      <c r="CB33" s="549"/>
    </row>
    <row r="34" spans="1:80" outlineLevel="2">
      <c r="A34" s="515">
        <v>24</v>
      </c>
      <c r="B34" s="556" t="s">
        <v>16</v>
      </c>
      <c r="C34" s="545"/>
      <c r="D34" s="557">
        <f t="shared" si="12"/>
        <v>17</v>
      </c>
      <c r="E34" s="545">
        <v>6</v>
      </c>
      <c r="F34" s="545" t="s">
        <v>532</v>
      </c>
      <c r="G34" s="589">
        <v>2</v>
      </c>
      <c r="H34" s="591">
        <v>3.5</v>
      </c>
      <c r="I34" s="591">
        <f t="shared" si="11"/>
        <v>21</v>
      </c>
      <c r="J34" s="589">
        <f t="shared" si="10"/>
        <v>1428</v>
      </c>
      <c r="K34" s="590" t="str">
        <f t="shared" si="9"/>
        <v/>
      </c>
      <c r="L34" s="547"/>
      <c r="M34" s="548"/>
      <c r="N34" s="548"/>
      <c r="O34" s="546"/>
      <c r="P34" s="547"/>
      <c r="Q34" s="548"/>
      <c r="R34" s="548"/>
      <c r="S34" s="546"/>
      <c r="T34" s="547"/>
      <c r="U34" s="548"/>
      <c r="V34" s="548"/>
      <c r="W34" s="548"/>
      <c r="X34" s="546"/>
      <c r="Y34" s="547"/>
      <c r="Z34" s="548"/>
      <c r="AA34" s="548"/>
      <c r="AB34" s="546"/>
      <c r="AC34" s="547"/>
      <c r="AD34" s="548"/>
      <c r="AE34" s="548"/>
      <c r="AF34" s="546"/>
      <c r="AG34" s="547"/>
      <c r="AH34" s="548"/>
      <c r="AI34" s="548"/>
      <c r="AJ34" s="546"/>
      <c r="AK34" s="547"/>
      <c r="AL34" s="548"/>
      <c r="AM34" s="548"/>
      <c r="AN34" s="548"/>
      <c r="AO34" s="546"/>
      <c r="AP34" s="547"/>
      <c r="AQ34" s="548"/>
      <c r="AR34" s="548"/>
      <c r="AS34" s="546"/>
      <c r="AT34" s="547"/>
      <c r="AU34" s="548"/>
      <c r="AV34" s="548"/>
      <c r="AW34" s="546"/>
      <c r="AX34" s="547"/>
      <c r="AY34" s="548"/>
      <c r="AZ34" s="548"/>
      <c r="BA34" s="548"/>
      <c r="BB34" s="546"/>
      <c r="BC34" s="547"/>
      <c r="BD34" s="548"/>
      <c r="BE34" s="548"/>
      <c r="BF34" s="546"/>
      <c r="BG34" s="547"/>
      <c r="BH34" s="548"/>
      <c r="BI34" s="548"/>
      <c r="BJ34" s="548"/>
      <c r="BK34" s="546"/>
      <c r="BL34" s="547"/>
      <c r="BM34" s="548"/>
      <c r="BN34" s="548"/>
      <c r="BO34" s="546"/>
      <c r="BP34" s="547"/>
      <c r="BQ34" s="548"/>
      <c r="BR34" s="548"/>
      <c r="BS34" s="546"/>
      <c r="BT34" s="547"/>
      <c r="BU34" s="548"/>
      <c r="BV34" s="548"/>
      <c r="BW34" s="548"/>
      <c r="BX34" s="546"/>
      <c r="BY34" s="547"/>
      <c r="BZ34" s="548"/>
      <c r="CA34" s="560"/>
      <c r="CB34" s="549"/>
    </row>
    <row r="35" spans="1:80" outlineLevel="2">
      <c r="A35" s="515">
        <v>25</v>
      </c>
      <c r="B35" s="556" t="s">
        <v>22</v>
      </c>
      <c r="C35" s="545"/>
      <c r="D35" s="557">
        <f>D33</f>
        <v>17</v>
      </c>
      <c r="E35" s="545"/>
      <c r="F35" s="545" t="s">
        <v>532</v>
      </c>
      <c r="G35" s="589">
        <v>1.59375</v>
      </c>
      <c r="H35" s="591">
        <f>H36+H37</f>
        <v>1.875</v>
      </c>
      <c r="I35" s="591">
        <f>H35*E35</f>
        <v>0</v>
      </c>
      <c r="J35" s="589">
        <f t="shared" si="10"/>
        <v>0</v>
      </c>
      <c r="K35" s="590" t="str">
        <f t="shared" si="9"/>
        <v>C</v>
      </c>
      <c r="L35" s="547"/>
      <c r="M35" s="548"/>
      <c r="N35" s="548"/>
      <c r="O35" s="546"/>
      <c r="P35" s="547"/>
      <c r="Q35" s="548"/>
      <c r="R35" s="548"/>
      <c r="S35" s="546"/>
      <c r="T35" s="547"/>
      <c r="U35" s="548"/>
      <c r="V35" s="548"/>
      <c r="W35" s="548"/>
      <c r="X35" s="546"/>
      <c r="Y35" s="547"/>
      <c r="Z35" s="548"/>
      <c r="AA35" s="548"/>
      <c r="AB35" s="546"/>
      <c r="AC35" s="547"/>
      <c r="AD35" s="548"/>
      <c r="AE35" s="548"/>
      <c r="AF35" s="546"/>
      <c r="AG35" s="547"/>
      <c r="AH35" s="548"/>
      <c r="AI35" s="548"/>
      <c r="AJ35" s="546"/>
      <c r="AK35" s="547"/>
      <c r="AL35" s="548"/>
      <c r="AM35" s="548"/>
      <c r="AN35" s="548"/>
      <c r="AO35" s="546"/>
      <c r="AP35" s="547"/>
      <c r="AQ35" s="548"/>
      <c r="AR35" s="548"/>
      <c r="AS35" s="546"/>
      <c r="AT35" s="547"/>
      <c r="AU35" s="548"/>
      <c r="AV35" s="548"/>
      <c r="AW35" s="546"/>
      <c r="AX35" s="547"/>
      <c r="AY35" s="548"/>
      <c r="AZ35" s="548"/>
      <c r="BA35" s="548"/>
      <c r="BB35" s="546"/>
      <c r="BC35" s="547"/>
      <c r="BD35" s="548"/>
      <c r="BE35" s="548"/>
      <c r="BF35" s="546"/>
      <c r="BG35" s="547"/>
      <c r="BH35" s="548"/>
      <c r="BI35" s="548"/>
      <c r="BJ35" s="548"/>
      <c r="BK35" s="546"/>
      <c r="BL35" s="547"/>
      <c r="BM35" s="548"/>
      <c r="BN35" s="548"/>
      <c r="BO35" s="546"/>
      <c r="BP35" s="547"/>
      <c r="BQ35" s="548"/>
      <c r="BR35" s="548"/>
      <c r="BS35" s="546"/>
      <c r="BT35" s="547"/>
      <c r="BU35" s="548"/>
      <c r="BV35" s="548"/>
      <c r="BW35" s="548"/>
      <c r="BX35" s="546"/>
      <c r="BY35" s="547"/>
      <c r="BZ35" s="548"/>
      <c r="CA35" s="560"/>
      <c r="CB35" s="549"/>
    </row>
    <row r="36" spans="1:80" outlineLevel="2">
      <c r="A36" s="515">
        <v>26</v>
      </c>
      <c r="B36" s="556" t="s">
        <v>19</v>
      </c>
      <c r="C36" s="545"/>
      <c r="D36" s="557">
        <f>D34</f>
        <v>17</v>
      </c>
      <c r="E36" s="545">
        <v>6</v>
      </c>
      <c r="F36" s="545" t="s">
        <v>532</v>
      </c>
      <c r="G36" s="589">
        <v>1.0625</v>
      </c>
      <c r="H36" s="591">
        <v>1.25</v>
      </c>
      <c r="I36" s="591">
        <f t="shared" si="11"/>
        <v>7.5</v>
      </c>
      <c r="J36" s="589">
        <f t="shared" si="10"/>
        <v>758.625</v>
      </c>
      <c r="K36" s="590" t="str">
        <f t="shared" si="9"/>
        <v/>
      </c>
      <c r="L36" s="547"/>
      <c r="M36" s="548"/>
      <c r="N36" s="548"/>
      <c r="O36" s="546"/>
      <c r="P36" s="547"/>
      <c r="Q36" s="548"/>
      <c r="R36" s="548"/>
      <c r="S36" s="546"/>
      <c r="T36" s="547"/>
      <c r="U36" s="548"/>
      <c r="V36" s="548"/>
      <c r="W36" s="548"/>
      <c r="X36" s="546"/>
      <c r="Y36" s="547"/>
      <c r="Z36" s="548"/>
      <c r="AA36" s="548"/>
      <c r="AB36" s="546"/>
      <c r="AC36" s="547"/>
      <c r="AD36" s="548"/>
      <c r="AE36" s="548"/>
      <c r="AF36" s="546"/>
      <c r="AG36" s="547"/>
      <c r="AH36" s="548"/>
      <c r="AI36" s="548"/>
      <c r="AJ36" s="546"/>
      <c r="AK36" s="547"/>
      <c r="AL36" s="548"/>
      <c r="AM36" s="548"/>
      <c r="AN36" s="548"/>
      <c r="AO36" s="546"/>
      <c r="AP36" s="547"/>
      <c r="AQ36" s="548"/>
      <c r="AR36" s="548"/>
      <c r="AS36" s="546"/>
      <c r="AT36" s="547"/>
      <c r="AU36" s="548"/>
      <c r="AV36" s="548"/>
      <c r="AW36" s="546"/>
      <c r="AX36" s="547"/>
      <c r="AY36" s="548"/>
      <c r="AZ36" s="548"/>
      <c r="BA36" s="548"/>
      <c r="BB36" s="546"/>
      <c r="BC36" s="547"/>
      <c r="BD36" s="548"/>
      <c r="BE36" s="548"/>
      <c r="BF36" s="546"/>
      <c r="BG36" s="547"/>
      <c r="BH36" s="548"/>
      <c r="BI36" s="548"/>
      <c r="BJ36" s="548"/>
      <c r="BK36" s="546"/>
      <c r="BL36" s="547"/>
      <c r="BM36" s="548"/>
      <c r="BN36" s="548"/>
      <c r="BO36" s="546"/>
      <c r="BP36" s="547"/>
      <c r="BQ36" s="548"/>
      <c r="BR36" s="548"/>
      <c r="BS36" s="546"/>
      <c r="BT36" s="547"/>
      <c r="BU36" s="548"/>
      <c r="BV36" s="548"/>
      <c r="BW36" s="548"/>
      <c r="BX36" s="546"/>
      <c r="BY36" s="547"/>
      <c r="BZ36" s="548"/>
      <c r="CA36" s="560"/>
      <c r="CB36" s="549"/>
    </row>
    <row r="37" spans="1:80" outlineLevel="2">
      <c r="A37" s="515">
        <v>27</v>
      </c>
      <c r="B37" s="556" t="s">
        <v>25</v>
      </c>
      <c r="C37" s="545"/>
      <c r="D37" s="557">
        <f t="shared" si="12"/>
        <v>17</v>
      </c>
      <c r="E37" s="545">
        <v>6</v>
      </c>
      <c r="F37" s="545" t="s">
        <v>532</v>
      </c>
      <c r="G37" s="589">
        <v>0.47916666666666674</v>
      </c>
      <c r="H37" s="591">
        <v>0.625</v>
      </c>
      <c r="I37" s="591">
        <f>H37*E37</f>
        <v>3.75</v>
      </c>
      <c r="J37" s="589">
        <f t="shared" si="10"/>
        <v>342.12500000000006</v>
      </c>
      <c r="K37" s="590" t="str">
        <f t="shared" si="9"/>
        <v/>
      </c>
      <c r="L37" s="547"/>
      <c r="M37" s="548"/>
      <c r="N37" s="548"/>
      <c r="O37" s="546"/>
      <c r="P37" s="547"/>
      <c r="Q37" s="548"/>
      <c r="R37" s="548"/>
      <c r="S37" s="546"/>
      <c r="T37" s="547"/>
      <c r="U37" s="548"/>
      <c r="V37" s="548"/>
      <c r="W37" s="548"/>
      <c r="X37" s="546"/>
      <c r="Y37" s="547"/>
      <c r="Z37" s="548"/>
      <c r="AA37" s="548"/>
      <c r="AB37" s="546"/>
      <c r="AC37" s="547"/>
      <c r="AD37" s="548"/>
      <c r="AE37" s="548"/>
      <c r="AF37" s="546"/>
      <c r="AG37" s="547"/>
      <c r="AH37" s="548"/>
      <c r="AI37" s="548"/>
      <c r="AJ37" s="546"/>
      <c r="AK37" s="547"/>
      <c r="AL37" s="548"/>
      <c r="AM37" s="548"/>
      <c r="AN37" s="548"/>
      <c r="AO37" s="546"/>
      <c r="AP37" s="547"/>
      <c r="AQ37" s="548"/>
      <c r="AR37" s="548"/>
      <c r="AS37" s="546"/>
      <c r="AT37" s="547"/>
      <c r="AU37" s="548"/>
      <c r="AV37" s="548"/>
      <c r="AW37" s="546"/>
      <c r="AX37" s="547"/>
      <c r="AY37" s="548"/>
      <c r="AZ37" s="548"/>
      <c r="BA37" s="548"/>
      <c r="BB37" s="546"/>
      <c r="BC37" s="547"/>
      <c r="BD37" s="548"/>
      <c r="BE37" s="548"/>
      <c r="BF37" s="546"/>
      <c r="BG37" s="547"/>
      <c r="BH37" s="548"/>
      <c r="BI37" s="548"/>
      <c r="BJ37" s="548"/>
      <c r="BK37" s="546"/>
      <c r="BL37" s="547"/>
      <c r="BM37" s="548"/>
      <c r="BN37" s="548"/>
      <c r="BO37" s="546"/>
      <c r="BP37" s="547"/>
      <c r="BQ37" s="548"/>
      <c r="BR37" s="548"/>
      <c r="BS37" s="546"/>
      <c r="BT37" s="547"/>
      <c r="BU37" s="548"/>
      <c r="BV37" s="548"/>
      <c r="BW37" s="548"/>
      <c r="BX37" s="546"/>
      <c r="BY37" s="547"/>
      <c r="BZ37" s="548"/>
      <c r="CA37" s="560"/>
      <c r="CB37" s="549"/>
    </row>
    <row r="38" spans="1:80" outlineLevel="2">
      <c r="A38" s="515">
        <v>28</v>
      </c>
      <c r="B38" s="556" t="s">
        <v>17</v>
      </c>
      <c r="C38" s="545"/>
      <c r="D38" s="557">
        <f t="shared" si="12"/>
        <v>17</v>
      </c>
      <c r="E38" s="545">
        <v>2</v>
      </c>
      <c r="F38" s="545" t="s">
        <v>532</v>
      </c>
      <c r="G38" s="589">
        <v>1</v>
      </c>
      <c r="H38" s="591">
        <v>1.75</v>
      </c>
      <c r="I38" s="591">
        <f t="shared" si="11"/>
        <v>3.5</v>
      </c>
      <c r="J38" s="589">
        <f t="shared" si="10"/>
        <v>238</v>
      </c>
      <c r="K38" s="590" t="str">
        <f t="shared" si="9"/>
        <v/>
      </c>
      <c r="L38" s="547"/>
      <c r="M38" s="548"/>
      <c r="N38" s="548"/>
      <c r="O38" s="546"/>
      <c r="P38" s="547"/>
      <c r="Q38" s="548"/>
      <c r="R38" s="548"/>
      <c r="S38" s="546"/>
      <c r="T38" s="547"/>
      <c r="U38" s="548"/>
      <c r="V38" s="548"/>
      <c r="W38" s="548"/>
      <c r="X38" s="546"/>
      <c r="Y38" s="547"/>
      <c r="Z38" s="548"/>
      <c r="AA38" s="548"/>
      <c r="AB38" s="546"/>
      <c r="AC38" s="547"/>
      <c r="AD38" s="548"/>
      <c r="AE38" s="548"/>
      <c r="AF38" s="546"/>
      <c r="AG38" s="547"/>
      <c r="AH38" s="548"/>
      <c r="AI38" s="548"/>
      <c r="AJ38" s="546"/>
      <c r="AK38" s="547"/>
      <c r="AL38" s="548"/>
      <c r="AM38" s="548"/>
      <c r="AN38" s="548"/>
      <c r="AO38" s="546"/>
      <c r="AP38" s="547"/>
      <c r="AQ38" s="548"/>
      <c r="AR38" s="548"/>
      <c r="AS38" s="546"/>
      <c r="AT38" s="547"/>
      <c r="AU38" s="548"/>
      <c r="AV38" s="548"/>
      <c r="AW38" s="546"/>
      <c r="AX38" s="547"/>
      <c r="AY38" s="548"/>
      <c r="AZ38" s="548"/>
      <c r="BA38" s="548"/>
      <c r="BB38" s="546"/>
      <c r="BC38" s="547"/>
      <c r="BD38" s="548"/>
      <c r="BE38" s="548"/>
      <c r="BF38" s="546"/>
      <c r="BG38" s="547"/>
      <c r="BH38" s="548"/>
      <c r="BI38" s="548"/>
      <c r="BJ38" s="548"/>
      <c r="BK38" s="546"/>
      <c r="BL38" s="547"/>
      <c r="BM38" s="548"/>
      <c r="BN38" s="548"/>
      <c r="BO38" s="546"/>
      <c r="BP38" s="547"/>
      <c r="BQ38" s="548"/>
      <c r="BR38" s="548"/>
      <c r="BS38" s="546"/>
      <c r="BT38" s="547"/>
      <c r="BU38" s="548"/>
      <c r="BV38" s="548"/>
      <c r="BW38" s="548"/>
      <c r="BX38" s="546"/>
      <c r="BY38" s="547"/>
      <c r="BZ38" s="548"/>
      <c r="CA38" s="560"/>
      <c r="CB38" s="549"/>
    </row>
    <row r="39" spans="1:80" outlineLevel="2">
      <c r="A39" s="515">
        <v>29</v>
      </c>
      <c r="B39" s="556" t="s">
        <v>23</v>
      </c>
      <c r="C39" s="545"/>
      <c r="D39" s="557">
        <f>D37</f>
        <v>17</v>
      </c>
      <c r="E39" s="545"/>
      <c r="F39" s="545" t="s">
        <v>532</v>
      </c>
      <c r="G39" s="589">
        <v>0.80208333333333348</v>
      </c>
      <c r="H39" s="591">
        <f>H40+H41</f>
        <v>0.9375</v>
      </c>
      <c r="I39" s="591">
        <f>H39*E39</f>
        <v>0</v>
      </c>
      <c r="J39" s="589">
        <f t="shared" si="10"/>
        <v>0</v>
      </c>
      <c r="K39" s="590" t="str">
        <f t="shared" si="9"/>
        <v>C</v>
      </c>
      <c r="L39" s="547"/>
      <c r="M39" s="548"/>
      <c r="N39" s="548"/>
      <c r="O39" s="546"/>
      <c r="P39" s="547"/>
      <c r="Q39" s="548"/>
      <c r="R39" s="548"/>
      <c r="S39" s="546"/>
      <c r="T39" s="547"/>
      <c r="U39" s="548"/>
      <c r="V39" s="548"/>
      <c r="W39" s="548"/>
      <c r="X39" s="546"/>
      <c r="Y39" s="547"/>
      <c r="Z39" s="548"/>
      <c r="AA39" s="548"/>
      <c r="AB39" s="546"/>
      <c r="AC39" s="547"/>
      <c r="AD39" s="548"/>
      <c r="AE39" s="548"/>
      <c r="AF39" s="546"/>
      <c r="AG39" s="547"/>
      <c r="AH39" s="548"/>
      <c r="AI39" s="548"/>
      <c r="AJ39" s="546"/>
      <c r="AK39" s="547"/>
      <c r="AL39" s="548"/>
      <c r="AM39" s="548"/>
      <c r="AN39" s="548"/>
      <c r="AO39" s="546"/>
      <c r="AP39" s="547"/>
      <c r="AQ39" s="548"/>
      <c r="AR39" s="548"/>
      <c r="AS39" s="546"/>
      <c r="AT39" s="547"/>
      <c r="AU39" s="548"/>
      <c r="AV39" s="548"/>
      <c r="AW39" s="546"/>
      <c r="AX39" s="547"/>
      <c r="AY39" s="548"/>
      <c r="AZ39" s="548"/>
      <c r="BA39" s="548"/>
      <c r="BB39" s="546"/>
      <c r="BC39" s="547"/>
      <c r="BD39" s="548"/>
      <c r="BE39" s="548"/>
      <c r="BF39" s="546"/>
      <c r="BG39" s="547"/>
      <c r="BH39" s="548"/>
      <c r="BI39" s="548"/>
      <c r="BJ39" s="548"/>
      <c r="BK39" s="546"/>
      <c r="BL39" s="547"/>
      <c r="BM39" s="548"/>
      <c r="BN39" s="548"/>
      <c r="BO39" s="546"/>
      <c r="BP39" s="547"/>
      <c r="BQ39" s="548"/>
      <c r="BR39" s="548"/>
      <c r="BS39" s="546"/>
      <c r="BT39" s="547"/>
      <c r="BU39" s="548"/>
      <c r="BV39" s="548"/>
      <c r="BW39" s="548"/>
      <c r="BX39" s="546"/>
      <c r="BY39" s="547"/>
      <c r="BZ39" s="548"/>
      <c r="CA39" s="560"/>
      <c r="CB39" s="549"/>
    </row>
    <row r="40" spans="1:80" outlineLevel="2">
      <c r="A40" s="515">
        <v>30</v>
      </c>
      <c r="B40" s="556" t="s">
        <v>20</v>
      </c>
      <c r="C40" s="545"/>
      <c r="D40" s="557">
        <f>D38</f>
        <v>17</v>
      </c>
      <c r="E40" s="545"/>
      <c r="F40" s="545" t="s">
        <v>532</v>
      </c>
      <c r="G40" s="589">
        <v>0.53125</v>
      </c>
      <c r="H40" s="591">
        <v>0.625</v>
      </c>
      <c r="I40" s="591">
        <f t="shared" si="11"/>
        <v>0</v>
      </c>
      <c r="J40" s="589">
        <f t="shared" si="10"/>
        <v>0</v>
      </c>
      <c r="K40" s="590" t="str">
        <f t="shared" si="9"/>
        <v>C</v>
      </c>
      <c r="L40" s="547"/>
      <c r="M40" s="548"/>
      <c r="N40" s="548"/>
      <c r="O40" s="546"/>
      <c r="P40" s="547"/>
      <c r="Q40" s="548"/>
      <c r="R40" s="548"/>
      <c r="S40" s="546"/>
      <c r="T40" s="547"/>
      <c r="U40" s="548"/>
      <c r="V40" s="548"/>
      <c r="W40" s="548"/>
      <c r="X40" s="546"/>
      <c r="Y40" s="547"/>
      <c r="Z40" s="548"/>
      <c r="AA40" s="548"/>
      <c r="AB40" s="546"/>
      <c r="AC40" s="547"/>
      <c r="AD40" s="548"/>
      <c r="AE40" s="548"/>
      <c r="AF40" s="546"/>
      <c r="AG40" s="547"/>
      <c r="AH40" s="548"/>
      <c r="AI40" s="548"/>
      <c r="AJ40" s="546"/>
      <c r="AK40" s="547"/>
      <c r="AL40" s="548"/>
      <c r="AM40" s="548"/>
      <c r="AN40" s="548"/>
      <c r="AO40" s="546"/>
      <c r="AP40" s="547"/>
      <c r="AQ40" s="548"/>
      <c r="AR40" s="548"/>
      <c r="AS40" s="546"/>
      <c r="AT40" s="547"/>
      <c r="AU40" s="548"/>
      <c r="AV40" s="548"/>
      <c r="AW40" s="546"/>
      <c r="AX40" s="547"/>
      <c r="AY40" s="548"/>
      <c r="AZ40" s="548"/>
      <c r="BA40" s="548"/>
      <c r="BB40" s="546"/>
      <c r="BC40" s="547"/>
      <c r="BD40" s="548"/>
      <c r="BE40" s="548"/>
      <c r="BF40" s="546"/>
      <c r="BG40" s="547"/>
      <c r="BH40" s="548"/>
      <c r="BI40" s="548"/>
      <c r="BJ40" s="548"/>
      <c r="BK40" s="546"/>
      <c r="BL40" s="547"/>
      <c r="BM40" s="548"/>
      <c r="BN40" s="548"/>
      <c r="BO40" s="546"/>
      <c r="BP40" s="547"/>
      <c r="BQ40" s="548"/>
      <c r="BR40" s="548"/>
      <c r="BS40" s="546"/>
      <c r="BT40" s="547"/>
      <c r="BU40" s="548"/>
      <c r="BV40" s="548"/>
      <c r="BW40" s="548"/>
      <c r="BX40" s="546"/>
      <c r="BY40" s="547"/>
      <c r="BZ40" s="548"/>
      <c r="CA40" s="560"/>
      <c r="CB40" s="549"/>
    </row>
    <row r="41" spans="1:80" outlineLevel="2">
      <c r="A41" s="515">
        <v>31</v>
      </c>
      <c r="B41" s="556" t="s">
        <v>553</v>
      </c>
      <c r="C41" s="545"/>
      <c r="D41" s="557">
        <f t="shared" si="12"/>
        <v>17</v>
      </c>
      <c r="E41" s="545">
        <v>2</v>
      </c>
      <c r="F41" s="545" t="s">
        <v>532</v>
      </c>
      <c r="G41" s="589">
        <v>0.23958333333333337</v>
      </c>
      <c r="H41" s="591">
        <v>0.3125</v>
      </c>
      <c r="I41" s="591">
        <f t="shared" si="11"/>
        <v>0.625</v>
      </c>
      <c r="J41" s="589">
        <f t="shared" si="10"/>
        <v>57.020833333333343</v>
      </c>
      <c r="K41" s="590" t="str">
        <f t="shared" si="9"/>
        <v/>
      </c>
      <c r="L41" s="547"/>
      <c r="M41" s="548"/>
      <c r="N41" s="548"/>
      <c r="O41" s="546"/>
      <c r="P41" s="547"/>
      <c r="Q41" s="548"/>
      <c r="R41" s="548"/>
      <c r="S41" s="546"/>
      <c r="T41" s="547"/>
      <c r="U41" s="548"/>
      <c r="V41" s="548"/>
      <c r="W41" s="548"/>
      <c r="X41" s="546"/>
      <c r="Y41" s="547"/>
      <c r="Z41" s="548"/>
      <c r="AA41" s="548"/>
      <c r="AB41" s="546"/>
      <c r="AC41" s="547"/>
      <c r="AD41" s="548"/>
      <c r="AE41" s="548"/>
      <c r="AF41" s="546"/>
      <c r="AG41" s="547"/>
      <c r="AH41" s="548"/>
      <c r="AI41" s="548"/>
      <c r="AJ41" s="546"/>
      <c r="AK41" s="547"/>
      <c r="AL41" s="548"/>
      <c r="AM41" s="548"/>
      <c r="AN41" s="548"/>
      <c r="AO41" s="546"/>
      <c r="AP41" s="547"/>
      <c r="AQ41" s="548"/>
      <c r="AR41" s="548"/>
      <c r="AS41" s="546"/>
      <c r="AT41" s="547"/>
      <c r="AU41" s="548"/>
      <c r="AV41" s="548"/>
      <c r="AW41" s="546"/>
      <c r="AX41" s="547"/>
      <c r="AY41" s="548"/>
      <c r="AZ41" s="548"/>
      <c r="BA41" s="548"/>
      <c r="BB41" s="546"/>
      <c r="BC41" s="547"/>
      <c r="BD41" s="548"/>
      <c r="BE41" s="548"/>
      <c r="BF41" s="546"/>
      <c r="BG41" s="547"/>
      <c r="BH41" s="548"/>
      <c r="BI41" s="548"/>
      <c r="BJ41" s="548"/>
      <c r="BK41" s="546"/>
      <c r="BL41" s="547"/>
      <c r="BM41" s="548"/>
      <c r="BN41" s="548"/>
      <c r="BO41" s="546"/>
      <c r="BP41" s="547"/>
      <c r="BQ41" s="548"/>
      <c r="BR41" s="548"/>
      <c r="BS41" s="546"/>
      <c r="BT41" s="547"/>
      <c r="BU41" s="548"/>
      <c r="BV41" s="548"/>
      <c r="BW41" s="548"/>
      <c r="BX41" s="546"/>
      <c r="BY41" s="547"/>
      <c r="BZ41" s="548"/>
      <c r="CA41" s="560"/>
      <c r="CB41" s="549"/>
    </row>
    <row r="42" spans="1:80" outlineLevel="2">
      <c r="A42" s="515">
        <v>32</v>
      </c>
      <c r="B42" s="556" t="s">
        <v>554</v>
      </c>
      <c r="C42" s="545"/>
      <c r="D42" s="557">
        <f t="shared" si="12"/>
        <v>17</v>
      </c>
      <c r="E42" s="545"/>
      <c r="F42" s="545" t="s">
        <v>532</v>
      </c>
      <c r="G42" s="589">
        <v>5.95</v>
      </c>
      <c r="H42" s="591">
        <v>7</v>
      </c>
      <c r="I42" s="591">
        <f t="shared" si="11"/>
        <v>0</v>
      </c>
      <c r="J42" s="589">
        <f t="shared" si="10"/>
        <v>0</v>
      </c>
      <c r="K42" s="590" t="str">
        <f t="shared" si="9"/>
        <v>C</v>
      </c>
      <c r="L42" s="547"/>
      <c r="M42" s="548"/>
      <c r="N42" s="548"/>
      <c r="O42" s="546"/>
      <c r="P42" s="547"/>
      <c r="Q42" s="548"/>
      <c r="R42" s="548"/>
      <c r="S42" s="546"/>
      <c r="T42" s="547"/>
      <c r="U42" s="548"/>
      <c r="V42" s="548"/>
      <c r="W42" s="548"/>
      <c r="X42" s="546"/>
      <c r="Y42" s="547"/>
      <c r="Z42" s="548"/>
      <c r="AA42" s="548"/>
      <c r="AB42" s="546"/>
      <c r="AC42" s="547"/>
      <c r="AD42" s="548"/>
      <c r="AE42" s="548"/>
      <c r="AF42" s="546"/>
      <c r="AG42" s="547"/>
      <c r="AH42" s="548"/>
      <c r="AI42" s="548"/>
      <c r="AJ42" s="546"/>
      <c r="AK42" s="547"/>
      <c r="AL42" s="548"/>
      <c r="AM42" s="548"/>
      <c r="AN42" s="548"/>
      <c r="AO42" s="546"/>
      <c r="AP42" s="547"/>
      <c r="AQ42" s="548"/>
      <c r="AR42" s="548"/>
      <c r="AS42" s="546"/>
      <c r="AT42" s="547"/>
      <c r="AU42" s="548"/>
      <c r="AV42" s="548"/>
      <c r="AW42" s="546"/>
      <c r="AX42" s="547"/>
      <c r="AY42" s="548"/>
      <c r="AZ42" s="548"/>
      <c r="BA42" s="548"/>
      <c r="BB42" s="546"/>
      <c r="BC42" s="547"/>
      <c r="BD42" s="548"/>
      <c r="BE42" s="548"/>
      <c r="BF42" s="546"/>
      <c r="BG42" s="547"/>
      <c r="BH42" s="548"/>
      <c r="BI42" s="548"/>
      <c r="BJ42" s="548"/>
      <c r="BK42" s="546"/>
      <c r="BL42" s="547"/>
      <c r="BM42" s="548"/>
      <c r="BN42" s="548"/>
      <c r="BO42" s="546"/>
      <c r="BP42" s="547"/>
      <c r="BQ42" s="548"/>
      <c r="BR42" s="548"/>
      <c r="BS42" s="546"/>
      <c r="BT42" s="547"/>
      <c r="BU42" s="548"/>
      <c r="BV42" s="548"/>
      <c r="BW42" s="548"/>
      <c r="BX42" s="546"/>
      <c r="BY42" s="547"/>
      <c r="BZ42" s="548"/>
      <c r="CA42" s="560"/>
      <c r="CB42" s="549"/>
    </row>
    <row r="43" spans="1:80" outlineLevel="2">
      <c r="A43" s="515">
        <v>33</v>
      </c>
      <c r="B43" s="556" t="s">
        <v>555</v>
      </c>
      <c r="C43" s="545"/>
      <c r="D43" s="557">
        <f>D41</f>
        <v>17</v>
      </c>
      <c r="E43" s="545"/>
      <c r="F43" s="545" t="s">
        <v>532</v>
      </c>
      <c r="G43" s="589">
        <v>3.41</v>
      </c>
      <c r="H43" s="591">
        <f>H44+H45</f>
        <v>3.75</v>
      </c>
      <c r="I43" s="591">
        <f>H43*E43</f>
        <v>0</v>
      </c>
      <c r="J43" s="589">
        <f t="shared" si="10"/>
        <v>0</v>
      </c>
      <c r="K43" s="590" t="str">
        <f t="shared" si="9"/>
        <v>C</v>
      </c>
      <c r="L43" s="547"/>
      <c r="M43" s="548"/>
      <c r="N43" s="548"/>
      <c r="O43" s="546"/>
      <c r="P43" s="547"/>
      <c r="Q43" s="548"/>
      <c r="R43" s="548"/>
      <c r="S43" s="546"/>
      <c r="T43" s="547"/>
      <c r="U43" s="548"/>
      <c r="V43" s="548"/>
      <c r="W43" s="548"/>
      <c r="X43" s="546"/>
      <c r="Y43" s="547"/>
      <c r="Z43" s="548"/>
      <c r="AA43" s="548"/>
      <c r="AB43" s="546"/>
      <c r="AC43" s="547"/>
      <c r="AD43" s="548"/>
      <c r="AE43" s="548"/>
      <c r="AF43" s="546"/>
      <c r="AG43" s="547"/>
      <c r="AH43" s="548"/>
      <c r="AI43" s="548"/>
      <c r="AJ43" s="546"/>
      <c r="AK43" s="547"/>
      <c r="AL43" s="548"/>
      <c r="AM43" s="548"/>
      <c r="AN43" s="548"/>
      <c r="AO43" s="546"/>
      <c r="AP43" s="547"/>
      <c r="AQ43" s="548"/>
      <c r="AR43" s="548"/>
      <c r="AS43" s="546"/>
      <c r="AT43" s="547"/>
      <c r="AU43" s="548"/>
      <c r="AV43" s="548"/>
      <c r="AW43" s="546"/>
      <c r="AX43" s="547"/>
      <c r="AY43" s="548"/>
      <c r="AZ43" s="548"/>
      <c r="BA43" s="548"/>
      <c r="BB43" s="546"/>
      <c r="BC43" s="547"/>
      <c r="BD43" s="548"/>
      <c r="BE43" s="548"/>
      <c r="BF43" s="546"/>
      <c r="BG43" s="547"/>
      <c r="BH43" s="548"/>
      <c r="BI43" s="548"/>
      <c r="BJ43" s="548"/>
      <c r="BK43" s="546"/>
      <c r="BL43" s="547"/>
      <c r="BM43" s="548"/>
      <c r="BN43" s="548"/>
      <c r="BO43" s="546"/>
      <c r="BP43" s="547"/>
      <c r="BQ43" s="548"/>
      <c r="BR43" s="548"/>
      <c r="BS43" s="546"/>
      <c r="BT43" s="547"/>
      <c r="BU43" s="548"/>
      <c r="BV43" s="548"/>
      <c r="BW43" s="548"/>
      <c r="BX43" s="546"/>
      <c r="BY43" s="547"/>
      <c r="BZ43" s="548"/>
      <c r="CA43" s="560"/>
      <c r="CB43" s="549"/>
    </row>
    <row r="44" spans="1:80" outlineLevel="2">
      <c r="A44" s="515">
        <v>34</v>
      </c>
      <c r="B44" s="556" t="s">
        <v>556</v>
      </c>
      <c r="C44" s="545"/>
      <c r="D44" s="557">
        <f>D42</f>
        <v>17</v>
      </c>
      <c r="E44" s="545"/>
      <c r="F44" s="545" t="s">
        <v>532</v>
      </c>
      <c r="G44" s="589">
        <v>2.27</v>
      </c>
      <c r="H44" s="591">
        <v>2.5</v>
      </c>
      <c r="I44" s="591">
        <f t="shared" si="11"/>
        <v>0</v>
      </c>
      <c r="J44" s="589">
        <f t="shared" si="10"/>
        <v>0</v>
      </c>
      <c r="K44" s="590" t="str">
        <f t="shared" si="9"/>
        <v>C</v>
      </c>
      <c r="L44" s="547"/>
      <c r="M44" s="548"/>
      <c r="N44" s="548"/>
      <c r="O44" s="546"/>
      <c r="P44" s="547"/>
      <c r="Q44" s="548"/>
      <c r="R44" s="548"/>
      <c r="S44" s="546"/>
      <c r="T44" s="547"/>
      <c r="U44" s="548"/>
      <c r="V44" s="548"/>
      <c r="W44" s="548"/>
      <c r="X44" s="546"/>
      <c r="Y44" s="547"/>
      <c r="Z44" s="548"/>
      <c r="AA44" s="548"/>
      <c r="AB44" s="546"/>
      <c r="AC44" s="547"/>
      <c r="AD44" s="548"/>
      <c r="AE44" s="548"/>
      <c r="AF44" s="546"/>
      <c r="AG44" s="547"/>
      <c r="AH44" s="548"/>
      <c r="AI44" s="548"/>
      <c r="AJ44" s="546"/>
      <c r="AK44" s="547"/>
      <c r="AL44" s="548"/>
      <c r="AM44" s="548"/>
      <c r="AN44" s="548"/>
      <c r="AO44" s="546"/>
      <c r="AP44" s="547"/>
      <c r="AQ44" s="548"/>
      <c r="AR44" s="548"/>
      <c r="AS44" s="546"/>
      <c r="AT44" s="547"/>
      <c r="AU44" s="548"/>
      <c r="AV44" s="548"/>
      <c r="AW44" s="546"/>
      <c r="AX44" s="547"/>
      <c r="AY44" s="548"/>
      <c r="AZ44" s="548"/>
      <c r="BA44" s="548"/>
      <c r="BB44" s="546"/>
      <c r="BC44" s="547"/>
      <c r="BD44" s="548"/>
      <c r="BE44" s="548"/>
      <c r="BF44" s="546"/>
      <c r="BG44" s="547"/>
      <c r="BH44" s="548"/>
      <c r="BI44" s="548"/>
      <c r="BJ44" s="548"/>
      <c r="BK44" s="546"/>
      <c r="BL44" s="547"/>
      <c r="BM44" s="548"/>
      <c r="BN44" s="548"/>
      <c r="BO44" s="546"/>
      <c r="BP44" s="547"/>
      <c r="BQ44" s="548"/>
      <c r="BR44" s="548"/>
      <c r="BS44" s="546"/>
      <c r="BT44" s="547"/>
      <c r="BU44" s="548"/>
      <c r="BV44" s="548"/>
      <c r="BW44" s="548"/>
      <c r="BX44" s="546"/>
      <c r="BY44" s="547"/>
      <c r="BZ44" s="548"/>
      <c r="CA44" s="560"/>
      <c r="CB44" s="549"/>
    </row>
    <row r="45" spans="1:80" outlineLevel="2">
      <c r="A45" s="515">
        <v>35</v>
      </c>
      <c r="B45" s="556" t="s">
        <v>557</v>
      </c>
      <c r="C45" s="545"/>
      <c r="D45" s="557">
        <f t="shared" si="12"/>
        <v>17</v>
      </c>
      <c r="E45" s="545"/>
      <c r="F45" s="545" t="s">
        <v>532</v>
      </c>
      <c r="G45" s="589">
        <v>1.06</v>
      </c>
      <c r="H45" s="591">
        <v>1.25</v>
      </c>
      <c r="I45" s="591">
        <f t="shared" si="11"/>
        <v>0</v>
      </c>
      <c r="J45" s="589">
        <f t="shared" si="10"/>
        <v>0</v>
      </c>
      <c r="K45" s="590" t="str">
        <f t="shared" si="9"/>
        <v>C</v>
      </c>
      <c r="L45" s="547"/>
      <c r="M45" s="548"/>
      <c r="N45" s="548"/>
      <c r="O45" s="546"/>
      <c r="P45" s="547"/>
      <c r="Q45" s="548"/>
      <c r="R45" s="548"/>
      <c r="S45" s="546"/>
      <c r="T45" s="547"/>
      <c r="U45" s="548"/>
      <c r="V45" s="548"/>
      <c r="W45" s="548"/>
      <c r="X45" s="546"/>
      <c r="Y45" s="547"/>
      <c r="Z45" s="548"/>
      <c r="AA45" s="548"/>
      <c r="AB45" s="546"/>
      <c r="AC45" s="547"/>
      <c r="AD45" s="548"/>
      <c r="AE45" s="548"/>
      <c r="AF45" s="546"/>
      <c r="AG45" s="547"/>
      <c r="AH45" s="548"/>
      <c r="AI45" s="548"/>
      <c r="AJ45" s="546"/>
      <c r="AK45" s="547"/>
      <c r="AL45" s="548"/>
      <c r="AM45" s="548"/>
      <c r="AN45" s="548"/>
      <c r="AO45" s="546"/>
      <c r="AP45" s="547"/>
      <c r="AQ45" s="548"/>
      <c r="AR45" s="548"/>
      <c r="AS45" s="546"/>
      <c r="AT45" s="547"/>
      <c r="AU45" s="548"/>
      <c r="AV45" s="548"/>
      <c r="AW45" s="546"/>
      <c r="AX45" s="547"/>
      <c r="AY45" s="548"/>
      <c r="AZ45" s="548"/>
      <c r="BA45" s="548"/>
      <c r="BB45" s="546"/>
      <c r="BC45" s="547"/>
      <c r="BD45" s="548"/>
      <c r="BE45" s="548"/>
      <c r="BF45" s="546"/>
      <c r="BG45" s="547"/>
      <c r="BH45" s="548"/>
      <c r="BI45" s="548"/>
      <c r="BJ45" s="548"/>
      <c r="BK45" s="546"/>
      <c r="BL45" s="547"/>
      <c r="BM45" s="548"/>
      <c r="BN45" s="548"/>
      <c r="BO45" s="546"/>
      <c r="BP45" s="547"/>
      <c r="BQ45" s="548"/>
      <c r="BR45" s="548"/>
      <c r="BS45" s="546"/>
      <c r="BT45" s="547"/>
      <c r="BU45" s="548"/>
      <c r="BV45" s="548"/>
      <c r="BW45" s="548"/>
      <c r="BX45" s="546"/>
      <c r="BY45" s="547"/>
      <c r="BZ45" s="548"/>
      <c r="CA45" s="560"/>
      <c r="CB45" s="549"/>
    </row>
    <row r="46" spans="1:80" outlineLevel="2">
      <c r="A46" s="515">
        <v>36</v>
      </c>
      <c r="B46" s="556" t="s">
        <v>6</v>
      </c>
      <c r="C46" s="545"/>
      <c r="D46" s="557">
        <f t="shared" si="12"/>
        <v>17</v>
      </c>
      <c r="E46" s="545"/>
      <c r="F46" s="545" t="s">
        <v>532</v>
      </c>
      <c r="G46" s="589">
        <v>0.82</v>
      </c>
      <c r="H46" s="591">
        <v>1.1200000000000001</v>
      </c>
      <c r="I46" s="591">
        <f t="shared" si="11"/>
        <v>0</v>
      </c>
      <c r="J46" s="589">
        <f t="shared" si="10"/>
        <v>0</v>
      </c>
      <c r="K46" s="590" t="str">
        <f t="shared" si="9"/>
        <v>C</v>
      </c>
      <c r="L46" s="547"/>
      <c r="M46" s="548"/>
      <c r="N46" s="548"/>
      <c r="O46" s="546"/>
      <c r="P46" s="547"/>
      <c r="Q46" s="548"/>
      <c r="R46" s="548"/>
      <c r="S46" s="546"/>
      <c r="T46" s="547"/>
      <c r="U46" s="548"/>
      <c r="V46" s="548"/>
      <c r="W46" s="548"/>
      <c r="X46" s="546"/>
      <c r="Y46" s="547"/>
      <c r="Z46" s="548"/>
      <c r="AA46" s="548"/>
      <c r="AB46" s="546"/>
      <c r="AC46" s="547"/>
      <c r="AD46" s="548"/>
      <c r="AE46" s="548"/>
      <c r="AF46" s="546"/>
      <c r="AG46" s="547"/>
      <c r="AH46" s="548"/>
      <c r="AI46" s="548"/>
      <c r="AJ46" s="546"/>
      <c r="AK46" s="547"/>
      <c r="AL46" s="548"/>
      <c r="AM46" s="548"/>
      <c r="AN46" s="548"/>
      <c r="AO46" s="546"/>
      <c r="AP46" s="547"/>
      <c r="AQ46" s="548"/>
      <c r="AR46" s="548"/>
      <c r="AS46" s="546"/>
      <c r="AT46" s="547"/>
      <c r="AU46" s="548"/>
      <c r="AV46" s="548"/>
      <c r="AW46" s="546"/>
      <c r="AX46" s="547"/>
      <c r="AY46" s="548"/>
      <c r="AZ46" s="548"/>
      <c r="BA46" s="548"/>
      <c r="BB46" s="546"/>
      <c r="BC46" s="547"/>
      <c r="BD46" s="548"/>
      <c r="BE46" s="548"/>
      <c r="BF46" s="546"/>
      <c r="BG46" s="547"/>
      <c r="BH46" s="548"/>
      <c r="BI46" s="548"/>
      <c r="BJ46" s="548"/>
      <c r="BK46" s="546"/>
      <c r="BL46" s="547"/>
      <c r="BM46" s="548"/>
      <c r="BN46" s="548"/>
      <c r="BO46" s="546"/>
      <c r="BP46" s="547"/>
      <c r="BQ46" s="548"/>
      <c r="BR46" s="548"/>
      <c r="BS46" s="546"/>
      <c r="BT46" s="547"/>
      <c r="BU46" s="548"/>
      <c r="BV46" s="548"/>
      <c r="BW46" s="548"/>
      <c r="BX46" s="546"/>
      <c r="BY46" s="547"/>
      <c r="BZ46" s="548"/>
      <c r="CA46" s="560"/>
      <c r="CB46" s="549"/>
    </row>
    <row r="47" spans="1:80" outlineLevel="2">
      <c r="A47" s="515">
        <v>37</v>
      </c>
      <c r="B47" s="556" t="s">
        <v>8</v>
      </c>
      <c r="C47" s="545"/>
      <c r="D47" s="557">
        <f>D45</f>
        <v>17</v>
      </c>
      <c r="E47" s="545"/>
      <c r="F47" s="545" t="s">
        <v>532</v>
      </c>
      <c r="G47" s="589">
        <v>0.36</v>
      </c>
      <c r="H47" s="591">
        <f>H48+H49</f>
        <v>0.60000000000000009</v>
      </c>
      <c r="I47" s="591">
        <f>H47*E47</f>
        <v>0</v>
      </c>
      <c r="J47" s="589">
        <f t="shared" si="10"/>
        <v>0</v>
      </c>
      <c r="K47" s="590" t="str">
        <f t="shared" si="9"/>
        <v>C</v>
      </c>
      <c r="L47" s="547"/>
      <c r="M47" s="548"/>
      <c r="N47" s="548"/>
      <c r="O47" s="546"/>
      <c r="P47" s="547"/>
      <c r="Q47" s="548"/>
      <c r="R47" s="548"/>
      <c r="S47" s="546"/>
      <c r="T47" s="547"/>
      <c r="U47" s="548"/>
      <c r="V47" s="548"/>
      <c r="W47" s="548"/>
      <c r="X47" s="546"/>
      <c r="Y47" s="547"/>
      <c r="Z47" s="548"/>
      <c r="AA47" s="548"/>
      <c r="AB47" s="546"/>
      <c r="AC47" s="547"/>
      <c r="AD47" s="548"/>
      <c r="AE47" s="548"/>
      <c r="AF47" s="546"/>
      <c r="AG47" s="547"/>
      <c r="AH47" s="548"/>
      <c r="AI47" s="548"/>
      <c r="AJ47" s="546"/>
      <c r="AK47" s="547"/>
      <c r="AL47" s="548"/>
      <c r="AM47" s="548"/>
      <c r="AN47" s="548"/>
      <c r="AO47" s="546"/>
      <c r="AP47" s="547"/>
      <c r="AQ47" s="548"/>
      <c r="AR47" s="548"/>
      <c r="AS47" s="546"/>
      <c r="AT47" s="547"/>
      <c r="AU47" s="548"/>
      <c r="AV47" s="548"/>
      <c r="AW47" s="546"/>
      <c r="AX47" s="547"/>
      <c r="AY47" s="548"/>
      <c r="AZ47" s="548"/>
      <c r="BA47" s="548"/>
      <c r="BB47" s="546"/>
      <c r="BC47" s="547"/>
      <c r="BD47" s="548"/>
      <c r="BE47" s="548"/>
      <c r="BF47" s="546"/>
      <c r="BG47" s="547"/>
      <c r="BH47" s="548"/>
      <c r="BI47" s="548"/>
      <c r="BJ47" s="548"/>
      <c r="BK47" s="546"/>
      <c r="BL47" s="547"/>
      <c r="BM47" s="548"/>
      <c r="BN47" s="548"/>
      <c r="BO47" s="546"/>
      <c r="BP47" s="547"/>
      <c r="BQ47" s="548"/>
      <c r="BR47" s="548"/>
      <c r="BS47" s="546"/>
      <c r="BT47" s="547"/>
      <c r="BU47" s="548"/>
      <c r="BV47" s="548"/>
      <c r="BW47" s="548"/>
      <c r="BX47" s="546"/>
      <c r="BY47" s="547"/>
      <c r="BZ47" s="548"/>
      <c r="CA47" s="560"/>
      <c r="CB47" s="549"/>
    </row>
    <row r="48" spans="1:80" outlineLevel="2">
      <c r="A48" s="515">
        <v>38</v>
      </c>
      <c r="B48" s="556" t="s">
        <v>9</v>
      </c>
      <c r="C48" s="545"/>
      <c r="D48" s="557">
        <f>D46</f>
        <v>17</v>
      </c>
      <c r="E48" s="545"/>
      <c r="F48" s="545" t="s">
        <v>532</v>
      </c>
      <c r="G48" s="589">
        <v>0.28999999999999998</v>
      </c>
      <c r="H48" s="591">
        <v>0.4</v>
      </c>
      <c r="I48" s="591">
        <f t="shared" si="11"/>
        <v>0</v>
      </c>
      <c r="J48" s="589">
        <f t="shared" si="10"/>
        <v>0</v>
      </c>
      <c r="K48" s="590" t="str">
        <f t="shared" si="9"/>
        <v>C</v>
      </c>
      <c r="L48" s="547"/>
      <c r="M48" s="548"/>
      <c r="N48" s="548"/>
      <c r="O48" s="546"/>
      <c r="P48" s="547"/>
      <c r="Q48" s="548"/>
      <c r="R48" s="548"/>
      <c r="S48" s="546"/>
      <c r="T48" s="547"/>
      <c r="U48" s="548"/>
      <c r="V48" s="548"/>
      <c r="W48" s="548"/>
      <c r="X48" s="546"/>
      <c r="Y48" s="547"/>
      <c r="Z48" s="548"/>
      <c r="AA48" s="548"/>
      <c r="AB48" s="546"/>
      <c r="AC48" s="547"/>
      <c r="AD48" s="548"/>
      <c r="AE48" s="548"/>
      <c r="AF48" s="546"/>
      <c r="AG48" s="547"/>
      <c r="AH48" s="548"/>
      <c r="AI48" s="548"/>
      <c r="AJ48" s="546"/>
      <c r="AK48" s="547"/>
      <c r="AL48" s="548"/>
      <c r="AM48" s="548"/>
      <c r="AN48" s="548"/>
      <c r="AO48" s="546"/>
      <c r="AP48" s="547"/>
      <c r="AQ48" s="548"/>
      <c r="AR48" s="548"/>
      <c r="AS48" s="546"/>
      <c r="AT48" s="547"/>
      <c r="AU48" s="548"/>
      <c r="AV48" s="548"/>
      <c r="AW48" s="546"/>
      <c r="AX48" s="547"/>
      <c r="AY48" s="548"/>
      <c r="AZ48" s="548"/>
      <c r="BA48" s="548"/>
      <c r="BB48" s="546"/>
      <c r="BC48" s="547"/>
      <c r="BD48" s="548"/>
      <c r="BE48" s="548"/>
      <c r="BF48" s="546"/>
      <c r="BG48" s="547"/>
      <c r="BH48" s="548"/>
      <c r="BI48" s="548"/>
      <c r="BJ48" s="548"/>
      <c r="BK48" s="546"/>
      <c r="BL48" s="547"/>
      <c r="BM48" s="548"/>
      <c r="BN48" s="548"/>
      <c r="BO48" s="546"/>
      <c r="BP48" s="547"/>
      <c r="BQ48" s="548"/>
      <c r="BR48" s="548"/>
      <c r="BS48" s="546"/>
      <c r="BT48" s="547"/>
      <c r="BU48" s="548"/>
      <c r="BV48" s="548"/>
      <c r="BW48" s="548"/>
      <c r="BX48" s="546"/>
      <c r="BY48" s="547"/>
      <c r="BZ48" s="548"/>
      <c r="CA48" s="560"/>
      <c r="CB48" s="549"/>
    </row>
    <row r="49" spans="1:80" outlineLevel="2">
      <c r="A49" s="515">
        <v>39</v>
      </c>
      <c r="B49" s="556" t="s">
        <v>10</v>
      </c>
      <c r="C49" s="545"/>
      <c r="D49" s="557">
        <f t="shared" si="12"/>
        <v>17</v>
      </c>
      <c r="E49" s="545"/>
      <c r="F49" s="545" t="s">
        <v>532</v>
      </c>
      <c r="G49" s="589">
        <v>0.12</v>
      </c>
      <c r="H49" s="591">
        <v>0.2</v>
      </c>
      <c r="I49" s="591">
        <f t="shared" si="11"/>
        <v>0</v>
      </c>
      <c r="J49" s="589">
        <f t="shared" si="10"/>
        <v>0</v>
      </c>
      <c r="K49" s="590" t="str">
        <f t="shared" si="9"/>
        <v>C</v>
      </c>
      <c r="L49" s="547"/>
      <c r="M49" s="548"/>
      <c r="N49" s="548"/>
      <c r="O49" s="546"/>
      <c r="P49" s="547"/>
      <c r="Q49" s="548"/>
      <c r="R49" s="548"/>
      <c r="S49" s="546"/>
      <c r="T49" s="547"/>
      <c r="U49" s="548"/>
      <c r="V49" s="548"/>
      <c r="W49" s="548"/>
      <c r="X49" s="546"/>
      <c r="Y49" s="547"/>
      <c r="Z49" s="548"/>
      <c r="AA49" s="548"/>
      <c r="AB49" s="546"/>
      <c r="AC49" s="547"/>
      <c r="AD49" s="548"/>
      <c r="AE49" s="548"/>
      <c r="AF49" s="546"/>
      <c r="AG49" s="547"/>
      <c r="AH49" s="548"/>
      <c r="AI49" s="548"/>
      <c r="AJ49" s="546"/>
      <c r="AK49" s="547"/>
      <c r="AL49" s="548"/>
      <c r="AM49" s="548"/>
      <c r="AN49" s="548"/>
      <c r="AO49" s="546"/>
      <c r="AP49" s="547"/>
      <c r="AQ49" s="548"/>
      <c r="AR49" s="548"/>
      <c r="AS49" s="546"/>
      <c r="AT49" s="547"/>
      <c r="AU49" s="548"/>
      <c r="AV49" s="548"/>
      <c r="AW49" s="546"/>
      <c r="AX49" s="547"/>
      <c r="AY49" s="548"/>
      <c r="AZ49" s="548"/>
      <c r="BA49" s="548"/>
      <c r="BB49" s="546"/>
      <c r="BC49" s="547"/>
      <c r="BD49" s="548"/>
      <c r="BE49" s="548"/>
      <c r="BF49" s="546"/>
      <c r="BG49" s="547"/>
      <c r="BH49" s="548"/>
      <c r="BI49" s="548"/>
      <c r="BJ49" s="548"/>
      <c r="BK49" s="546"/>
      <c r="BL49" s="547"/>
      <c r="BM49" s="548"/>
      <c r="BN49" s="548"/>
      <c r="BO49" s="546"/>
      <c r="BP49" s="547"/>
      <c r="BQ49" s="548"/>
      <c r="BR49" s="548"/>
      <c r="BS49" s="546"/>
      <c r="BT49" s="547"/>
      <c r="BU49" s="548"/>
      <c r="BV49" s="548"/>
      <c r="BW49" s="548"/>
      <c r="BX49" s="546"/>
      <c r="BY49" s="547"/>
      <c r="BZ49" s="548"/>
      <c r="CA49" s="560"/>
      <c r="CB49" s="549"/>
    </row>
    <row r="50" spans="1:80" outlineLevel="2">
      <c r="A50" s="515">
        <v>40</v>
      </c>
      <c r="B50" s="556" t="s">
        <v>558</v>
      </c>
      <c r="C50" s="545"/>
      <c r="D50" s="557">
        <f t="shared" si="12"/>
        <v>17</v>
      </c>
      <c r="E50" s="545"/>
      <c r="F50" s="545" t="s">
        <v>532</v>
      </c>
      <c r="G50" s="589">
        <v>0.37</v>
      </c>
      <c r="H50" s="591"/>
      <c r="I50" s="591"/>
      <c r="J50" s="589">
        <f t="shared" si="10"/>
        <v>0</v>
      </c>
      <c r="K50" s="590" t="str">
        <f t="shared" si="9"/>
        <v>C</v>
      </c>
      <c r="L50" s="547"/>
      <c r="M50" s="548"/>
      <c r="N50" s="548"/>
      <c r="O50" s="546"/>
      <c r="P50" s="547"/>
      <c r="Q50" s="548"/>
      <c r="R50" s="548"/>
      <c r="S50" s="546"/>
      <c r="T50" s="547"/>
      <c r="U50" s="548"/>
      <c r="V50" s="548"/>
      <c r="W50" s="548"/>
      <c r="X50" s="546"/>
      <c r="Y50" s="547"/>
      <c r="Z50" s="548"/>
      <c r="AA50" s="548"/>
      <c r="AB50" s="546"/>
      <c r="AC50" s="547"/>
      <c r="AD50" s="548"/>
      <c r="AE50" s="548"/>
      <c r="AF50" s="546"/>
      <c r="AG50" s="547"/>
      <c r="AH50" s="548"/>
      <c r="AI50" s="548"/>
      <c r="AJ50" s="546"/>
      <c r="AK50" s="547"/>
      <c r="AL50" s="548"/>
      <c r="AM50" s="548"/>
      <c r="AN50" s="548"/>
      <c r="AO50" s="546"/>
      <c r="AP50" s="547"/>
      <c r="AQ50" s="548"/>
      <c r="AR50" s="548"/>
      <c r="AS50" s="546"/>
      <c r="AT50" s="547"/>
      <c r="AU50" s="548"/>
      <c r="AV50" s="548"/>
      <c r="AW50" s="546"/>
      <c r="AX50" s="547"/>
      <c r="AY50" s="548"/>
      <c r="AZ50" s="548"/>
      <c r="BA50" s="548"/>
      <c r="BB50" s="546"/>
      <c r="BC50" s="547"/>
      <c r="BD50" s="548"/>
      <c r="BE50" s="548"/>
      <c r="BF50" s="546"/>
      <c r="BG50" s="547"/>
      <c r="BH50" s="548"/>
      <c r="BI50" s="548"/>
      <c r="BJ50" s="548"/>
      <c r="BK50" s="546"/>
      <c r="BL50" s="547"/>
      <c r="BM50" s="548"/>
      <c r="BN50" s="548"/>
      <c r="BO50" s="546"/>
      <c r="BP50" s="547"/>
      <c r="BQ50" s="548"/>
      <c r="BR50" s="548"/>
      <c r="BS50" s="546"/>
      <c r="BT50" s="547"/>
      <c r="BU50" s="548"/>
      <c r="BV50" s="548"/>
      <c r="BW50" s="548"/>
      <c r="BX50" s="546"/>
      <c r="BY50" s="547"/>
      <c r="BZ50" s="548"/>
      <c r="CA50" s="560"/>
      <c r="CB50" s="549"/>
    </row>
    <row r="51" spans="1:80" outlineLevel="2">
      <c r="A51" s="515">
        <v>41</v>
      </c>
      <c r="B51" s="556" t="s">
        <v>559</v>
      </c>
      <c r="C51" s="545"/>
      <c r="D51" s="557">
        <f t="shared" si="12"/>
        <v>17</v>
      </c>
      <c r="E51" s="545">
        <v>18</v>
      </c>
      <c r="F51" s="545" t="s">
        <v>532</v>
      </c>
      <c r="G51" s="589">
        <v>0.6</v>
      </c>
      <c r="H51" s="591"/>
      <c r="I51" s="591"/>
      <c r="J51" s="589">
        <f t="shared" si="10"/>
        <v>1285.2</v>
      </c>
      <c r="K51" s="590" t="str">
        <f t="shared" si="9"/>
        <v/>
      </c>
      <c r="L51" s="547"/>
      <c r="M51" s="548"/>
      <c r="N51" s="548"/>
      <c r="O51" s="546"/>
      <c r="P51" s="547"/>
      <c r="Q51" s="548"/>
      <c r="R51" s="548"/>
      <c r="S51" s="546"/>
      <c r="T51" s="547"/>
      <c r="U51" s="548"/>
      <c r="V51" s="548"/>
      <c r="W51" s="548"/>
      <c r="X51" s="546"/>
      <c r="Y51" s="547"/>
      <c r="Z51" s="548"/>
      <c r="AA51" s="548"/>
      <c r="AB51" s="546"/>
      <c r="AC51" s="547"/>
      <c r="AD51" s="548"/>
      <c r="AE51" s="548"/>
      <c r="AF51" s="546"/>
      <c r="AG51" s="547"/>
      <c r="AH51" s="548"/>
      <c r="AI51" s="548"/>
      <c r="AJ51" s="546"/>
      <c r="AK51" s="547"/>
      <c r="AL51" s="548"/>
      <c r="AM51" s="548"/>
      <c r="AN51" s="548"/>
      <c r="AO51" s="546"/>
      <c r="AP51" s="547"/>
      <c r="AQ51" s="548"/>
      <c r="AR51" s="548"/>
      <c r="AS51" s="546"/>
      <c r="AT51" s="547"/>
      <c r="AU51" s="548"/>
      <c r="AV51" s="548"/>
      <c r="AW51" s="546"/>
      <c r="AX51" s="547"/>
      <c r="AY51" s="548"/>
      <c r="AZ51" s="548"/>
      <c r="BA51" s="548"/>
      <c r="BB51" s="546"/>
      <c r="BC51" s="547"/>
      <c r="BD51" s="548"/>
      <c r="BE51" s="548"/>
      <c r="BF51" s="546"/>
      <c r="BG51" s="547"/>
      <c r="BH51" s="548"/>
      <c r="BI51" s="548"/>
      <c r="BJ51" s="548"/>
      <c r="BK51" s="546"/>
      <c r="BL51" s="547"/>
      <c r="BM51" s="548"/>
      <c r="BN51" s="548"/>
      <c r="BO51" s="546"/>
      <c r="BP51" s="547"/>
      <c r="BQ51" s="548"/>
      <c r="BR51" s="548"/>
      <c r="BS51" s="546"/>
      <c r="BT51" s="547"/>
      <c r="BU51" s="548"/>
      <c r="BV51" s="548"/>
      <c r="BW51" s="548"/>
      <c r="BX51" s="546"/>
      <c r="BY51" s="547"/>
      <c r="BZ51" s="548"/>
      <c r="CA51" s="560"/>
      <c r="CB51" s="549"/>
    </row>
    <row r="52" spans="1:80" outlineLevel="2">
      <c r="A52" s="515">
        <v>42</v>
      </c>
      <c r="B52" s="556" t="s">
        <v>560</v>
      </c>
      <c r="C52" s="545"/>
      <c r="D52" s="557">
        <f t="shared" si="12"/>
        <v>17</v>
      </c>
      <c r="E52" s="545"/>
      <c r="F52" s="545" t="s">
        <v>532</v>
      </c>
      <c r="G52" s="589">
        <v>0.62</v>
      </c>
      <c r="H52" s="591"/>
      <c r="I52" s="591"/>
      <c r="J52" s="589">
        <f t="shared" si="10"/>
        <v>0</v>
      </c>
      <c r="K52" s="590" t="str">
        <f t="shared" si="9"/>
        <v>C</v>
      </c>
      <c r="L52" s="547"/>
      <c r="M52" s="548"/>
      <c r="N52" s="548"/>
      <c r="O52" s="546"/>
      <c r="P52" s="547"/>
      <c r="Q52" s="548"/>
      <c r="R52" s="548"/>
      <c r="S52" s="546"/>
      <c r="T52" s="547"/>
      <c r="U52" s="548"/>
      <c r="V52" s="548"/>
      <c r="W52" s="548"/>
      <c r="X52" s="546"/>
      <c r="Y52" s="547"/>
      <c r="Z52" s="548"/>
      <c r="AA52" s="548"/>
      <c r="AB52" s="546"/>
      <c r="AC52" s="547"/>
      <c r="AD52" s="548"/>
      <c r="AE52" s="548"/>
      <c r="AF52" s="546"/>
      <c r="AG52" s="547"/>
      <c r="AH52" s="548"/>
      <c r="AI52" s="548"/>
      <c r="AJ52" s="546"/>
      <c r="AK52" s="547"/>
      <c r="AL52" s="548"/>
      <c r="AM52" s="548"/>
      <c r="AN52" s="548"/>
      <c r="AO52" s="546"/>
      <c r="AP52" s="547"/>
      <c r="AQ52" s="548"/>
      <c r="AR52" s="548"/>
      <c r="AS52" s="546"/>
      <c r="AT52" s="547"/>
      <c r="AU52" s="548"/>
      <c r="AV52" s="548"/>
      <c r="AW52" s="546"/>
      <c r="AX52" s="547"/>
      <c r="AY52" s="548"/>
      <c r="AZ52" s="548"/>
      <c r="BA52" s="548"/>
      <c r="BB52" s="546"/>
      <c r="BC52" s="547"/>
      <c r="BD52" s="548"/>
      <c r="BE52" s="548"/>
      <c r="BF52" s="546"/>
      <c r="BG52" s="547"/>
      <c r="BH52" s="548"/>
      <c r="BI52" s="548"/>
      <c r="BJ52" s="548"/>
      <c r="BK52" s="546"/>
      <c r="BL52" s="547"/>
      <c r="BM52" s="548"/>
      <c r="BN52" s="548"/>
      <c r="BO52" s="546"/>
      <c r="BP52" s="547"/>
      <c r="BQ52" s="548"/>
      <c r="BR52" s="548"/>
      <c r="BS52" s="546"/>
      <c r="BT52" s="547"/>
      <c r="BU52" s="548"/>
      <c r="BV52" s="548"/>
      <c r="BW52" s="548"/>
      <c r="BX52" s="546"/>
      <c r="BY52" s="547"/>
      <c r="BZ52" s="548"/>
      <c r="CA52" s="560"/>
      <c r="CB52" s="549"/>
    </row>
    <row r="53" spans="1:80" outlineLevel="2">
      <c r="A53" s="515">
        <v>43</v>
      </c>
      <c r="B53" s="556" t="s">
        <v>561</v>
      </c>
      <c r="C53" s="545"/>
      <c r="D53" s="557">
        <f t="shared" si="12"/>
        <v>17</v>
      </c>
      <c r="E53" s="545"/>
      <c r="F53" s="545" t="s">
        <v>532</v>
      </c>
      <c r="G53" s="589">
        <v>0.37</v>
      </c>
      <c r="H53" s="591"/>
      <c r="I53" s="591"/>
      <c r="J53" s="589">
        <f t="shared" si="10"/>
        <v>0</v>
      </c>
      <c r="K53" s="590" t="str">
        <f t="shared" si="9"/>
        <v>C</v>
      </c>
      <c r="L53" s="547"/>
      <c r="M53" s="548"/>
      <c r="N53" s="548"/>
      <c r="O53" s="546"/>
      <c r="P53" s="547"/>
      <c r="Q53" s="548"/>
      <c r="R53" s="548"/>
      <c r="S53" s="546"/>
      <c r="T53" s="547"/>
      <c r="U53" s="548"/>
      <c r="V53" s="548"/>
      <c r="W53" s="548"/>
      <c r="X53" s="546"/>
      <c r="Y53" s="547"/>
      <c r="Z53" s="548"/>
      <c r="AA53" s="548"/>
      <c r="AB53" s="546"/>
      <c r="AC53" s="547"/>
      <c r="AD53" s="548"/>
      <c r="AE53" s="548"/>
      <c r="AF53" s="546"/>
      <c r="AG53" s="547"/>
      <c r="AH53" s="548"/>
      <c r="AI53" s="548"/>
      <c r="AJ53" s="546"/>
      <c r="AK53" s="547"/>
      <c r="AL53" s="548"/>
      <c r="AM53" s="548"/>
      <c r="AN53" s="548"/>
      <c r="AO53" s="546"/>
      <c r="AP53" s="547"/>
      <c r="AQ53" s="548"/>
      <c r="AR53" s="548"/>
      <c r="AS53" s="546"/>
      <c r="AT53" s="547"/>
      <c r="AU53" s="548"/>
      <c r="AV53" s="548"/>
      <c r="AW53" s="546"/>
      <c r="AX53" s="547"/>
      <c r="AY53" s="548"/>
      <c r="AZ53" s="548"/>
      <c r="BA53" s="548"/>
      <c r="BB53" s="546"/>
      <c r="BC53" s="547"/>
      <c r="BD53" s="548"/>
      <c r="BE53" s="548"/>
      <c r="BF53" s="546"/>
      <c r="BG53" s="547"/>
      <c r="BH53" s="548"/>
      <c r="BI53" s="548"/>
      <c r="BJ53" s="548"/>
      <c r="BK53" s="546"/>
      <c r="BL53" s="547"/>
      <c r="BM53" s="548"/>
      <c r="BN53" s="548"/>
      <c r="BO53" s="546"/>
      <c r="BP53" s="547"/>
      <c r="BQ53" s="548"/>
      <c r="BR53" s="548"/>
      <c r="BS53" s="546"/>
      <c r="BT53" s="547"/>
      <c r="BU53" s="548"/>
      <c r="BV53" s="548"/>
      <c r="BW53" s="548"/>
      <c r="BX53" s="546"/>
      <c r="BY53" s="547"/>
      <c r="BZ53" s="548"/>
      <c r="CA53" s="560"/>
      <c r="CB53" s="549"/>
    </row>
    <row r="54" spans="1:80" outlineLevel="2">
      <c r="A54" s="515">
        <v>44</v>
      </c>
      <c r="B54" s="556" t="s">
        <v>562</v>
      </c>
      <c r="C54" s="545"/>
      <c r="D54" s="557">
        <f t="shared" si="12"/>
        <v>17</v>
      </c>
      <c r="E54" s="545"/>
      <c r="F54" s="545" t="s">
        <v>532</v>
      </c>
      <c r="G54" s="589">
        <v>0.5</v>
      </c>
      <c r="H54" s="591"/>
      <c r="I54" s="591"/>
      <c r="J54" s="589">
        <f t="shared" si="10"/>
        <v>0</v>
      </c>
      <c r="K54" s="590" t="str">
        <f t="shared" si="9"/>
        <v>C</v>
      </c>
      <c r="L54" s="547"/>
      <c r="M54" s="548"/>
      <c r="N54" s="548"/>
      <c r="O54" s="546"/>
      <c r="P54" s="547"/>
      <c r="Q54" s="548"/>
      <c r="R54" s="548"/>
      <c r="S54" s="546"/>
      <c r="T54" s="547"/>
      <c r="U54" s="548"/>
      <c r="V54" s="548"/>
      <c r="W54" s="548"/>
      <c r="X54" s="546"/>
      <c r="Y54" s="547"/>
      <c r="Z54" s="548"/>
      <c r="AA54" s="548"/>
      <c r="AB54" s="546"/>
      <c r="AC54" s="547"/>
      <c r="AD54" s="548"/>
      <c r="AE54" s="548"/>
      <c r="AF54" s="546"/>
      <c r="AG54" s="547"/>
      <c r="AH54" s="548"/>
      <c r="AI54" s="548"/>
      <c r="AJ54" s="546"/>
      <c r="AK54" s="547"/>
      <c r="AL54" s="548"/>
      <c r="AM54" s="548"/>
      <c r="AN54" s="548"/>
      <c r="AO54" s="546"/>
      <c r="AP54" s="547"/>
      <c r="AQ54" s="548"/>
      <c r="AR54" s="548"/>
      <c r="AS54" s="546"/>
      <c r="AT54" s="547"/>
      <c r="AU54" s="548"/>
      <c r="AV54" s="548"/>
      <c r="AW54" s="546"/>
      <c r="AX54" s="547"/>
      <c r="AY54" s="548"/>
      <c r="AZ54" s="548"/>
      <c r="BA54" s="548"/>
      <c r="BB54" s="546"/>
      <c r="BC54" s="547"/>
      <c r="BD54" s="548"/>
      <c r="BE54" s="548"/>
      <c r="BF54" s="546"/>
      <c r="BG54" s="547"/>
      <c r="BH54" s="548"/>
      <c r="BI54" s="548"/>
      <c r="BJ54" s="548"/>
      <c r="BK54" s="546"/>
      <c r="BL54" s="547"/>
      <c r="BM54" s="548"/>
      <c r="BN54" s="548"/>
      <c r="BO54" s="546"/>
      <c r="BP54" s="547"/>
      <c r="BQ54" s="548"/>
      <c r="BR54" s="548"/>
      <c r="BS54" s="546"/>
      <c r="BT54" s="547"/>
      <c r="BU54" s="548"/>
      <c r="BV54" s="548"/>
      <c r="BW54" s="548"/>
      <c r="BX54" s="546"/>
      <c r="BY54" s="547"/>
      <c r="BZ54" s="548"/>
      <c r="CA54" s="560"/>
      <c r="CB54" s="549"/>
    </row>
    <row r="55" spans="1:80" outlineLevel="2">
      <c r="A55" s="515">
        <v>45</v>
      </c>
      <c r="B55" s="556" t="s">
        <v>563</v>
      </c>
      <c r="C55" s="545"/>
      <c r="D55" s="557">
        <f t="shared" si="12"/>
        <v>17</v>
      </c>
      <c r="E55" s="545"/>
      <c r="F55" s="545" t="s">
        <v>532</v>
      </c>
      <c r="G55" s="589">
        <v>0.62</v>
      </c>
      <c r="H55" s="591"/>
      <c r="I55" s="591"/>
      <c r="J55" s="589">
        <f t="shared" si="10"/>
        <v>0</v>
      </c>
      <c r="K55" s="590" t="str">
        <f t="shared" si="9"/>
        <v>C</v>
      </c>
      <c r="L55" s="547"/>
      <c r="M55" s="548"/>
      <c r="N55" s="548"/>
      <c r="O55" s="546"/>
      <c r="P55" s="547"/>
      <c r="Q55" s="548"/>
      <c r="R55" s="548"/>
      <c r="S55" s="546"/>
      <c r="T55" s="547"/>
      <c r="U55" s="548"/>
      <c r="V55" s="548"/>
      <c r="W55" s="548"/>
      <c r="X55" s="546"/>
      <c r="Y55" s="547"/>
      <c r="Z55" s="548"/>
      <c r="AA55" s="548"/>
      <c r="AB55" s="546"/>
      <c r="AC55" s="547"/>
      <c r="AD55" s="548"/>
      <c r="AE55" s="548"/>
      <c r="AF55" s="546"/>
      <c r="AG55" s="547"/>
      <c r="AH55" s="548"/>
      <c r="AI55" s="548"/>
      <c r="AJ55" s="546"/>
      <c r="AK55" s="547"/>
      <c r="AL55" s="548"/>
      <c r="AM55" s="548"/>
      <c r="AN55" s="548"/>
      <c r="AO55" s="546"/>
      <c r="AP55" s="547"/>
      <c r="AQ55" s="548"/>
      <c r="AR55" s="548"/>
      <c r="AS55" s="546"/>
      <c r="AT55" s="547"/>
      <c r="AU55" s="548"/>
      <c r="AV55" s="548"/>
      <c r="AW55" s="546"/>
      <c r="AX55" s="547"/>
      <c r="AY55" s="548"/>
      <c r="AZ55" s="548"/>
      <c r="BA55" s="548"/>
      <c r="BB55" s="546"/>
      <c r="BC55" s="547"/>
      <c r="BD55" s="548"/>
      <c r="BE55" s="548"/>
      <c r="BF55" s="546"/>
      <c r="BG55" s="547"/>
      <c r="BH55" s="548"/>
      <c r="BI55" s="548"/>
      <c r="BJ55" s="548"/>
      <c r="BK55" s="546"/>
      <c r="BL55" s="547"/>
      <c r="BM55" s="548"/>
      <c r="BN55" s="548"/>
      <c r="BO55" s="546"/>
      <c r="BP55" s="547"/>
      <c r="BQ55" s="548"/>
      <c r="BR55" s="548"/>
      <c r="BS55" s="546"/>
      <c r="BT55" s="547"/>
      <c r="BU55" s="548"/>
      <c r="BV55" s="548"/>
      <c r="BW55" s="548"/>
      <c r="BX55" s="546"/>
      <c r="BY55" s="547"/>
      <c r="BZ55" s="548"/>
      <c r="CA55" s="560"/>
      <c r="CB55" s="549"/>
    </row>
    <row r="56" spans="1:80" outlineLevel="2">
      <c r="A56" s="515">
        <v>46</v>
      </c>
      <c r="B56" s="556" t="s">
        <v>14</v>
      </c>
      <c r="C56" s="545"/>
      <c r="D56" s="557">
        <f t="shared" si="12"/>
        <v>17</v>
      </c>
      <c r="E56" s="545">
        <v>4</v>
      </c>
      <c r="F56" s="545" t="s">
        <v>532</v>
      </c>
      <c r="G56" s="589">
        <v>0.56999999999999995</v>
      </c>
      <c r="H56" s="591"/>
      <c r="I56" s="591"/>
      <c r="J56" s="589">
        <f t="shared" si="10"/>
        <v>271.32</v>
      </c>
      <c r="K56" s="590" t="str">
        <f t="shared" si="9"/>
        <v/>
      </c>
      <c r="L56" s="547"/>
      <c r="M56" s="548"/>
      <c r="N56" s="548"/>
      <c r="O56" s="546"/>
      <c r="P56" s="547"/>
      <c r="Q56" s="548"/>
      <c r="R56" s="548"/>
      <c r="S56" s="546"/>
      <c r="T56" s="547"/>
      <c r="U56" s="548"/>
      <c r="V56" s="548"/>
      <c r="W56" s="548"/>
      <c r="X56" s="546"/>
      <c r="Y56" s="547"/>
      <c r="Z56" s="548"/>
      <c r="AA56" s="548"/>
      <c r="AB56" s="546"/>
      <c r="AC56" s="547"/>
      <c r="AD56" s="548"/>
      <c r="AE56" s="548"/>
      <c r="AF56" s="546"/>
      <c r="AG56" s="547"/>
      <c r="AH56" s="548"/>
      <c r="AI56" s="548"/>
      <c r="AJ56" s="546"/>
      <c r="AK56" s="547"/>
      <c r="AL56" s="548"/>
      <c r="AM56" s="548"/>
      <c r="AN56" s="548"/>
      <c r="AO56" s="546"/>
      <c r="AP56" s="547"/>
      <c r="AQ56" s="548"/>
      <c r="AR56" s="548"/>
      <c r="AS56" s="546"/>
      <c r="AT56" s="547"/>
      <c r="AU56" s="548"/>
      <c r="AV56" s="548"/>
      <c r="AW56" s="546"/>
      <c r="AX56" s="547"/>
      <c r="AY56" s="548"/>
      <c r="AZ56" s="548"/>
      <c r="BA56" s="548"/>
      <c r="BB56" s="546"/>
      <c r="BC56" s="547"/>
      <c r="BD56" s="548"/>
      <c r="BE56" s="548"/>
      <c r="BF56" s="546"/>
      <c r="BG56" s="547"/>
      <c r="BH56" s="548"/>
      <c r="BI56" s="548"/>
      <c r="BJ56" s="548"/>
      <c r="BK56" s="546"/>
      <c r="BL56" s="547"/>
      <c r="BM56" s="548"/>
      <c r="BN56" s="548"/>
      <c r="BO56" s="546"/>
      <c r="BP56" s="547"/>
      <c r="BQ56" s="548"/>
      <c r="BR56" s="548"/>
      <c r="BS56" s="546"/>
      <c r="BT56" s="547"/>
      <c r="BU56" s="548"/>
      <c r="BV56" s="548"/>
      <c r="BW56" s="548"/>
      <c r="BX56" s="546"/>
      <c r="BY56" s="547"/>
      <c r="BZ56" s="548"/>
      <c r="CA56" s="560"/>
      <c r="CB56" s="549"/>
    </row>
    <row r="57" spans="1:80" outlineLevel="2">
      <c r="A57" s="515">
        <v>47</v>
      </c>
      <c r="B57" s="556" t="s">
        <v>564</v>
      </c>
      <c r="C57" s="545"/>
      <c r="D57" s="557">
        <f t="shared" si="12"/>
        <v>17</v>
      </c>
      <c r="E57" s="545"/>
      <c r="F57" s="545" t="s">
        <v>532</v>
      </c>
      <c r="G57" s="589">
        <v>0.8</v>
      </c>
      <c r="H57" s="591"/>
      <c r="I57" s="591"/>
      <c r="J57" s="589">
        <f t="shared" si="10"/>
        <v>0</v>
      </c>
      <c r="K57" s="590" t="str">
        <f t="shared" si="9"/>
        <v>C</v>
      </c>
      <c r="L57" s="547"/>
      <c r="M57" s="548"/>
      <c r="N57" s="548"/>
      <c r="O57" s="546"/>
      <c r="P57" s="547"/>
      <c r="Q57" s="548"/>
      <c r="R57" s="548"/>
      <c r="S57" s="546"/>
      <c r="T57" s="547"/>
      <c r="U57" s="548"/>
      <c r="V57" s="548"/>
      <c r="W57" s="548"/>
      <c r="X57" s="546"/>
      <c r="Y57" s="547"/>
      <c r="Z57" s="548"/>
      <c r="AA57" s="548"/>
      <c r="AB57" s="546"/>
      <c r="AC57" s="547"/>
      <c r="AD57" s="548"/>
      <c r="AE57" s="548"/>
      <c r="AF57" s="546"/>
      <c r="AG57" s="547"/>
      <c r="AH57" s="548"/>
      <c r="AI57" s="548"/>
      <c r="AJ57" s="546"/>
      <c r="AK57" s="547"/>
      <c r="AL57" s="548"/>
      <c r="AM57" s="548"/>
      <c r="AN57" s="548"/>
      <c r="AO57" s="546"/>
      <c r="AP57" s="547"/>
      <c r="AQ57" s="548"/>
      <c r="AR57" s="548"/>
      <c r="AS57" s="546"/>
      <c r="AT57" s="547"/>
      <c r="AU57" s="548"/>
      <c r="AV57" s="548"/>
      <c r="AW57" s="546"/>
      <c r="AX57" s="547"/>
      <c r="AY57" s="548"/>
      <c r="AZ57" s="548"/>
      <c r="BA57" s="548"/>
      <c r="BB57" s="546"/>
      <c r="BC57" s="547"/>
      <c r="BD57" s="548"/>
      <c r="BE57" s="548"/>
      <c r="BF57" s="546"/>
      <c r="BG57" s="547"/>
      <c r="BH57" s="548"/>
      <c r="BI57" s="548"/>
      <c r="BJ57" s="548"/>
      <c r="BK57" s="546"/>
      <c r="BL57" s="547"/>
      <c r="BM57" s="548"/>
      <c r="BN57" s="548"/>
      <c r="BO57" s="546"/>
      <c r="BP57" s="547"/>
      <c r="BQ57" s="548"/>
      <c r="BR57" s="548"/>
      <c r="BS57" s="546"/>
      <c r="BT57" s="547"/>
      <c r="BU57" s="548"/>
      <c r="BV57" s="548"/>
      <c r="BW57" s="548"/>
      <c r="BX57" s="546"/>
      <c r="BY57" s="547"/>
      <c r="BZ57" s="548"/>
      <c r="CA57" s="560"/>
      <c r="CB57" s="549"/>
    </row>
    <row r="58" spans="1:80" outlineLevel="1">
      <c r="A58" s="515">
        <v>48</v>
      </c>
      <c r="B58" s="556" t="s">
        <v>11</v>
      </c>
      <c r="C58" s="545"/>
      <c r="D58" s="557" t="s">
        <v>622</v>
      </c>
      <c r="E58" s="545">
        <v>6</v>
      </c>
      <c r="F58" s="545" t="s">
        <v>532</v>
      </c>
      <c r="G58" s="589">
        <v>110</v>
      </c>
      <c r="H58" s="589"/>
      <c r="I58" s="558"/>
      <c r="J58" s="589">
        <f t="shared" si="10"/>
        <v>660</v>
      </c>
      <c r="K58" s="590" t="str">
        <f t="shared" si="9"/>
        <v/>
      </c>
      <c r="L58" s="547"/>
      <c r="M58" s="548"/>
      <c r="N58" s="548"/>
      <c r="O58" s="546"/>
      <c r="P58" s="547"/>
      <c r="Q58" s="548"/>
      <c r="R58" s="548"/>
      <c r="S58" s="546"/>
      <c r="T58" s="547"/>
      <c r="U58" s="548"/>
      <c r="V58" s="548"/>
      <c r="W58" s="548"/>
      <c r="X58" s="546"/>
      <c r="Y58" s="547"/>
      <c r="Z58" s="548"/>
      <c r="AA58" s="548"/>
      <c r="AB58" s="546"/>
      <c r="AC58" s="547"/>
      <c r="AD58" s="548"/>
      <c r="AE58" s="548"/>
      <c r="AF58" s="546"/>
      <c r="AG58" s="547"/>
      <c r="AH58" s="548"/>
      <c r="AI58" s="548"/>
      <c r="AJ58" s="546"/>
      <c r="AK58" s="547"/>
      <c r="AL58" s="548"/>
      <c r="AM58" s="548"/>
      <c r="AN58" s="548"/>
      <c r="AO58" s="546"/>
      <c r="AP58" s="547"/>
      <c r="AQ58" s="548"/>
      <c r="AR58" s="548"/>
      <c r="AS58" s="546"/>
      <c r="AT58" s="547"/>
      <c r="AU58" s="548"/>
      <c r="AV58" s="548"/>
      <c r="AW58" s="546"/>
      <c r="AX58" s="547"/>
      <c r="AY58" s="548"/>
      <c r="AZ58" s="548"/>
      <c r="BA58" s="548"/>
      <c r="BB58" s="546"/>
      <c r="BC58" s="547"/>
      <c r="BD58" s="548"/>
      <c r="BE58" s="548"/>
      <c r="BF58" s="546"/>
      <c r="BG58" s="547"/>
      <c r="BH58" s="548"/>
      <c r="BI58" s="548"/>
      <c r="BJ58" s="548"/>
      <c r="BK58" s="546"/>
      <c r="BL58" s="547"/>
      <c r="BM58" s="548"/>
      <c r="BN58" s="548"/>
      <c r="BO58" s="546"/>
      <c r="BP58" s="547"/>
      <c r="BQ58" s="548"/>
      <c r="BR58" s="548"/>
      <c r="BS58" s="546"/>
      <c r="BT58" s="547"/>
      <c r="BU58" s="548"/>
      <c r="BV58" s="548"/>
      <c r="BW58" s="548"/>
      <c r="BX58" s="546"/>
      <c r="BY58" s="547"/>
      <c r="BZ58" s="548"/>
      <c r="CA58" s="560"/>
      <c r="CB58" s="549"/>
    </row>
    <row r="59" spans="1:80" outlineLevel="1">
      <c r="A59" s="515">
        <v>49</v>
      </c>
      <c r="B59" s="556" t="s">
        <v>12</v>
      </c>
      <c r="C59" s="545"/>
      <c r="D59" s="557" t="s">
        <v>622</v>
      </c>
      <c r="E59" s="545">
        <v>32</v>
      </c>
      <c r="F59" s="545" t="s">
        <v>532</v>
      </c>
      <c r="G59" s="589">
        <v>40</v>
      </c>
      <c r="H59" s="589"/>
      <c r="I59" s="558"/>
      <c r="J59" s="589">
        <f t="shared" si="10"/>
        <v>1280</v>
      </c>
      <c r="K59" s="590" t="str">
        <f t="shared" si="9"/>
        <v/>
      </c>
      <c r="L59" s="547"/>
      <c r="M59" s="548"/>
      <c r="N59" s="548"/>
      <c r="O59" s="546"/>
      <c r="P59" s="547"/>
      <c r="Q59" s="548"/>
      <c r="R59" s="548"/>
      <c r="S59" s="546"/>
      <c r="T59" s="547"/>
      <c r="U59" s="548"/>
      <c r="V59" s="548"/>
      <c r="W59" s="548"/>
      <c r="X59" s="546"/>
      <c r="Y59" s="547"/>
      <c r="Z59" s="548"/>
      <c r="AA59" s="548"/>
      <c r="AB59" s="546"/>
      <c r="AC59" s="547"/>
      <c r="AD59" s="548"/>
      <c r="AE59" s="548"/>
      <c r="AF59" s="546"/>
      <c r="AG59" s="547"/>
      <c r="AH59" s="548"/>
      <c r="AI59" s="548"/>
      <c r="AJ59" s="546"/>
      <c r="AK59" s="547"/>
      <c r="AL59" s="548"/>
      <c r="AM59" s="548"/>
      <c r="AN59" s="548"/>
      <c r="AO59" s="546"/>
      <c r="AP59" s="547"/>
      <c r="AQ59" s="548"/>
      <c r="AR59" s="548"/>
      <c r="AS59" s="546"/>
      <c r="AT59" s="547"/>
      <c r="AU59" s="548"/>
      <c r="AV59" s="548"/>
      <c r="AW59" s="546"/>
      <c r="AX59" s="547"/>
      <c r="AY59" s="548"/>
      <c r="AZ59" s="548"/>
      <c r="BA59" s="548"/>
      <c r="BB59" s="546"/>
      <c r="BC59" s="547"/>
      <c r="BD59" s="548"/>
      <c r="BE59" s="548"/>
      <c r="BF59" s="546"/>
      <c r="BG59" s="547"/>
      <c r="BH59" s="548"/>
      <c r="BI59" s="548"/>
      <c r="BJ59" s="548"/>
      <c r="BK59" s="546"/>
      <c r="BL59" s="547"/>
      <c r="BM59" s="548"/>
      <c r="BN59" s="548"/>
      <c r="BO59" s="546"/>
      <c r="BP59" s="547"/>
      <c r="BQ59" s="548"/>
      <c r="BR59" s="548"/>
      <c r="BS59" s="546"/>
      <c r="BT59" s="547"/>
      <c r="BU59" s="548"/>
      <c r="BV59" s="548"/>
      <c r="BW59" s="548"/>
      <c r="BX59" s="546"/>
      <c r="BY59" s="547"/>
      <c r="BZ59" s="548"/>
      <c r="CA59" s="560"/>
      <c r="CB59" s="549"/>
    </row>
    <row r="60" spans="1:80" outlineLevel="1">
      <c r="A60" s="515">
        <v>50</v>
      </c>
      <c r="B60" s="556" t="s">
        <v>13</v>
      </c>
      <c r="C60" s="545"/>
      <c r="D60" s="557" t="s">
        <v>622</v>
      </c>
      <c r="E60" s="545">
        <f>2*SUM(E30:E31,E34:E35,E42:E43)+SUM(E32,E36,E44,E38:E40)</f>
        <v>56</v>
      </c>
      <c r="F60" s="545" t="s">
        <v>532</v>
      </c>
      <c r="G60" s="589">
        <v>8</v>
      </c>
      <c r="H60" s="589"/>
      <c r="I60" s="558"/>
      <c r="J60" s="589">
        <f t="shared" si="10"/>
        <v>448</v>
      </c>
      <c r="K60" s="590" t="str">
        <f t="shared" si="9"/>
        <v/>
      </c>
      <c r="L60" s="547"/>
      <c r="M60" s="548"/>
      <c r="N60" s="548"/>
      <c r="O60" s="546"/>
      <c r="P60" s="547"/>
      <c r="Q60" s="548"/>
      <c r="R60" s="548"/>
      <c r="S60" s="546"/>
      <c r="T60" s="547"/>
      <c r="U60" s="548"/>
      <c r="V60" s="548"/>
      <c r="W60" s="548"/>
      <c r="X60" s="546"/>
      <c r="Y60" s="547"/>
      <c r="Z60" s="548"/>
      <c r="AA60" s="548"/>
      <c r="AB60" s="546"/>
      <c r="AC60" s="547"/>
      <c r="AD60" s="548"/>
      <c r="AE60" s="548"/>
      <c r="AF60" s="546"/>
      <c r="AG60" s="547"/>
      <c r="AH60" s="548"/>
      <c r="AI60" s="548"/>
      <c r="AJ60" s="546"/>
      <c r="AK60" s="547"/>
      <c r="AL60" s="548"/>
      <c r="AM60" s="548"/>
      <c r="AN60" s="548"/>
      <c r="AO60" s="546"/>
      <c r="AP60" s="547"/>
      <c r="AQ60" s="548"/>
      <c r="AR60" s="548"/>
      <c r="AS60" s="546"/>
      <c r="AT60" s="547"/>
      <c r="AU60" s="548"/>
      <c r="AV60" s="548"/>
      <c r="AW60" s="546"/>
      <c r="AX60" s="547"/>
      <c r="AY60" s="548"/>
      <c r="AZ60" s="548"/>
      <c r="BA60" s="548"/>
      <c r="BB60" s="546"/>
      <c r="BC60" s="547"/>
      <c r="BD60" s="548"/>
      <c r="BE60" s="548"/>
      <c r="BF60" s="546"/>
      <c r="BG60" s="547"/>
      <c r="BH60" s="548"/>
      <c r="BI60" s="548"/>
      <c r="BJ60" s="548"/>
      <c r="BK60" s="546"/>
      <c r="BL60" s="547"/>
      <c r="BM60" s="548"/>
      <c r="BN60" s="548"/>
      <c r="BO60" s="546"/>
      <c r="BP60" s="547"/>
      <c r="BQ60" s="548"/>
      <c r="BR60" s="548"/>
      <c r="BS60" s="546"/>
      <c r="BT60" s="547"/>
      <c r="BU60" s="548"/>
      <c r="BV60" s="548"/>
      <c r="BW60" s="548"/>
      <c r="BX60" s="546"/>
      <c r="BY60" s="547"/>
      <c r="BZ60" s="548"/>
      <c r="CA60" s="560"/>
      <c r="CB60" s="549"/>
    </row>
    <row r="61" spans="1:80" outlineLevel="1">
      <c r="A61" s="515">
        <v>51</v>
      </c>
      <c r="B61" s="556" t="s">
        <v>572</v>
      </c>
      <c r="C61" s="545"/>
      <c r="D61" s="557" t="s">
        <v>622</v>
      </c>
      <c r="E61" s="545">
        <f>2*E60</f>
        <v>112</v>
      </c>
      <c r="F61" s="545" t="s">
        <v>532</v>
      </c>
      <c r="G61" s="589">
        <v>7</v>
      </c>
      <c r="H61" s="589"/>
      <c r="I61" s="558"/>
      <c r="J61" s="589">
        <f t="shared" si="10"/>
        <v>784</v>
      </c>
      <c r="K61" s="590" t="str">
        <f t="shared" si="9"/>
        <v/>
      </c>
      <c r="L61" s="547"/>
      <c r="M61" s="548"/>
      <c r="N61" s="548"/>
      <c r="O61" s="546"/>
      <c r="P61" s="547"/>
      <c r="Q61" s="548"/>
      <c r="R61" s="548"/>
      <c r="S61" s="546"/>
      <c r="T61" s="547"/>
      <c r="U61" s="548"/>
      <c r="V61" s="548"/>
      <c r="W61" s="548"/>
      <c r="X61" s="546"/>
      <c r="Y61" s="547"/>
      <c r="Z61" s="548"/>
      <c r="AA61" s="548"/>
      <c r="AB61" s="546"/>
      <c r="AC61" s="547"/>
      <c r="AD61" s="548"/>
      <c r="AE61" s="548"/>
      <c r="AF61" s="546"/>
      <c r="AG61" s="547"/>
      <c r="AH61" s="548"/>
      <c r="AI61" s="548"/>
      <c r="AJ61" s="546"/>
      <c r="AK61" s="547"/>
      <c r="AL61" s="548"/>
      <c r="AM61" s="548"/>
      <c r="AN61" s="548"/>
      <c r="AO61" s="546"/>
      <c r="AP61" s="547"/>
      <c r="AQ61" s="548"/>
      <c r="AR61" s="548"/>
      <c r="AS61" s="546"/>
      <c r="AT61" s="547"/>
      <c r="AU61" s="548"/>
      <c r="AV61" s="548"/>
      <c r="AW61" s="546"/>
      <c r="AX61" s="547"/>
      <c r="AY61" s="548"/>
      <c r="AZ61" s="548"/>
      <c r="BA61" s="548"/>
      <c r="BB61" s="546"/>
      <c r="BC61" s="547"/>
      <c r="BD61" s="548"/>
      <c r="BE61" s="548"/>
      <c r="BF61" s="546"/>
      <c r="BG61" s="547"/>
      <c r="BH61" s="548"/>
      <c r="BI61" s="548"/>
      <c r="BJ61" s="548"/>
      <c r="BK61" s="546"/>
      <c r="BL61" s="547"/>
      <c r="BM61" s="548"/>
      <c r="BN61" s="548"/>
      <c r="BO61" s="546"/>
      <c r="BP61" s="547"/>
      <c r="BQ61" s="548"/>
      <c r="BR61" s="548"/>
      <c r="BS61" s="546"/>
      <c r="BT61" s="547"/>
      <c r="BU61" s="548"/>
      <c r="BV61" s="548"/>
      <c r="BW61" s="548"/>
      <c r="BX61" s="546"/>
      <c r="BY61" s="547"/>
      <c r="BZ61" s="548"/>
      <c r="CA61" s="560"/>
      <c r="CB61" s="549"/>
    </row>
    <row r="62" spans="1:80" outlineLevel="1">
      <c r="A62" s="515">
        <v>52</v>
      </c>
      <c r="B62" s="556"/>
      <c r="C62" s="545"/>
      <c r="D62" s="557"/>
      <c r="E62" s="545"/>
      <c r="F62" s="545"/>
      <c r="G62" s="589"/>
      <c r="H62" s="591"/>
      <c r="I62" s="591"/>
      <c r="J62" s="589" t="s">
        <v>624</v>
      </c>
      <c r="K62" s="590" t="str">
        <f t="shared" si="9"/>
        <v/>
      </c>
      <c r="L62" s="547"/>
      <c r="M62" s="548"/>
      <c r="N62" s="548"/>
      <c r="O62" s="546"/>
      <c r="P62" s="547"/>
      <c r="Q62" s="548"/>
      <c r="R62" s="548"/>
      <c r="S62" s="546"/>
      <c r="T62" s="547"/>
      <c r="U62" s="548"/>
      <c r="V62" s="548"/>
      <c r="W62" s="548"/>
      <c r="X62" s="546"/>
      <c r="Y62" s="547"/>
      <c r="Z62" s="548"/>
      <c r="AA62" s="548"/>
      <c r="AB62" s="546"/>
      <c r="AC62" s="547"/>
      <c r="AD62" s="548"/>
      <c r="AE62" s="548"/>
      <c r="AF62" s="546"/>
      <c r="AG62" s="547"/>
      <c r="AH62" s="548"/>
      <c r="AI62" s="548"/>
      <c r="AJ62" s="546"/>
      <c r="AK62" s="547"/>
      <c r="AL62" s="548"/>
      <c r="AM62" s="548"/>
      <c r="AN62" s="548"/>
      <c r="AO62" s="546"/>
      <c r="AP62" s="547"/>
      <c r="AQ62" s="548"/>
      <c r="AR62" s="548"/>
      <c r="AS62" s="546"/>
      <c r="AT62" s="547"/>
      <c r="AU62" s="548"/>
      <c r="AV62" s="548"/>
      <c r="AW62" s="546"/>
      <c r="AX62" s="547"/>
      <c r="AY62" s="548"/>
      <c r="AZ62" s="548"/>
      <c r="BA62" s="548"/>
      <c r="BB62" s="546"/>
      <c r="BC62" s="547"/>
      <c r="BD62" s="548"/>
      <c r="BE62" s="548"/>
      <c r="BF62" s="546"/>
      <c r="BG62" s="547"/>
      <c r="BH62" s="548"/>
      <c r="BI62" s="548"/>
      <c r="BJ62" s="548"/>
      <c r="BK62" s="546"/>
      <c r="BL62" s="547"/>
      <c r="BM62" s="548"/>
      <c r="BN62" s="548"/>
      <c r="BO62" s="546"/>
      <c r="BP62" s="547"/>
      <c r="BQ62" s="548"/>
      <c r="BR62" s="548"/>
      <c r="BS62" s="546"/>
      <c r="BT62" s="547"/>
      <c r="BU62" s="548"/>
      <c r="BV62" s="548"/>
      <c r="BW62" s="548"/>
      <c r="BX62" s="546"/>
      <c r="BY62" s="547"/>
      <c r="BZ62" s="548"/>
      <c r="CA62" s="560"/>
      <c r="CB62" s="549"/>
    </row>
    <row r="63" spans="1:80" outlineLevel="1">
      <c r="A63" s="515">
        <v>53</v>
      </c>
      <c r="B63" s="556" t="s">
        <v>619</v>
      </c>
      <c r="C63" s="545"/>
      <c r="D63" s="557" t="str">
        <f>DureeHL($L63:$CB63)</f>
        <v/>
      </c>
      <c r="E63" s="589">
        <f>SUM(I64:I83)</f>
        <v>0</v>
      </c>
      <c r="F63" s="545" t="s">
        <v>533</v>
      </c>
      <c r="G63" s="589" t="s">
        <v>453</v>
      </c>
      <c r="H63" s="591"/>
      <c r="I63" s="558"/>
      <c r="J63" s="592">
        <f>IF(SUM(J64:J91)=0,0," ")</f>
        <v>0</v>
      </c>
      <c r="K63" s="590" t="str">
        <f t="shared" si="9"/>
        <v>C</v>
      </c>
      <c r="L63" s="547"/>
      <c r="M63" s="548"/>
      <c r="N63" s="548"/>
      <c r="O63" s="546"/>
      <c r="P63" s="547"/>
      <c r="Q63" s="548"/>
      <c r="R63" s="548"/>
      <c r="S63" s="546"/>
      <c r="T63" s="547"/>
      <c r="U63" s="548"/>
      <c r="V63" s="548"/>
      <c r="W63" s="548"/>
      <c r="X63" s="546"/>
      <c r="Y63" s="547"/>
      <c r="Z63" s="548"/>
      <c r="AA63" s="548"/>
      <c r="AB63" s="546"/>
      <c r="AC63" s="547"/>
      <c r="AD63" s="548"/>
      <c r="AE63" s="548"/>
      <c r="AF63" s="546"/>
      <c r="AG63" s="547"/>
      <c r="AH63" s="548"/>
      <c r="AI63" s="548"/>
      <c r="AJ63" s="546"/>
      <c r="AK63" s="547"/>
      <c r="AL63" s="548"/>
      <c r="AM63" s="548"/>
      <c r="AN63" s="548"/>
      <c r="AO63" s="546"/>
      <c r="AP63" s="547"/>
      <c r="AQ63" s="548"/>
      <c r="AR63" s="548"/>
      <c r="AS63" s="546"/>
      <c r="AT63" s="547"/>
      <c r="AU63" s="548"/>
      <c r="AV63" s="548"/>
      <c r="AW63" s="546"/>
      <c r="AX63" s="547"/>
      <c r="AY63" s="548"/>
      <c r="AZ63" s="548"/>
      <c r="BA63" s="548"/>
      <c r="BB63" s="546"/>
      <c r="BC63" s="547"/>
      <c r="BD63" s="548"/>
      <c r="BE63" s="548"/>
      <c r="BF63" s="546"/>
      <c r="BG63" s="547"/>
      <c r="BH63" s="548"/>
      <c r="BI63" s="548"/>
      <c r="BJ63" s="548"/>
      <c r="BK63" s="546"/>
      <c r="BL63" s="547"/>
      <c r="BM63" s="548"/>
      <c r="BN63" s="548"/>
      <c r="BO63" s="546"/>
      <c r="BP63" s="547"/>
      <c r="BQ63" s="548"/>
      <c r="BR63" s="548"/>
      <c r="BS63" s="546"/>
      <c r="BT63" s="547"/>
      <c r="BU63" s="548"/>
      <c r="BV63" s="548"/>
      <c r="BW63" s="548"/>
      <c r="BX63" s="546"/>
      <c r="BY63" s="547"/>
      <c r="BZ63" s="548"/>
      <c r="CA63" s="560"/>
      <c r="CB63" s="549"/>
    </row>
    <row r="64" spans="1:80" outlineLevel="2">
      <c r="A64" s="515">
        <v>54</v>
      </c>
      <c r="B64" s="556" t="s">
        <v>15</v>
      </c>
      <c r="C64" s="545"/>
      <c r="D64" s="557" t="str">
        <f>D63</f>
        <v/>
      </c>
      <c r="E64" s="545"/>
      <c r="F64" s="545" t="s">
        <v>532</v>
      </c>
      <c r="G64" s="589">
        <v>3.9895833333333339</v>
      </c>
      <c r="H64" s="591">
        <v>7</v>
      </c>
      <c r="I64" s="591">
        <f>H64*E64</f>
        <v>0</v>
      </c>
      <c r="J64" s="589">
        <f t="shared" si="10"/>
        <v>0</v>
      </c>
      <c r="K64" s="590" t="str">
        <f t="shared" si="9"/>
        <v>C</v>
      </c>
      <c r="L64" s="547"/>
      <c r="M64" s="548"/>
      <c r="N64" s="548"/>
      <c r="O64" s="546"/>
      <c r="P64" s="547"/>
      <c r="Q64" s="548"/>
      <c r="R64" s="548"/>
      <c r="S64" s="546"/>
      <c r="T64" s="547"/>
      <c r="U64" s="548"/>
      <c r="V64" s="548"/>
      <c r="W64" s="548"/>
      <c r="X64" s="546"/>
      <c r="Y64" s="547"/>
      <c r="Z64" s="548"/>
      <c r="AA64" s="548"/>
      <c r="AB64" s="546"/>
      <c r="AC64" s="547"/>
      <c r="AD64" s="548"/>
      <c r="AE64" s="548"/>
      <c r="AF64" s="546"/>
      <c r="AG64" s="547"/>
      <c r="AH64" s="548"/>
      <c r="AI64" s="548"/>
      <c r="AJ64" s="546"/>
      <c r="AK64" s="547"/>
      <c r="AL64" s="548"/>
      <c r="AM64" s="548"/>
      <c r="AN64" s="548"/>
      <c r="AO64" s="546"/>
      <c r="AP64" s="547"/>
      <c r="AQ64" s="548"/>
      <c r="AR64" s="548"/>
      <c r="AS64" s="546"/>
      <c r="AT64" s="547"/>
      <c r="AU64" s="548"/>
      <c r="AV64" s="548"/>
      <c r="AW64" s="546"/>
      <c r="AX64" s="547"/>
      <c r="AY64" s="548"/>
      <c r="AZ64" s="548"/>
      <c r="BA64" s="548"/>
      <c r="BB64" s="546"/>
      <c r="BC64" s="547"/>
      <c r="BD64" s="548"/>
      <c r="BE64" s="548"/>
      <c r="BF64" s="546"/>
      <c r="BG64" s="547"/>
      <c r="BH64" s="548"/>
      <c r="BI64" s="548"/>
      <c r="BJ64" s="548"/>
      <c r="BK64" s="546"/>
      <c r="BL64" s="547"/>
      <c r="BM64" s="548"/>
      <c r="BN64" s="548"/>
      <c r="BO64" s="546"/>
      <c r="BP64" s="547"/>
      <c r="BQ64" s="548"/>
      <c r="BR64" s="548"/>
      <c r="BS64" s="546"/>
      <c r="BT64" s="547"/>
      <c r="BU64" s="548"/>
      <c r="BV64" s="548"/>
      <c r="BW64" s="548"/>
      <c r="BX64" s="546"/>
      <c r="BY64" s="547"/>
      <c r="BZ64" s="548"/>
      <c r="CA64" s="560"/>
      <c r="CB64" s="549"/>
    </row>
    <row r="65" spans="1:80" outlineLevel="2">
      <c r="A65" s="515">
        <v>55</v>
      </c>
      <c r="B65" s="556" t="s">
        <v>21</v>
      </c>
      <c r="C65" s="545"/>
      <c r="D65" s="557" t="str">
        <f>D63</f>
        <v/>
      </c>
      <c r="E65" s="545"/>
      <c r="F65" s="545" t="s">
        <v>532</v>
      </c>
      <c r="G65" s="589">
        <v>3.1875</v>
      </c>
      <c r="H65" s="591">
        <f>H66+H67</f>
        <v>3.75</v>
      </c>
      <c r="I65" s="591">
        <f t="shared" ref="I65:I70" si="13">H65*E65</f>
        <v>0</v>
      </c>
      <c r="J65" s="589">
        <f t="shared" si="10"/>
        <v>0</v>
      </c>
      <c r="K65" s="590" t="str">
        <f t="shared" si="9"/>
        <v>C</v>
      </c>
      <c r="L65" s="547"/>
      <c r="M65" s="548"/>
      <c r="N65" s="548"/>
      <c r="O65" s="546"/>
      <c r="P65" s="547"/>
      <c r="Q65" s="548"/>
      <c r="R65" s="548"/>
      <c r="S65" s="546"/>
      <c r="T65" s="547"/>
      <c r="U65" s="548"/>
      <c r="V65" s="548"/>
      <c r="W65" s="548"/>
      <c r="X65" s="546"/>
      <c r="Y65" s="547"/>
      <c r="Z65" s="548"/>
      <c r="AA65" s="548"/>
      <c r="AB65" s="546"/>
      <c r="AC65" s="547"/>
      <c r="AD65" s="548"/>
      <c r="AE65" s="548"/>
      <c r="AF65" s="546"/>
      <c r="AG65" s="547"/>
      <c r="AH65" s="548"/>
      <c r="AI65" s="548"/>
      <c r="AJ65" s="546"/>
      <c r="AK65" s="547"/>
      <c r="AL65" s="548"/>
      <c r="AM65" s="548"/>
      <c r="AN65" s="548"/>
      <c r="AO65" s="546"/>
      <c r="AP65" s="547"/>
      <c r="AQ65" s="548"/>
      <c r="AR65" s="548"/>
      <c r="AS65" s="546"/>
      <c r="AT65" s="547"/>
      <c r="AU65" s="548"/>
      <c r="AV65" s="548"/>
      <c r="AW65" s="546"/>
      <c r="AX65" s="547"/>
      <c r="AY65" s="548"/>
      <c r="AZ65" s="548"/>
      <c r="BA65" s="548"/>
      <c r="BB65" s="546"/>
      <c r="BC65" s="547"/>
      <c r="BD65" s="548"/>
      <c r="BE65" s="548"/>
      <c r="BF65" s="546"/>
      <c r="BG65" s="547"/>
      <c r="BH65" s="548"/>
      <c r="BI65" s="548"/>
      <c r="BJ65" s="548"/>
      <c r="BK65" s="546"/>
      <c r="BL65" s="547"/>
      <c r="BM65" s="548"/>
      <c r="BN65" s="548"/>
      <c r="BO65" s="546"/>
      <c r="BP65" s="547"/>
      <c r="BQ65" s="548"/>
      <c r="BR65" s="548"/>
      <c r="BS65" s="546"/>
      <c r="BT65" s="547"/>
      <c r="BU65" s="548"/>
      <c r="BV65" s="548"/>
      <c r="BW65" s="548"/>
      <c r="BX65" s="546"/>
      <c r="BY65" s="547"/>
      <c r="BZ65" s="548"/>
      <c r="CA65" s="560"/>
      <c r="CB65" s="549"/>
    </row>
    <row r="66" spans="1:80" outlineLevel="2">
      <c r="A66" s="515">
        <v>56</v>
      </c>
      <c r="B66" s="556" t="s">
        <v>18</v>
      </c>
      <c r="C66" s="545"/>
      <c r="D66" s="557" t="str">
        <f>D64</f>
        <v/>
      </c>
      <c r="E66" s="545"/>
      <c r="F66" s="545" t="s">
        <v>532</v>
      </c>
      <c r="G66" s="589">
        <v>2.125</v>
      </c>
      <c r="H66" s="591">
        <v>2.5</v>
      </c>
      <c r="I66" s="591">
        <f t="shared" si="13"/>
        <v>0</v>
      </c>
      <c r="J66" s="589">
        <f t="shared" si="10"/>
        <v>0</v>
      </c>
      <c r="K66" s="590" t="str">
        <f t="shared" si="9"/>
        <v>C</v>
      </c>
      <c r="L66" s="547"/>
      <c r="M66" s="548"/>
      <c r="N66" s="548"/>
      <c r="O66" s="546"/>
      <c r="P66" s="547"/>
      <c r="Q66" s="548"/>
      <c r="R66" s="548"/>
      <c r="S66" s="546"/>
      <c r="T66" s="547"/>
      <c r="U66" s="548"/>
      <c r="V66" s="548"/>
      <c r="W66" s="548"/>
      <c r="X66" s="546"/>
      <c r="Y66" s="547"/>
      <c r="Z66" s="548"/>
      <c r="AA66" s="548"/>
      <c r="AB66" s="546"/>
      <c r="AC66" s="547"/>
      <c r="AD66" s="548"/>
      <c r="AE66" s="548"/>
      <c r="AF66" s="546"/>
      <c r="AG66" s="547"/>
      <c r="AH66" s="548"/>
      <c r="AI66" s="548"/>
      <c r="AJ66" s="546"/>
      <c r="AK66" s="547"/>
      <c r="AL66" s="548"/>
      <c r="AM66" s="548"/>
      <c r="AN66" s="548"/>
      <c r="AO66" s="546"/>
      <c r="AP66" s="547"/>
      <c r="AQ66" s="548"/>
      <c r="AR66" s="548"/>
      <c r="AS66" s="546"/>
      <c r="AT66" s="547"/>
      <c r="AU66" s="548"/>
      <c r="AV66" s="548"/>
      <c r="AW66" s="546"/>
      <c r="AX66" s="547"/>
      <c r="AY66" s="548"/>
      <c r="AZ66" s="548"/>
      <c r="BA66" s="548"/>
      <c r="BB66" s="546"/>
      <c r="BC66" s="547"/>
      <c r="BD66" s="548"/>
      <c r="BE66" s="548"/>
      <c r="BF66" s="546"/>
      <c r="BG66" s="547"/>
      <c r="BH66" s="548"/>
      <c r="BI66" s="548"/>
      <c r="BJ66" s="548"/>
      <c r="BK66" s="546"/>
      <c r="BL66" s="547"/>
      <c r="BM66" s="548"/>
      <c r="BN66" s="548"/>
      <c r="BO66" s="546"/>
      <c r="BP66" s="547"/>
      <c r="BQ66" s="548"/>
      <c r="BR66" s="548"/>
      <c r="BS66" s="546"/>
      <c r="BT66" s="547"/>
      <c r="BU66" s="548"/>
      <c r="BV66" s="548"/>
      <c r="BW66" s="548"/>
      <c r="BX66" s="546"/>
      <c r="BY66" s="547"/>
      <c r="BZ66" s="548"/>
      <c r="CA66" s="560"/>
      <c r="CB66" s="549"/>
    </row>
    <row r="67" spans="1:80" outlineLevel="2">
      <c r="A67" s="515">
        <v>57</v>
      </c>
      <c r="B67" s="556" t="s">
        <v>24</v>
      </c>
      <c r="C67" s="545"/>
      <c r="D67" s="557" t="str">
        <f>D66</f>
        <v/>
      </c>
      <c r="E67" s="545"/>
      <c r="F67" s="545" t="s">
        <v>532</v>
      </c>
      <c r="G67" s="589">
        <v>0.94791666666666663</v>
      </c>
      <c r="H67" s="591">
        <v>1.25</v>
      </c>
      <c r="I67" s="591">
        <f t="shared" si="13"/>
        <v>0</v>
      </c>
      <c r="J67" s="589">
        <f t="shared" si="10"/>
        <v>0</v>
      </c>
      <c r="K67" s="590" t="str">
        <f t="shared" si="9"/>
        <v>C</v>
      </c>
      <c r="L67" s="547"/>
      <c r="M67" s="548"/>
      <c r="N67" s="548"/>
      <c r="O67" s="546"/>
      <c r="P67" s="547"/>
      <c r="Q67" s="548"/>
      <c r="R67" s="548"/>
      <c r="S67" s="546"/>
      <c r="T67" s="547"/>
      <c r="U67" s="548"/>
      <c r="V67" s="548"/>
      <c r="W67" s="548"/>
      <c r="X67" s="546"/>
      <c r="Y67" s="547"/>
      <c r="Z67" s="548"/>
      <c r="AA67" s="548"/>
      <c r="AB67" s="546"/>
      <c r="AC67" s="547"/>
      <c r="AD67" s="548"/>
      <c r="AE67" s="548"/>
      <c r="AF67" s="546"/>
      <c r="AG67" s="547"/>
      <c r="AH67" s="548"/>
      <c r="AI67" s="548"/>
      <c r="AJ67" s="546"/>
      <c r="AK67" s="547"/>
      <c r="AL67" s="548"/>
      <c r="AM67" s="548"/>
      <c r="AN67" s="548"/>
      <c r="AO67" s="546"/>
      <c r="AP67" s="547"/>
      <c r="AQ67" s="548"/>
      <c r="AR67" s="548"/>
      <c r="AS67" s="546"/>
      <c r="AT67" s="547"/>
      <c r="AU67" s="548"/>
      <c r="AV67" s="548"/>
      <c r="AW67" s="546"/>
      <c r="AX67" s="547"/>
      <c r="AY67" s="548"/>
      <c r="AZ67" s="548"/>
      <c r="BA67" s="548"/>
      <c r="BB67" s="546"/>
      <c r="BC67" s="547"/>
      <c r="BD67" s="548"/>
      <c r="BE67" s="548"/>
      <c r="BF67" s="546"/>
      <c r="BG67" s="547"/>
      <c r="BH67" s="548"/>
      <c r="BI67" s="548"/>
      <c r="BJ67" s="548"/>
      <c r="BK67" s="546"/>
      <c r="BL67" s="547"/>
      <c r="BM67" s="548"/>
      <c r="BN67" s="548"/>
      <c r="BO67" s="546"/>
      <c r="BP67" s="547"/>
      <c r="BQ67" s="548"/>
      <c r="BR67" s="548"/>
      <c r="BS67" s="546"/>
      <c r="BT67" s="547"/>
      <c r="BU67" s="548"/>
      <c r="BV67" s="548"/>
      <c r="BW67" s="548"/>
      <c r="BX67" s="546"/>
      <c r="BY67" s="547"/>
      <c r="BZ67" s="548"/>
      <c r="CA67" s="560"/>
      <c r="CB67" s="549"/>
    </row>
    <row r="68" spans="1:80" outlineLevel="2">
      <c r="A68" s="515">
        <v>58</v>
      </c>
      <c r="B68" s="556" t="s">
        <v>16</v>
      </c>
      <c r="C68" s="545"/>
      <c r="D68" s="557" t="str">
        <f>D67</f>
        <v/>
      </c>
      <c r="E68" s="545"/>
      <c r="F68" s="545" t="s">
        <v>532</v>
      </c>
      <c r="G68" s="589">
        <v>2</v>
      </c>
      <c r="H68" s="591">
        <v>3.5</v>
      </c>
      <c r="I68" s="591">
        <f t="shared" si="13"/>
        <v>0</v>
      </c>
      <c r="J68" s="589">
        <f t="shared" si="10"/>
        <v>0</v>
      </c>
      <c r="K68" s="590" t="str">
        <f t="shared" si="9"/>
        <v>C</v>
      </c>
      <c r="L68" s="547"/>
      <c r="M68" s="548"/>
      <c r="N68" s="548"/>
      <c r="O68" s="546"/>
      <c r="P68" s="547"/>
      <c r="Q68" s="548"/>
      <c r="R68" s="548"/>
      <c r="S68" s="546"/>
      <c r="T68" s="547"/>
      <c r="U68" s="548"/>
      <c r="V68" s="548"/>
      <c r="W68" s="548"/>
      <c r="X68" s="546"/>
      <c r="Y68" s="547"/>
      <c r="Z68" s="548"/>
      <c r="AA68" s="548"/>
      <c r="AB68" s="546"/>
      <c r="AC68" s="547"/>
      <c r="AD68" s="548"/>
      <c r="AE68" s="548"/>
      <c r="AF68" s="546"/>
      <c r="AG68" s="547"/>
      <c r="AH68" s="548"/>
      <c r="AI68" s="548"/>
      <c r="AJ68" s="546"/>
      <c r="AK68" s="547"/>
      <c r="AL68" s="548"/>
      <c r="AM68" s="548"/>
      <c r="AN68" s="548"/>
      <c r="AO68" s="546"/>
      <c r="AP68" s="547"/>
      <c r="AQ68" s="548"/>
      <c r="AR68" s="548"/>
      <c r="AS68" s="546"/>
      <c r="AT68" s="547"/>
      <c r="AU68" s="548"/>
      <c r="AV68" s="548"/>
      <c r="AW68" s="546"/>
      <c r="AX68" s="547"/>
      <c r="AY68" s="548"/>
      <c r="AZ68" s="548"/>
      <c r="BA68" s="548"/>
      <c r="BB68" s="546"/>
      <c r="BC68" s="547"/>
      <c r="BD68" s="548"/>
      <c r="BE68" s="548"/>
      <c r="BF68" s="546"/>
      <c r="BG68" s="547"/>
      <c r="BH68" s="548"/>
      <c r="BI68" s="548"/>
      <c r="BJ68" s="548"/>
      <c r="BK68" s="546"/>
      <c r="BL68" s="547"/>
      <c r="BM68" s="548"/>
      <c r="BN68" s="548"/>
      <c r="BO68" s="546"/>
      <c r="BP68" s="547"/>
      <c r="BQ68" s="548"/>
      <c r="BR68" s="548"/>
      <c r="BS68" s="546"/>
      <c r="BT68" s="547"/>
      <c r="BU68" s="548"/>
      <c r="BV68" s="548"/>
      <c r="BW68" s="548"/>
      <c r="BX68" s="546"/>
      <c r="BY68" s="547"/>
      <c r="BZ68" s="548"/>
      <c r="CA68" s="560"/>
      <c r="CB68" s="549"/>
    </row>
    <row r="69" spans="1:80" outlineLevel="2">
      <c r="A69" s="515">
        <v>59</v>
      </c>
      <c r="B69" s="556" t="s">
        <v>22</v>
      </c>
      <c r="C69" s="545"/>
      <c r="D69" s="557" t="str">
        <f>D67</f>
        <v/>
      </c>
      <c r="E69" s="545"/>
      <c r="F69" s="545" t="s">
        <v>532</v>
      </c>
      <c r="G69" s="589">
        <v>1.59375</v>
      </c>
      <c r="H69" s="591">
        <f>H70+H71</f>
        <v>1.875</v>
      </c>
      <c r="I69" s="591">
        <f t="shared" si="13"/>
        <v>0</v>
      </c>
      <c r="J69" s="589">
        <f t="shared" si="10"/>
        <v>0</v>
      </c>
      <c r="K69" s="590" t="str">
        <f t="shared" si="9"/>
        <v>C</v>
      </c>
      <c r="L69" s="547"/>
      <c r="M69" s="548"/>
      <c r="N69" s="548"/>
      <c r="O69" s="546"/>
      <c r="P69" s="547"/>
      <c r="Q69" s="548"/>
      <c r="R69" s="548"/>
      <c r="S69" s="546"/>
      <c r="T69" s="547"/>
      <c r="U69" s="548"/>
      <c r="V69" s="548"/>
      <c r="W69" s="548"/>
      <c r="X69" s="546"/>
      <c r="Y69" s="547"/>
      <c r="Z69" s="548"/>
      <c r="AA69" s="548"/>
      <c r="AB69" s="546"/>
      <c r="AC69" s="547"/>
      <c r="AD69" s="548"/>
      <c r="AE69" s="548"/>
      <c r="AF69" s="546"/>
      <c r="AG69" s="547"/>
      <c r="AH69" s="548"/>
      <c r="AI69" s="548"/>
      <c r="AJ69" s="546"/>
      <c r="AK69" s="547"/>
      <c r="AL69" s="548"/>
      <c r="AM69" s="548"/>
      <c r="AN69" s="548"/>
      <c r="AO69" s="546"/>
      <c r="AP69" s="547"/>
      <c r="AQ69" s="548"/>
      <c r="AR69" s="548"/>
      <c r="AS69" s="546"/>
      <c r="AT69" s="547"/>
      <c r="AU69" s="548"/>
      <c r="AV69" s="548"/>
      <c r="AW69" s="546"/>
      <c r="AX69" s="547"/>
      <c r="AY69" s="548"/>
      <c r="AZ69" s="548"/>
      <c r="BA69" s="548"/>
      <c r="BB69" s="546"/>
      <c r="BC69" s="547"/>
      <c r="BD69" s="548"/>
      <c r="BE69" s="548"/>
      <c r="BF69" s="546"/>
      <c r="BG69" s="547"/>
      <c r="BH69" s="548"/>
      <c r="BI69" s="548"/>
      <c r="BJ69" s="548"/>
      <c r="BK69" s="546"/>
      <c r="BL69" s="547"/>
      <c r="BM69" s="548"/>
      <c r="BN69" s="548"/>
      <c r="BO69" s="546"/>
      <c r="BP69" s="547"/>
      <c r="BQ69" s="548"/>
      <c r="BR69" s="548"/>
      <c r="BS69" s="546"/>
      <c r="BT69" s="547"/>
      <c r="BU69" s="548"/>
      <c r="BV69" s="548"/>
      <c r="BW69" s="548"/>
      <c r="BX69" s="546"/>
      <c r="BY69" s="547"/>
      <c r="BZ69" s="548"/>
      <c r="CA69" s="560"/>
      <c r="CB69" s="549"/>
    </row>
    <row r="70" spans="1:80" outlineLevel="2">
      <c r="A70" s="515">
        <v>60</v>
      </c>
      <c r="B70" s="556" t="s">
        <v>19</v>
      </c>
      <c r="C70" s="545"/>
      <c r="D70" s="557" t="str">
        <f>D68</f>
        <v/>
      </c>
      <c r="E70" s="545"/>
      <c r="F70" s="545" t="s">
        <v>532</v>
      </c>
      <c r="G70" s="589">
        <v>1.0625</v>
      </c>
      <c r="H70" s="591">
        <v>1.25</v>
      </c>
      <c r="I70" s="591">
        <f t="shared" si="13"/>
        <v>0</v>
      </c>
      <c r="J70" s="589">
        <f t="shared" si="10"/>
        <v>0</v>
      </c>
      <c r="K70" s="590" t="str">
        <f t="shared" si="9"/>
        <v>C</v>
      </c>
      <c r="L70" s="547"/>
      <c r="M70" s="548"/>
      <c r="N70" s="548"/>
      <c r="O70" s="546"/>
      <c r="P70" s="547"/>
      <c r="Q70" s="548"/>
      <c r="R70" s="548"/>
      <c r="S70" s="546"/>
      <c r="T70" s="547"/>
      <c r="U70" s="548"/>
      <c r="V70" s="548"/>
      <c r="W70" s="548"/>
      <c r="X70" s="546"/>
      <c r="Y70" s="547"/>
      <c r="Z70" s="548"/>
      <c r="AA70" s="548"/>
      <c r="AB70" s="546"/>
      <c r="AC70" s="547"/>
      <c r="AD70" s="548"/>
      <c r="AE70" s="548"/>
      <c r="AF70" s="546"/>
      <c r="AG70" s="547"/>
      <c r="AH70" s="548"/>
      <c r="AI70" s="548"/>
      <c r="AJ70" s="546"/>
      <c r="AK70" s="547"/>
      <c r="AL70" s="548"/>
      <c r="AM70" s="548"/>
      <c r="AN70" s="548"/>
      <c r="AO70" s="546"/>
      <c r="AP70" s="547"/>
      <c r="AQ70" s="548"/>
      <c r="AR70" s="548"/>
      <c r="AS70" s="546"/>
      <c r="AT70" s="547"/>
      <c r="AU70" s="548"/>
      <c r="AV70" s="548"/>
      <c r="AW70" s="546"/>
      <c r="AX70" s="547"/>
      <c r="AY70" s="548"/>
      <c r="AZ70" s="548"/>
      <c r="BA70" s="548"/>
      <c r="BB70" s="546"/>
      <c r="BC70" s="547"/>
      <c r="BD70" s="548"/>
      <c r="BE70" s="548"/>
      <c r="BF70" s="546"/>
      <c r="BG70" s="547"/>
      <c r="BH70" s="548"/>
      <c r="BI70" s="548"/>
      <c r="BJ70" s="548"/>
      <c r="BK70" s="546"/>
      <c r="BL70" s="547"/>
      <c r="BM70" s="548"/>
      <c r="BN70" s="548"/>
      <c r="BO70" s="546"/>
      <c r="BP70" s="547"/>
      <c r="BQ70" s="548"/>
      <c r="BR70" s="548"/>
      <c r="BS70" s="546"/>
      <c r="BT70" s="547"/>
      <c r="BU70" s="548"/>
      <c r="BV70" s="548"/>
      <c r="BW70" s="548"/>
      <c r="BX70" s="546"/>
      <c r="BY70" s="547"/>
      <c r="BZ70" s="548"/>
      <c r="CA70" s="560"/>
      <c r="CB70" s="549"/>
    </row>
    <row r="71" spans="1:80" outlineLevel="2">
      <c r="A71" s="515">
        <v>61</v>
      </c>
      <c r="B71" s="556" t="s">
        <v>25</v>
      </c>
      <c r="C71" s="545"/>
      <c r="D71" s="557" t="str">
        <f>D70</f>
        <v/>
      </c>
      <c r="E71" s="545"/>
      <c r="F71" s="545" t="s">
        <v>532</v>
      </c>
      <c r="G71" s="589">
        <v>0.47916666666666674</v>
      </c>
      <c r="H71" s="591">
        <v>0.625</v>
      </c>
      <c r="I71" s="591">
        <f>H71*E71</f>
        <v>0</v>
      </c>
      <c r="J71" s="589">
        <f t="shared" si="10"/>
        <v>0</v>
      </c>
      <c r="K71" s="590" t="str">
        <f t="shared" si="9"/>
        <v>C</v>
      </c>
      <c r="L71" s="547"/>
      <c r="M71" s="548"/>
      <c r="N71" s="548"/>
      <c r="O71" s="546"/>
      <c r="P71" s="547"/>
      <c r="Q71" s="548"/>
      <c r="R71" s="548"/>
      <c r="S71" s="546"/>
      <c r="T71" s="547"/>
      <c r="U71" s="548"/>
      <c r="V71" s="548"/>
      <c r="W71" s="548"/>
      <c r="X71" s="546"/>
      <c r="Y71" s="547"/>
      <c r="Z71" s="548"/>
      <c r="AA71" s="548"/>
      <c r="AB71" s="546"/>
      <c r="AC71" s="547"/>
      <c r="AD71" s="548"/>
      <c r="AE71" s="548"/>
      <c r="AF71" s="546"/>
      <c r="AG71" s="547"/>
      <c r="AH71" s="548"/>
      <c r="AI71" s="548"/>
      <c r="AJ71" s="546"/>
      <c r="AK71" s="547"/>
      <c r="AL71" s="548"/>
      <c r="AM71" s="548"/>
      <c r="AN71" s="548"/>
      <c r="AO71" s="546"/>
      <c r="AP71" s="547"/>
      <c r="AQ71" s="548"/>
      <c r="AR71" s="548"/>
      <c r="AS71" s="546"/>
      <c r="AT71" s="547"/>
      <c r="AU71" s="548"/>
      <c r="AV71" s="548"/>
      <c r="AW71" s="546"/>
      <c r="AX71" s="547"/>
      <c r="AY71" s="548"/>
      <c r="AZ71" s="548"/>
      <c r="BA71" s="548"/>
      <c r="BB71" s="546"/>
      <c r="BC71" s="547"/>
      <c r="BD71" s="548"/>
      <c r="BE71" s="548"/>
      <c r="BF71" s="546"/>
      <c r="BG71" s="547"/>
      <c r="BH71" s="548"/>
      <c r="BI71" s="548"/>
      <c r="BJ71" s="548"/>
      <c r="BK71" s="546"/>
      <c r="BL71" s="547"/>
      <c r="BM71" s="548"/>
      <c r="BN71" s="548"/>
      <c r="BO71" s="546"/>
      <c r="BP71" s="547"/>
      <c r="BQ71" s="548"/>
      <c r="BR71" s="548"/>
      <c r="BS71" s="546"/>
      <c r="BT71" s="547"/>
      <c r="BU71" s="548"/>
      <c r="BV71" s="548"/>
      <c r="BW71" s="548"/>
      <c r="BX71" s="546"/>
      <c r="BY71" s="547"/>
      <c r="BZ71" s="548"/>
      <c r="CA71" s="560"/>
      <c r="CB71" s="549"/>
    </row>
    <row r="72" spans="1:80" outlineLevel="2">
      <c r="A72" s="515">
        <v>62</v>
      </c>
      <c r="B72" s="556" t="s">
        <v>17</v>
      </c>
      <c r="C72" s="545"/>
      <c r="D72" s="557" t="str">
        <f>D71</f>
        <v/>
      </c>
      <c r="E72" s="545"/>
      <c r="F72" s="545" t="s">
        <v>532</v>
      </c>
      <c r="G72" s="589">
        <v>1</v>
      </c>
      <c r="H72" s="591">
        <v>1.75</v>
      </c>
      <c r="I72" s="591">
        <f t="shared" ref="I72:I83" si="14">H72*E72</f>
        <v>0</v>
      </c>
      <c r="J72" s="589">
        <f t="shared" si="10"/>
        <v>0</v>
      </c>
      <c r="K72" s="590" t="str">
        <f t="shared" si="9"/>
        <v>C</v>
      </c>
      <c r="L72" s="547"/>
      <c r="M72" s="548"/>
      <c r="N72" s="548"/>
      <c r="O72" s="546"/>
      <c r="P72" s="547"/>
      <c r="Q72" s="548"/>
      <c r="R72" s="548"/>
      <c r="S72" s="546"/>
      <c r="T72" s="547"/>
      <c r="U72" s="548"/>
      <c r="V72" s="548"/>
      <c r="W72" s="548"/>
      <c r="X72" s="546"/>
      <c r="Y72" s="547"/>
      <c r="Z72" s="548"/>
      <c r="AA72" s="548"/>
      <c r="AB72" s="546"/>
      <c r="AC72" s="547"/>
      <c r="AD72" s="548"/>
      <c r="AE72" s="548"/>
      <c r="AF72" s="546"/>
      <c r="AG72" s="547"/>
      <c r="AH72" s="548"/>
      <c r="AI72" s="548"/>
      <c r="AJ72" s="546"/>
      <c r="AK72" s="547"/>
      <c r="AL72" s="548"/>
      <c r="AM72" s="548"/>
      <c r="AN72" s="548"/>
      <c r="AO72" s="546"/>
      <c r="AP72" s="547"/>
      <c r="AQ72" s="548"/>
      <c r="AR72" s="548"/>
      <c r="AS72" s="546"/>
      <c r="AT72" s="547"/>
      <c r="AU72" s="548"/>
      <c r="AV72" s="548"/>
      <c r="AW72" s="546"/>
      <c r="AX72" s="547"/>
      <c r="AY72" s="548"/>
      <c r="AZ72" s="548"/>
      <c r="BA72" s="548"/>
      <c r="BB72" s="546"/>
      <c r="BC72" s="547"/>
      <c r="BD72" s="548"/>
      <c r="BE72" s="548"/>
      <c r="BF72" s="546"/>
      <c r="BG72" s="547"/>
      <c r="BH72" s="548"/>
      <c r="BI72" s="548"/>
      <c r="BJ72" s="548"/>
      <c r="BK72" s="546"/>
      <c r="BL72" s="547"/>
      <c r="BM72" s="548"/>
      <c r="BN72" s="548"/>
      <c r="BO72" s="546"/>
      <c r="BP72" s="547"/>
      <c r="BQ72" s="548"/>
      <c r="BR72" s="548"/>
      <c r="BS72" s="546"/>
      <c r="BT72" s="547"/>
      <c r="BU72" s="548"/>
      <c r="BV72" s="548"/>
      <c r="BW72" s="548"/>
      <c r="BX72" s="546"/>
      <c r="BY72" s="547"/>
      <c r="BZ72" s="548"/>
      <c r="CA72" s="560"/>
      <c r="CB72" s="549"/>
    </row>
    <row r="73" spans="1:80" outlineLevel="2">
      <c r="A73" s="515">
        <v>63</v>
      </c>
      <c r="B73" s="556" t="s">
        <v>23</v>
      </c>
      <c r="C73" s="545"/>
      <c r="D73" s="557" t="str">
        <f>D71</f>
        <v/>
      </c>
      <c r="E73" s="545"/>
      <c r="F73" s="545" t="s">
        <v>532</v>
      </c>
      <c r="G73" s="589">
        <v>0.80208333333333348</v>
      </c>
      <c r="H73" s="591">
        <f>H74+H75</f>
        <v>0.9375</v>
      </c>
      <c r="I73" s="591">
        <f t="shared" si="14"/>
        <v>0</v>
      </c>
      <c r="J73" s="589">
        <f t="shared" si="10"/>
        <v>0</v>
      </c>
      <c r="K73" s="590" t="str">
        <f t="shared" si="9"/>
        <v>C</v>
      </c>
      <c r="L73" s="547"/>
      <c r="M73" s="548"/>
      <c r="N73" s="548"/>
      <c r="O73" s="546"/>
      <c r="P73" s="547"/>
      <c r="Q73" s="548"/>
      <c r="R73" s="548"/>
      <c r="S73" s="546"/>
      <c r="T73" s="547"/>
      <c r="U73" s="548"/>
      <c r="V73" s="548"/>
      <c r="W73" s="548"/>
      <c r="X73" s="546"/>
      <c r="Y73" s="547"/>
      <c r="Z73" s="548"/>
      <c r="AA73" s="548"/>
      <c r="AB73" s="546"/>
      <c r="AC73" s="547"/>
      <c r="AD73" s="548"/>
      <c r="AE73" s="548"/>
      <c r="AF73" s="546"/>
      <c r="AG73" s="547"/>
      <c r="AH73" s="548"/>
      <c r="AI73" s="548"/>
      <c r="AJ73" s="546"/>
      <c r="AK73" s="547"/>
      <c r="AL73" s="548"/>
      <c r="AM73" s="548"/>
      <c r="AN73" s="548"/>
      <c r="AO73" s="546"/>
      <c r="AP73" s="547"/>
      <c r="AQ73" s="548"/>
      <c r="AR73" s="548"/>
      <c r="AS73" s="546"/>
      <c r="AT73" s="547"/>
      <c r="AU73" s="548"/>
      <c r="AV73" s="548"/>
      <c r="AW73" s="546"/>
      <c r="AX73" s="547"/>
      <c r="AY73" s="548"/>
      <c r="AZ73" s="548"/>
      <c r="BA73" s="548"/>
      <c r="BB73" s="546"/>
      <c r="BC73" s="547"/>
      <c r="BD73" s="548"/>
      <c r="BE73" s="548"/>
      <c r="BF73" s="546"/>
      <c r="BG73" s="547"/>
      <c r="BH73" s="548"/>
      <c r="BI73" s="548"/>
      <c r="BJ73" s="548"/>
      <c r="BK73" s="546"/>
      <c r="BL73" s="547"/>
      <c r="BM73" s="548"/>
      <c r="BN73" s="548"/>
      <c r="BO73" s="546"/>
      <c r="BP73" s="547"/>
      <c r="BQ73" s="548"/>
      <c r="BR73" s="548"/>
      <c r="BS73" s="546"/>
      <c r="BT73" s="547"/>
      <c r="BU73" s="548"/>
      <c r="BV73" s="548"/>
      <c r="BW73" s="548"/>
      <c r="BX73" s="546"/>
      <c r="BY73" s="547"/>
      <c r="BZ73" s="548"/>
      <c r="CA73" s="560"/>
      <c r="CB73" s="549"/>
    </row>
    <row r="74" spans="1:80" outlineLevel="2">
      <c r="A74" s="515">
        <v>64</v>
      </c>
      <c r="B74" s="556" t="s">
        <v>20</v>
      </c>
      <c r="C74" s="545"/>
      <c r="D74" s="557" t="str">
        <f>D72</f>
        <v/>
      </c>
      <c r="E74" s="545"/>
      <c r="F74" s="545" t="s">
        <v>532</v>
      </c>
      <c r="G74" s="589">
        <v>0.53125</v>
      </c>
      <c r="H74" s="591">
        <v>0.625</v>
      </c>
      <c r="I74" s="591">
        <f t="shared" si="14"/>
        <v>0</v>
      </c>
      <c r="J74" s="589">
        <f t="shared" si="10"/>
        <v>0</v>
      </c>
      <c r="K74" s="590" t="str">
        <f t="shared" si="9"/>
        <v>C</v>
      </c>
      <c r="L74" s="547"/>
      <c r="M74" s="548"/>
      <c r="N74" s="548"/>
      <c r="O74" s="546"/>
      <c r="P74" s="547"/>
      <c r="Q74" s="548"/>
      <c r="R74" s="548"/>
      <c r="S74" s="546"/>
      <c r="T74" s="547"/>
      <c r="U74" s="548"/>
      <c r="V74" s="548"/>
      <c r="W74" s="548"/>
      <c r="X74" s="546"/>
      <c r="Y74" s="547"/>
      <c r="Z74" s="548"/>
      <c r="AA74" s="548"/>
      <c r="AB74" s="546"/>
      <c r="AC74" s="547"/>
      <c r="AD74" s="548"/>
      <c r="AE74" s="548"/>
      <c r="AF74" s="546"/>
      <c r="AG74" s="547"/>
      <c r="AH74" s="548"/>
      <c r="AI74" s="548"/>
      <c r="AJ74" s="546"/>
      <c r="AK74" s="547"/>
      <c r="AL74" s="548"/>
      <c r="AM74" s="548"/>
      <c r="AN74" s="548"/>
      <c r="AO74" s="546"/>
      <c r="AP74" s="547"/>
      <c r="AQ74" s="548"/>
      <c r="AR74" s="548"/>
      <c r="AS74" s="546"/>
      <c r="AT74" s="547"/>
      <c r="AU74" s="548"/>
      <c r="AV74" s="548"/>
      <c r="AW74" s="546"/>
      <c r="AX74" s="547"/>
      <c r="AY74" s="548"/>
      <c r="AZ74" s="548"/>
      <c r="BA74" s="548"/>
      <c r="BB74" s="546"/>
      <c r="BC74" s="547"/>
      <c r="BD74" s="548"/>
      <c r="BE74" s="548"/>
      <c r="BF74" s="546"/>
      <c r="BG74" s="547"/>
      <c r="BH74" s="548"/>
      <c r="BI74" s="548"/>
      <c r="BJ74" s="548"/>
      <c r="BK74" s="546"/>
      <c r="BL74" s="547"/>
      <c r="BM74" s="548"/>
      <c r="BN74" s="548"/>
      <c r="BO74" s="546"/>
      <c r="BP74" s="547"/>
      <c r="BQ74" s="548"/>
      <c r="BR74" s="548"/>
      <c r="BS74" s="546"/>
      <c r="BT74" s="547"/>
      <c r="BU74" s="548"/>
      <c r="BV74" s="548"/>
      <c r="BW74" s="548"/>
      <c r="BX74" s="546"/>
      <c r="BY74" s="547"/>
      <c r="BZ74" s="548"/>
      <c r="CA74" s="560"/>
      <c r="CB74" s="549"/>
    </row>
    <row r="75" spans="1:80" outlineLevel="2">
      <c r="A75" s="515">
        <v>65</v>
      </c>
      <c r="B75" s="556" t="s">
        <v>553</v>
      </c>
      <c r="C75" s="545"/>
      <c r="D75" s="557" t="str">
        <f>D74</f>
        <v/>
      </c>
      <c r="E75" s="545"/>
      <c r="F75" s="545" t="s">
        <v>532</v>
      </c>
      <c r="G75" s="589">
        <v>0.23958333333333337</v>
      </c>
      <c r="H75" s="591">
        <v>0.3125</v>
      </c>
      <c r="I75" s="591">
        <f t="shared" si="14"/>
        <v>0</v>
      </c>
      <c r="J75" s="589">
        <f t="shared" si="10"/>
        <v>0</v>
      </c>
      <c r="K75" s="590" t="str">
        <f t="shared" si="9"/>
        <v>C</v>
      </c>
      <c r="L75" s="547"/>
      <c r="M75" s="548"/>
      <c r="N75" s="548"/>
      <c r="O75" s="546"/>
      <c r="P75" s="547"/>
      <c r="Q75" s="548"/>
      <c r="R75" s="548"/>
      <c r="S75" s="546"/>
      <c r="T75" s="547"/>
      <c r="U75" s="548"/>
      <c r="V75" s="548"/>
      <c r="W75" s="548"/>
      <c r="X75" s="546"/>
      <c r="Y75" s="547"/>
      <c r="Z75" s="548"/>
      <c r="AA75" s="548"/>
      <c r="AB75" s="546"/>
      <c r="AC75" s="547"/>
      <c r="AD75" s="548"/>
      <c r="AE75" s="548"/>
      <c r="AF75" s="546"/>
      <c r="AG75" s="547"/>
      <c r="AH75" s="548"/>
      <c r="AI75" s="548"/>
      <c r="AJ75" s="546"/>
      <c r="AK75" s="547"/>
      <c r="AL75" s="548"/>
      <c r="AM75" s="548"/>
      <c r="AN75" s="548"/>
      <c r="AO75" s="546"/>
      <c r="AP75" s="547"/>
      <c r="AQ75" s="548"/>
      <c r="AR75" s="548"/>
      <c r="AS75" s="546"/>
      <c r="AT75" s="547"/>
      <c r="AU75" s="548"/>
      <c r="AV75" s="548"/>
      <c r="AW75" s="546"/>
      <c r="AX75" s="547"/>
      <c r="AY75" s="548"/>
      <c r="AZ75" s="548"/>
      <c r="BA75" s="548"/>
      <c r="BB75" s="546"/>
      <c r="BC75" s="547"/>
      <c r="BD75" s="548"/>
      <c r="BE75" s="548"/>
      <c r="BF75" s="546"/>
      <c r="BG75" s="547"/>
      <c r="BH75" s="548"/>
      <c r="BI75" s="548"/>
      <c r="BJ75" s="548"/>
      <c r="BK75" s="546"/>
      <c r="BL75" s="547"/>
      <c r="BM75" s="548"/>
      <c r="BN75" s="548"/>
      <c r="BO75" s="546"/>
      <c r="BP75" s="547"/>
      <c r="BQ75" s="548"/>
      <c r="BR75" s="548"/>
      <c r="BS75" s="546"/>
      <c r="BT75" s="547"/>
      <c r="BU75" s="548"/>
      <c r="BV75" s="548"/>
      <c r="BW75" s="548"/>
      <c r="BX75" s="546"/>
      <c r="BY75" s="547"/>
      <c r="BZ75" s="548"/>
      <c r="CA75" s="560"/>
      <c r="CB75" s="549"/>
    </row>
    <row r="76" spans="1:80" outlineLevel="2">
      <c r="A76" s="515">
        <v>66</v>
      </c>
      <c r="B76" s="556" t="s">
        <v>554</v>
      </c>
      <c r="C76" s="545"/>
      <c r="D76" s="557" t="str">
        <f>D75</f>
        <v/>
      </c>
      <c r="E76" s="545"/>
      <c r="F76" s="545" t="s">
        <v>532</v>
      </c>
      <c r="G76" s="589">
        <v>5.95</v>
      </c>
      <c r="H76" s="591">
        <v>7</v>
      </c>
      <c r="I76" s="591">
        <f t="shared" si="14"/>
        <v>0</v>
      </c>
      <c r="J76" s="589">
        <f t="shared" si="10"/>
        <v>0</v>
      </c>
      <c r="K76" s="590" t="str">
        <f t="shared" si="9"/>
        <v>C</v>
      </c>
      <c r="L76" s="547"/>
      <c r="M76" s="548"/>
      <c r="N76" s="548"/>
      <c r="O76" s="546"/>
      <c r="P76" s="547"/>
      <c r="Q76" s="548"/>
      <c r="R76" s="548"/>
      <c r="S76" s="546"/>
      <c r="T76" s="547"/>
      <c r="U76" s="548"/>
      <c r="V76" s="548"/>
      <c r="W76" s="548"/>
      <c r="X76" s="546"/>
      <c r="Y76" s="547"/>
      <c r="Z76" s="548"/>
      <c r="AA76" s="548"/>
      <c r="AB76" s="546"/>
      <c r="AC76" s="547"/>
      <c r="AD76" s="548"/>
      <c r="AE76" s="548"/>
      <c r="AF76" s="546"/>
      <c r="AG76" s="547"/>
      <c r="AH76" s="548"/>
      <c r="AI76" s="548"/>
      <c r="AJ76" s="546"/>
      <c r="AK76" s="547"/>
      <c r="AL76" s="548"/>
      <c r="AM76" s="548"/>
      <c r="AN76" s="548"/>
      <c r="AO76" s="546"/>
      <c r="AP76" s="547"/>
      <c r="AQ76" s="548"/>
      <c r="AR76" s="548"/>
      <c r="AS76" s="546"/>
      <c r="AT76" s="547"/>
      <c r="AU76" s="548"/>
      <c r="AV76" s="548"/>
      <c r="AW76" s="546"/>
      <c r="AX76" s="547"/>
      <c r="AY76" s="548"/>
      <c r="AZ76" s="548"/>
      <c r="BA76" s="548"/>
      <c r="BB76" s="546"/>
      <c r="BC76" s="547"/>
      <c r="BD76" s="548"/>
      <c r="BE76" s="548"/>
      <c r="BF76" s="546"/>
      <c r="BG76" s="547"/>
      <c r="BH76" s="548"/>
      <c r="BI76" s="548"/>
      <c r="BJ76" s="548"/>
      <c r="BK76" s="546"/>
      <c r="BL76" s="547"/>
      <c r="BM76" s="548"/>
      <c r="BN76" s="548"/>
      <c r="BO76" s="546"/>
      <c r="BP76" s="547"/>
      <c r="BQ76" s="548"/>
      <c r="BR76" s="548"/>
      <c r="BS76" s="546"/>
      <c r="BT76" s="547"/>
      <c r="BU76" s="548"/>
      <c r="BV76" s="548"/>
      <c r="BW76" s="548"/>
      <c r="BX76" s="546"/>
      <c r="BY76" s="547"/>
      <c r="BZ76" s="548"/>
      <c r="CA76" s="560"/>
      <c r="CB76" s="549"/>
    </row>
    <row r="77" spans="1:80" outlineLevel="2">
      <c r="A77" s="515">
        <v>67</v>
      </c>
      <c r="B77" s="556" t="s">
        <v>555</v>
      </c>
      <c r="C77" s="545"/>
      <c r="D77" s="557" t="str">
        <f>D75</f>
        <v/>
      </c>
      <c r="E77" s="545"/>
      <c r="F77" s="545" t="s">
        <v>532</v>
      </c>
      <c r="G77" s="589">
        <v>3.41</v>
      </c>
      <c r="H77" s="591">
        <f>H78+H79</f>
        <v>3.75</v>
      </c>
      <c r="I77" s="591">
        <f t="shared" si="14"/>
        <v>0</v>
      </c>
      <c r="J77" s="589">
        <f t="shared" si="10"/>
        <v>0</v>
      </c>
      <c r="K77" s="590" t="str">
        <f t="shared" si="9"/>
        <v>C</v>
      </c>
      <c r="L77" s="547"/>
      <c r="M77" s="548"/>
      <c r="N77" s="548"/>
      <c r="O77" s="546"/>
      <c r="P77" s="547"/>
      <c r="Q77" s="548"/>
      <c r="R77" s="548"/>
      <c r="S77" s="546"/>
      <c r="T77" s="547"/>
      <c r="U77" s="548"/>
      <c r="V77" s="548"/>
      <c r="W77" s="548"/>
      <c r="X77" s="546"/>
      <c r="Y77" s="547"/>
      <c r="Z77" s="548"/>
      <c r="AA77" s="548"/>
      <c r="AB77" s="546"/>
      <c r="AC77" s="547"/>
      <c r="AD77" s="548"/>
      <c r="AE77" s="548"/>
      <c r="AF77" s="546"/>
      <c r="AG77" s="547"/>
      <c r="AH77" s="548"/>
      <c r="AI77" s="548"/>
      <c r="AJ77" s="546"/>
      <c r="AK77" s="547"/>
      <c r="AL77" s="548"/>
      <c r="AM77" s="548"/>
      <c r="AN77" s="548"/>
      <c r="AO77" s="546"/>
      <c r="AP77" s="547"/>
      <c r="AQ77" s="548"/>
      <c r="AR77" s="548"/>
      <c r="AS77" s="546"/>
      <c r="AT77" s="547"/>
      <c r="AU77" s="548"/>
      <c r="AV77" s="548"/>
      <c r="AW77" s="546"/>
      <c r="AX77" s="547"/>
      <c r="AY77" s="548"/>
      <c r="AZ77" s="548"/>
      <c r="BA77" s="548"/>
      <c r="BB77" s="546"/>
      <c r="BC77" s="547"/>
      <c r="BD77" s="548"/>
      <c r="BE77" s="548"/>
      <c r="BF77" s="546"/>
      <c r="BG77" s="547"/>
      <c r="BH77" s="548"/>
      <c r="BI77" s="548"/>
      <c r="BJ77" s="548"/>
      <c r="BK77" s="546"/>
      <c r="BL77" s="547"/>
      <c r="BM77" s="548"/>
      <c r="BN77" s="548"/>
      <c r="BO77" s="546"/>
      <c r="BP77" s="547"/>
      <c r="BQ77" s="548"/>
      <c r="BR77" s="548"/>
      <c r="BS77" s="546"/>
      <c r="BT77" s="547"/>
      <c r="BU77" s="548"/>
      <c r="BV77" s="548"/>
      <c r="BW77" s="548"/>
      <c r="BX77" s="546"/>
      <c r="BY77" s="547"/>
      <c r="BZ77" s="548"/>
      <c r="CA77" s="560"/>
      <c r="CB77" s="549"/>
    </row>
    <row r="78" spans="1:80" outlineLevel="2">
      <c r="A78" s="515">
        <v>68</v>
      </c>
      <c r="B78" s="556" t="s">
        <v>556</v>
      </c>
      <c r="C78" s="545"/>
      <c r="D78" s="557" t="str">
        <f>D76</f>
        <v/>
      </c>
      <c r="E78" s="545"/>
      <c r="F78" s="545" t="s">
        <v>532</v>
      </c>
      <c r="G78" s="589">
        <v>2.27</v>
      </c>
      <c r="H78" s="591">
        <v>2.5</v>
      </c>
      <c r="I78" s="591">
        <f t="shared" si="14"/>
        <v>0</v>
      </c>
      <c r="J78" s="589">
        <f t="shared" si="10"/>
        <v>0</v>
      </c>
      <c r="K78" s="590" t="str">
        <f t="shared" si="9"/>
        <v>C</v>
      </c>
      <c r="L78" s="547"/>
      <c r="M78" s="548"/>
      <c r="N78" s="548"/>
      <c r="O78" s="546"/>
      <c r="P78" s="547"/>
      <c r="Q78" s="548"/>
      <c r="R78" s="548"/>
      <c r="S78" s="546"/>
      <c r="T78" s="547"/>
      <c r="U78" s="548"/>
      <c r="V78" s="548"/>
      <c r="W78" s="548"/>
      <c r="X78" s="546"/>
      <c r="Y78" s="547"/>
      <c r="Z78" s="548"/>
      <c r="AA78" s="548"/>
      <c r="AB78" s="546"/>
      <c r="AC78" s="547"/>
      <c r="AD78" s="548"/>
      <c r="AE78" s="548"/>
      <c r="AF78" s="546"/>
      <c r="AG78" s="547"/>
      <c r="AH78" s="548"/>
      <c r="AI78" s="548"/>
      <c r="AJ78" s="546"/>
      <c r="AK78" s="547"/>
      <c r="AL78" s="548"/>
      <c r="AM78" s="548"/>
      <c r="AN78" s="548"/>
      <c r="AO78" s="546"/>
      <c r="AP78" s="547"/>
      <c r="AQ78" s="548"/>
      <c r="AR78" s="548"/>
      <c r="AS78" s="546"/>
      <c r="AT78" s="547"/>
      <c r="AU78" s="548"/>
      <c r="AV78" s="548"/>
      <c r="AW78" s="546"/>
      <c r="AX78" s="547"/>
      <c r="AY78" s="548"/>
      <c r="AZ78" s="548"/>
      <c r="BA78" s="548"/>
      <c r="BB78" s="546"/>
      <c r="BC78" s="547"/>
      <c r="BD78" s="548"/>
      <c r="BE78" s="548"/>
      <c r="BF78" s="546"/>
      <c r="BG78" s="547"/>
      <c r="BH78" s="548"/>
      <c r="BI78" s="548"/>
      <c r="BJ78" s="548"/>
      <c r="BK78" s="546"/>
      <c r="BL78" s="547"/>
      <c r="BM78" s="548"/>
      <c r="BN78" s="548"/>
      <c r="BO78" s="546"/>
      <c r="BP78" s="547"/>
      <c r="BQ78" s="548"/>
      <c r="BR78" s="548"/>
      <c r="BS78" s="546"/>
      <c r="BT78" s="547"/>
      <c r="BU78" s="548"/>
      <c r="BV78" s="548"/>
      <c r="BW78" s="548"/>
      <c r="BX78" s="546"/>
      <c r="BY78" s="547"/>
      <c r="BZ78" s="548"/>
      <c r="CA78" s="560"/>
      <c r="CB78" s="549"/>
    </row>
    <row r="79" spans="1:80" outlineLevel="2">
      <c r="A79" s="515">
        <v>69</v>
      </c>
      <c r="B79" s="556" t="s">
        <v>557</v>
      </c>
      <c r="C79" s="545"/>
      <c r="D79" s="557" t="str">
        <f>D78</f>
        <v/>
      </c>
      <c r="E79" s="545"/>
      <c r="F79" s="545" t="s">
        <v>532</v>
      </c>
      <c r="G79" s="589">
        <v>1.06</v>
      </c>
      <c r="H79" s="591">
        <v>1.25</v>
      </c>
      <c r="I79" s="591">
        <f t="shared" si="14"/>
        <v>0</v>
      </c>
      <c r="J79" s="589">
        <f t="shared" si="10"/>
        <v>0</v>
      </c>
      <c r="K79" s="590" t="str">
        <f t="shared" si="9"/>
        <v>C</v>
      </c>
      <c r="L79" s="547"/>
      <c r="M79" s="548"/>
      <c r="N79" s="548"/>
      <c r="O79" s="546"/>
      <c r="P79" s="547"/>
      <c r="Q79" s="548"/>
      <c r="R79" s="548"/>
      <c r="S79" s="546"/>
      <c r="T79" s="547"/>
      <c r="U79" s="548"/>
      <c r="V79" s="548"/>
      <c r="W79" s="548"/>
      <c r="X79" s="546"/>
      <c r="Y79" s="547"/>
      <c r="Z79" s="548"/>
      <c r="AA79" s="548"/>
      <c r="AB79" s="546"/>
      <c r="AC79" s="547"/>
      <c r="AD79" s="548"/>
      <c r="AE79" s="548"/>
      <c r="AF79" s="546"/>
      <c r="AG79" s="547"/>
      <c r="AH79" s="548"/>
      <c r="AI79" s="548"/>
      <c r="AJ79" s="546"/>
      <c r="AK79" s="547"/>
      <c r="AL79" s="548"/>
      <c r="AM79" s="548"/>
      <c r="AN79" s="548"/>
      <c r="AO79" s="546"/>
      <c r="AP79" s="547"/>
      <c r="AQ79" s="548"/>
      <c r="AR79" s="548"/>
      <c r="AS79" s="546"/>
      <c r="AT79" s="547"/>
      <c r="AU79" s="548"/>
      <c r="AV79" s="548"/>
      <c r="AW79" s="546"/>
      <c r="AX79" s="547"/>
      <c r="AY79" s="548"/>
      <c r="AZ79" s="548"/>
      <c r="BA79" s="548"/>
      <c r="BB79" s="546"/>
      <c r="BC79" s="547"/>
      <c r="BD79" s="548"/>
      <c r="BE79" s="548"/>
      <c r="BF79" s="546"/>
      <c r="BG79" s="547"/>
      <c r="BH79" s="548"/>
      <c r="BI79" s="548"/>
      <c r="BJ79" s="548"/>
      <c r="BK79" s="546"/>
      <c r="BL79" s="547"/>
      <c r="BM79" s="548"/>
      <c r="BN79" s="548"/>
      <c r="BO79" s="546"/>
      <c r="BP79" s="547"/>
      <c r="BQ79" s="548"/>
      <c r="BR79" s="548"/>
      <c r="BS79" s="546"/>
      <c r="BT79" s="547"/>
      <c r="BU79" s="548"/>
      <c r="BV79" s="548"/>
      <c r="BW79" s="548"/>
      <c r="BX79" s="546"/>
      <c r="BY79" s="547"/>
      <c r="BZ79" s="548"/>
      <c r="CA79" s="560"/>
      <c r="CB79" s="549"/>
    </row>
    <row r="80" spans="1:80" outlineLevel="2">
      <c r="A80" s="515">
        <v>70</v>
      </c>
      <c r="B80" s="556" t="s">
        <v>6</v>
      </c>
      <c r="C80" s="545"/>
      <c r="D80" s="557" t="str">
        <f>D79</f>
        <v/>
      </c>
      <c r="E80" s="545"/>
      <c r="F80" s="545" t="s">
        <v>532</v>
      </c>
      <c r="G80" s="589">
        <v>0.82</v>
      </c>
      <c r="H80" s="591">
        <v>1.1200000000000001</v>
      </c>
      <c r="I80" s="591">
        <f t="shared" si="14"/>
        <v>0</v>
      </c>
      <c r="J80" s="589">
        <f t="shared" si="10"/>
        <v>0</v>
      </c>
      <c r="K80" s="590" t="str">
        <f t="shared" si="9"/>
        <v>C</v>
      </c>
      <c r="L80" s="547"/>
      <c r="M80" s="548"/>
      <c r="N80" s="548"/>
      <c r="O80" s="546"/>
      <c r="P80" s="547"/>
      <c r="Q80" s="548"/>
      <c r="R80" s="548"/>
      <c r="S80" s="546"/>
      <c r="T80" s="547"/>
      <c r="U80" s="548"/>
      <c r="V80" s="548"/>
      <c r="W80" s="548"/>
      <c r="X80" s="546"/>
      <c r="Y80" s="547"/>
      <c r="Z80" s="548"/>
      <c r="AA80" s="548"/>
      <c r="AB80" s="546"/>
      <c r="AC80" s="547"/>
      <c r="AD80" s="548"/>
      <c r="AE80" s="548"/>
      <c r="AF80" s="546"/>
      <c r="AG80" s="547"/>
      <c r="AH80" s="548"/>
      <c r="AI80" s="548"/>
      <c r="AJ80" s="546"/>
      <c r="AK80" s="547"/>
      <c r="AL80" s="548"/>
      <c r="AM80" s="548"/>
      <c r="AN80" s="548"/>
      <c r="AO80" s="546"/>
      <c r="AP80" s="547"/>
      <c r="AQ80" s="548"/>
      <c r="AR80" s="548"/>
      <c r="AS80" s="546"/>
      <c r="AT80" s="547"/>
      <c r="AU80" s="548"/>
      <c r="AV80" s="548"/>
      <c r="AW80" s="546"/>
      <c r="AX80" s="547"/>
      <c r="AY80" s="548"/>
      <c r="AZ80" s="548"/>
      <c r="BA80" s="548"/>
      <c r="BB80" s="546"/>
      <c r="BC80" s="547"/>
      <c r="BD80" s="548"/>
      <c r="BE80" s="548"/>
      <c r="BF80" s="546"/>
      <c r="BG80" s="547"/>
      <c r="BH80" s="548"/>
      <c r="BI80" s="548"/>
      <c r="BJ80" s="548"/>
      <c r="BK80" s="546"/>
      <c r="BL80" s="547"/>
      <c r="BM80" s="548"/>
      <c r="BN80" s="548"/>
      <c r="BO80" s="546"/>
      <c r="BP80" s="547"/>
      <c r="BQ80" s="548"/>
      <c r="BR80" s="548"/>
      <c r="BS80" s="546"/>
      <c r="BT80" s="547"/>
      <c r="BU80" s="548"/>
      <c r="BV80" s="548"/>
      <c r="BW80" s="548"/>
      <c r="BX80" s="546"/>
      <c r="BY80" s="547"/>
      <c r="BZ80" s="548"/>
      <c r="CA80" s="560"/>
      <c r="CB80" s="549"/>
    </row>
    <row r="81" spans="1:80" outlineLevel="2">
      <c r="A81" s="515">
        <v>71</v>
      </c>
      <c r="B81" s="556" t="s">
        <v>8</v>
      </c>
      <c r="C81" s="545"/>
      <c r="D81" s="557" t="str">
        <f>D79</f>
        <v/>
      </c>
      <c r="E81" s="545"/>
      <c r="F81" s="545" t="s">
        <v>532</v>
      </c>
      <c r="G81" s="589">
        <v>0.36</v>
      </c>
      <c r="H81" s="591">
        <f>H82+H83</f>
        <v>0.60000000000000009</v>
      </c>
      <c r="I81" s="591">
        <f t="shared" si="14"/>
        <v>0</v>
      </c>
      <c r="J81" s="589">
        <f t="shared" si="10"/>
        <v>0</v>
      </c>
      <c r="K81" s="590" t="str">
        <f t="shared" si="9"/>
        <v>C</v>
      </c>
      <c r="L81" s="547"/>
      <c r="M81" s="548"/>
      <c r="N81" s="548"/>
      <c r="O81" s="546"/>
      <c r="P81" s="547"/>
      <c r="Q81" s="548"/>
      <c r="R81" s="548"/>
      <c r="S81" s="546"/>
      <c r="T81" s="547"/>
      <c r="U81" s="548"/>
      <c r="V81" s="548"/>
      <c r="W81" s="548"/>
      <c r="X81" s="546"/>
      <c r="Y81" s="547"/>
      <c r="Z81" s="548"/>
      <c r="AA81" s="548"/>
      <c r="AB81" s="546"/>
      <c r="AC81" s="547"/>
      <c r="AD81" s="548"/>
      <c r="AE81" s="548"/>
      <c r="AF81" s="546"/>
      <c r="AG81" s="547"/>
      <c r="AH81" s="548"/>
      <c r="AI81" s="548"/>
      <c r="AJ81" s="546"/>
      <c r="AK81" s="547"/>
      <c r="AL81" s="548"/>
      <c r="AM81" s="548"/>
      <c r="AN81" s="548"/>
      <c r="AO81" s="546"/>
      <c r="AP81" s="547"/>
      <c r="AQ81" s="548"/>
      <c r="AR81" s="548"/>
      <c r="AS81" s="546"/>
      <c r="AT81" s="547"/>
      <c r="AU81" s="548"/>
      <c r="AV81" s="548"/>
      <c r="AW81" s="546"/>
      <c r="AX81" s="547"/>
      <c r="AY81" s="548"/>
      <c r="AZ81" s="548"/>
      <c r="BA81" s="548"/>
      <c r="BB81" s="546"/>
      <c r="BC81" s="547"/>
      <c r="BD81" s="548"/>
      <c r="BE81" s="548"/>
      <c r="BF81" s="546"/>
      <c r="BG81" s="547"/>
      <c r="BH81" s="548"/>
      <c r="BI81" s="548"/>
      <c r="BJ81" s="548"/>
      <c r="BK81" s="546"/>
      <c r="BL81" s="547"/>
      <c r="BM81" s="548"/>
      <c r="BN81" s="548"/>
      <c r="BO81" s="546"/>
      <c r="BP81" s="547"/>
      <c r="BQ81" s="548"/>
      <c r="BR81" s="548"/>
      <c r="BS81" s="546"/>
      <c r="BT81" s="547"/>
      <c r="BU81" s="548"/>
      <c r="BV81" s="548"/>
      <c r="BW81" s="548"/>
      <c r="BX81" s="546"/>
      <c r="BY81" s="547"/>
      <c r="BZ81" s="548"/>
      <c r="CA81" s="560"/>
      <c r="CB81" s="549"/>
    </row>
    <row r="82" spans="1:80" outlineLevel="2">
      <c r="A82" s="515">
        <v>72</v>
      </c>
      <c r="B82" s="556" t="s">
        <v>9</v>
      </c>
      <c r="C82" s="545"/>
      <c r="D82" s="557" t="str">
        <f>D80</f>
        <v/>
      </c>
      <c r="E82" s="545"/>
      <c r="F82" s="545" t="s">
        <v>532</v>
      </c>
      <c r="G82" s="589">
        <v>0.28999999999999998</v>
      </c>
      <c r="H82" s="591">
        <v>0.4</v>
      </c>
      <c r="I82" s="591">
        <f t="shared" si="14"/>
        <v>0</v>
      </c>
      <c r="J82" s="589">
        <f t="shared" si="10"/>
        <v>0</v>
      </c>
      <c r="K82" s="590" t="str">
        <f t="shared" si="9"/>
        <v>C</v>
      </c>
      <c r="L82" s="547"/>
      <c r="M82" s="548"/>
      <c r="N82" s="548"/>
      <c r="O82" s="546"/>
      <c r="P82" s="547"/>
      <c r="Q82" s="548"/>
      <c r="R82" s="548"/>
      <c r="S82" s="546"/>
      <c r="T82" s="547"/>
      <c r="U82" s="548"/>
      <c r="V82" s="548"/>
      <c r="W82" s="548"/>
      <c r="X82" s="546"/>
      <c r="Y82" s="547"/>
      <c r="Z82" s="548"/>
      <c r="AA82" s="548"/>
      <c r="AB82" s="546"/>
      <c r="AC82" s="547"/>
      <c r="AD82" s="548"/>
      <c r="AE82" s="548"/>
      <c r="AF82" s="546"/>
      <c r="AG82" s="547"/>
      <c r="AH82" s="548"/>
      <c r="AI82" s="548"/>
      <c r="AJ82" s="546"/>
      <c r="AK82" s="547"/>
      <c r="AL82" s="548"/>
      <c r="AM82" s="548"/>
      <c r="AN82" s="548"/>
      <c r="AO82" s="546"/>
      <c r="AP82" s="547"/>
      <c r="AQ82" s="548"/>
      <c r="AR82" s="548"/>
      <c r="AS82" s="546"/>
      <c r="AT82" s="547"/>
      <c r="AU82" s="548"/>
      <c r="AV82" s="548"/>
      <c r="AW82" s="546"/>
      <c r="AX82" s="547"/>
      <c r="AY82" s="548"/>
      <c r="AZ82" s="548"/>
      <c r="BA82" s="548"/>
      <c r="BB82" s="546"/>
      <c r="BC82" s="547"/>
      <c r="BD82" s="548"/>
      <c r="BE82" s="548"/>
      <c r="BF82" s="546"/>
      <c r="BG82" s="547"/>
      <c r="BH82" s="548"/>
      <c r="BI82" s="548"/>
      <c r="BJ82" s="548"/>
      <c r="BK82" s="546"/>
      <c r="BL82" s="547"/>
      <c r="BM82" s="548"/>
      <c r="BN82" s="548"/>
      <c r="BO82" s="546"/>
      <c r="BP82" s="547"/>
      <c r="BQ82" s="548"/>
      <c r="BR82" s="548"/>
      <c r="BS82" s="546"/>
      <c r="BT82" s="547"/>
      <c r="BU82" s="548"/>
      <c r="BV82" s="548"/>
      <c r="BW82" s="548"/>
      <c r="BX82" s="546"/>
      <c r="BY82" s="547"/>
      <c r="BZ82" s="548"/>
      <c r="CA82" s="560"/>
      <c r="CB82" s="549"/>
    </row>
    <row r="83" spans="1:80" outlineLevel="2">
      <c r="A83" s="515">
        <v>73</v>
      </c>
      <c r="B83" s="556" t="s">
        <v>10</v>
      </c>
      <c r="C83" s="545"/>
      <c r="D83" s="557" t="str">
        <f t="shared" ref="D83:D91" si="15">D82</f>
        <v/>
      </c>
      <c r="E83" s="545"/>
      <c r="F83" s="545" t="s">
        <v>532</v>
      </c>
      <c r="G83" s="589">
        <v>0.12</v>
      </c>
      <c r="H83" s="591">
        <v>0.2</v>
      </c>
      <c r="I83" s="591">
        <f t="shared" si="14"/>
        <v>0</v>
      </c>
      <c r="J83" s="589">
        <f t="shared" si="10"/>
        <v>0</v>
      </c>
      <c r="K83" s="590" t="str">
        <f t="shared" si="9"/>
        <v>C</v>
      </c>
      <c r="L83" s="547"/>
      <c r="M83" s="548"/>
      <c r="N83" s="548"/>
      <c r="O83" s="546"/>
      <c r="P83" s="547"/>
      <c r="Q83" s="548"/>
      <c r="R83" s="548"/>
      <c r="S83" s="546"/>
      <c r="T83" s="547"/>
      <c r="U83" s="548"/>
      <c r="V83" s="548"/>
      <c r="W83" s="548"/>
      <c r="X83" s="546"/>
      <c r="Y83" s="547"/>
      <c r="Z83" s="548"/>
      <c r="AA83" s="548"/>
      <c r="AB83" s="546"/>
      <c r="AC83" s="547"/>
      <c r="AD83" s="548"/>
      <c r="AE83" s="548"/>
      <c r="AF83" s="546"/>
      <c r="AG83" s="547"/>
      <c r="AH83" s="548"/>
      <c r="AI83" s="548"/>
      <c r="AJ83" s="546"/>
      <c r="AK83" s="547"/>
      <c r="AL83" s="548"/>
      <c r="AM83" s="548"/>
      <c r="AN83" s="548"/>
      <c r="AO83" s="546"/>
      <c r="AP83" s="547"/>
      <c r="AQ83" s="548"/>
      <c r="AR83" s="548"/>
      <c r="AS83" s="546"/>
      <c r="AT83" s="547"/>
      <c r="AU83" s="548"/>
      <c r="AV83" s="548"/>
      <c r="AW83" s="546"/>
      <c r="AX83" s="547"/>
      <c r="AY83" s="548"/>
      <c r="AZ83" s="548"/>
      <c r="BA83" s="548"/>
      <c r="BB83" s="546"/>
      <c r="BC83" s="547"/>
      <c r="BD83" s="548"/>
      <c r="BE83" s="548"/>
      <c r="BF83" s="546"/>
      <c r="BG83" s="547"/>
      <c r="BH83" s="548"/>
      <c r="BI83" s="548"/>
      <c r="BJ83" s="548"/>
      <c r="BK83" s="546"/>
      <c r="BL83" s="547"/>
      <c r="BM83" s="548"/>
      <c r="BN83" s="548"/>
      <c r="BO83" s="546"/>
      <c r="BP83" s="547"/>
      <c r="BQ83" s="548"/>
      <c r="BR83" s="548"/>
      <c r="BS83" s="546"/>
      <c r="BT83" s="547"/>
      <c r="BU83" s="548"/>
      <c r="BV83" s="548"/>
      <c r="BW83" s="548"/>
      <c r="BX83" s="546"/>
      <c r="BY83" s="547"/>
      <c r="BZ83" s="548"/>
      <c r="CA83" s="560"/>
      <c r="CB83" s="549"/>
    </row>
    <row r="84" spans="1:80" outlineLevel="2">
      <c r="A84" s="515">
        <v>74</v>
      </c>
      <c r="B84" s="556" t="s">
        <v>558</v>
      </c>
      <c r="C84" s="545"/>
      <c r="D84" s="557" t="str">
        <f t="shared" si="15"/>
        <v/>
      </c>
      <c r="E84" s="545"/>
      <c r="F84" s="545" t="s">
        <v>532</v>
      </c>
      <c r="G84" s="589">
        <v>0.37</v>
      </c>
      <c r="H84" s="591"/>
      <c r="I84" s="591"/>
      <c r="J84" s="589">
        <f t="shared" si="10"/>
        <v>0</v>
      </c>
      <c r="K84" s="590" t="str">
        <f t="shared" si="9"/>
        <v>C</v>
      </c>
      <c r="L84" s="547"/>
      <c r="M84" s="548"/>
      <c r="N84" s="548"/>
      <c r="O84" s="546"/>
      <c r="P84" s="547"/>
      <c r="Q84" s="548"/>
      <c r="R84" s="548"/>
      <c r="S84" s="546"/>
      <c r="T84" s="547"/>
      <c r="U84" s="548"/>
      <c r="V84" s="548"/>
      <c r="W84" s="548"/>
      <c r="X84" s="546"/>
      <c r="Y84" s="547"/>
      <c r="Z84" s="548"/>
      <c r="AA84" s="548"/>
      <c r="AB84" s="546"/>
      <c r="AC84" s="547"/>
      <c r="AD84" s="548"/>
      <c r="AE84" s="548"/>
      <c r="AF84" s="546"/>
      <c r="AG84" s="547"/>
      <c r="AH84" s="548"/>
      <c r="AI84" s="548"/>
      <c r="AJ84" s="546"/>
      <c r="AK84" s="547"/>
      <c r="AL84" s="548"/>
      <c r="AM84" s="548"/>
      <c r="AN84" s="548"/>
      <c r="AO84" s="546"/>
      <c r="AP84" s="547"/>
      <c r="AQ84" s="548"/>
      <c r="AR84" s="548"/>
      <c r="AS84" s="546"/>
      <c r="AT84" s="547"/>
      <c r="AU84" s="548"/>
      <c r="AV84" s="548"/>
      <c r="AW84" s="546"/>
      <c r="AX84" s="547"/>
      <c r="AY84" s="548"/>
      <c r="AZ84" s="548"/>
      <c r="BA84" s="548"/>
      <c r="BB84" s="546"/>
      <c r="BC84" s="547"/>
      <c r="BD84" s="548"/>
      <c r="BE84" s="548"/>
      <c r="BF84" s="546"/>
      <c r="BG84" s="547"/>
      <c r="BH84" s="548"/>
      <c r="BI84" s="548"/>
      <c r="BJ84" s="548"/>
      <c r="BK84" s="546"/>
      <c r="BL84" s="547"/>
      <c r="BM84" s="548"/>
      <c r="BN84" s="548"/>
      <c r="BO84" s="546"/>
      <c r="BP84" s="547"/>
      <c r="BQ84" s="548"/>
      <c r="BR84" s="548"/>
      <c r="BS84" s="546"/>
      <c r="BT84" s="547"/>
      <c r="BU84" s="548"/>
      <c r="BV84" s="548"/>
      <c r="BW84" s="548"/>
      <c r="BX84" s="546"/>
      <c r="BY84" s="547"/>
      <c r="BZ84" s="548"/>
      <c r="CA84" s="560"/>
      <c r="CB84" s="549"/>
    </row>
    <row r="85" spans="1:80" outlineLevel="2">
      <c r="A85" s="515">
        <v>75</v>
      </c>
      <c r="B85" s="556" t="s">
        <v>559</v>
      </c>
      <c r="C85" s="545"/>
      <c r="D85" s="557" t="str">
        <f t="shared" si="15"/>
        <v/>
      </c>
      <c r="E85" s="545"/>
      <c r="F85" s="545" t="s">
        <v>532</v>
      </c>
      <c r="G85" s="589">
        <v>0.6</v>
      </c>
      <c r="H85" s="591"/>
      <c r="I85" s="591"/>
      <c r="J85" s="589">
        <f t="shared" si="10"/>
        <v>0</v>
      </c>
      <c r="K85" s="590" t="str">
        <f t="shared" si="9"/>
        <v>C</v>
      </c>
      <c r="L85" s="547"/>
      <c r="M85" s="548"/>
      <c r="N85" s="548"/>
      <c r="O85" s="546"/>
      <c r="P85" s="547"/>
      <c r="Q85" s="548"/>
      <c r="R85" s="548"/>
      <c r="S85" s="546"/>
      <c r="T85" s="547"/>
      <c r="U85" s="548"/>
      <c r="V85" s="548"/>
      <c r="W85" s="548"/>
      <c r="X85" s="546"/>
      <c r="Y85" s="547"/>
      <c r="Z85" s="548"/>
      <c r="AA85" s="548"/>
      <c r="AB85" s="546"/>
      <c r="AC85" s="547"/>
      <c r="AD85" s="548"/>
      <c r="AE85" s="548"/>
      <c r="AF85" s="546"/>
      <c r="AG85" s="547"/>
      <c r="AH85" s="548"/>
      <c r="AI85" s="548"/>
      <c r="AJ85" s="546"/>
      <c r="AK85" s="547"/>
      <c r="AL85" s="548"/>
      <c r="AM85" s="548"/>
      <c r="AN85" s="548"/>
      <c r="AO85" s="546"/>
      <c r="AP85" s="547"/>
      <c r="AQ85" s="548"/>
      <c r="AR85" s="548"/>
      <c r="AS85" s="546"/>
      <c r="AT85" s="547"/>
      <c r="AU85" s="548"/>
      <c r="AV85" s="548"/>
      <c r="AW85" s="546"/>
      <c r="AX85" s="547"/>
      <c r="AY85" s="548"/>
      <c r="AZ85" s="548"/>
      <c r="BA85" s="548"/>
      <c r="BB85" s="546"/>
      <c r="BC85" s="547"/>
      <c r="BD85" s="548"/>
      <c r="BE85" s="548"/>
      <c r="BF85" s="546"/>
      <c r="BG85" s="547"/>
      <c r="BH85" s="548"/>
      <c r="BI85" s="548"/>
      <c r="BJ85" s="548"/>
      <c r="BK85" s="546"/>
      <c r="BL85" s="547"/>
      <c r="BM85" s="548"/>
      <c r="BN85" s="548"/>
      <c r="BO85" s="546"/>
      <c r="BP85" s="547"/>
      <c r="BQ85" s="548"/>
      <c r="BR85" s="548"/>
      <c r="BS85" s="546"/>
      <c r="BT85" s="547"/>
      <c r="BU85" s="548"/>
      <c r="BV85" s="548"/>
      <c r="BW85" s="548"/>
      <c r="BX85" s="546"/>
      <c r="BY85" s="547"/>
      <c r="BZ85" s="548"/>
      <c r="CA85" s="560"/>
      <c r="CB85" s="549"/>
    </row>
    <row r="86" spans="1:80" outlineLevel="2">
      <c r="A86" s="515">
        <v>76</v>
      </c>
      <c r="B86" s="556" t="s">
        <v>560</v>
      </c>
      <c r="C86" s="545"/>
      <c r="D86" s="557" t="str">
        <f t="shared" si="15"/>
        <v/>
      </c>
      <c r="E86" s="545"/>
      <c r="F86" s="545" t="s">
        <v>532</v>
      </c>
      <c r="G86" s="589">
        <v>0.62</v>
      </c>
      <c r="H86" s="591"/>
      <c r="I86" s="591"/>
      <c r="J86" s="589">
        <f t="shared" si="10"/>
        <v>0</v>
      </c>
      <c r="K86" s="590" t="str">
        <f t="shared" si="9"/>
        <v>C</v>
      </c>
      <c r="L86" s="547"/>
      <c r="M86" s="548"/>
      <c r="N86" s="548"/>
      <c r="O86" s="546"/>
      <c r="P86" s="547"/>
      <c r="Q86" s="548"/>
      <c r="R86" s="548"/>
      <c r="S86" s="546"/>
      <c r="T86" s="547"/>
      <c r="U86" s="548"/>
      <c r="V86" s="548"/>
      <c r="W86" s="548"/>
      <c r="X86" s="546"/>
      <c r="Y86" s="547"/>
      <c r="Z86" s="548"/>
      <c r="AA86" s="548"/>
      <c r="AB86" s="546"/>
      <c r="AC86" s="547"/>
      <c r="AD86" s="548"/>
      <c r="AE86" s="548"/>
      <c r="AF86" s="546"/>
      <c r="AG86" s="547"/>
      <c r="AH86" s="548"/>
      <c r="AI86" s="548"/>
      <c r="AJ86" s="546"/>
      <c r="AK86" s="547"/>
      <c r="AL86" s="548"/>
      <c r="AM86" s="548"/>
      <c r="AN86" s="548"/>
      <c r="AO86" s="546"/>
      <c r="AP86" s="547"/>
      <c r="AQ86" s="548"/>
      <c r="AR86" s="548"/>
      <c r="AS86" s="546"/>
      <c r="AT86" s="547"/>
      <c r="AU86" s="548"/>
      <c r="AV86" s="548"/>
      <c r="AW86" s="546"/>
      <c r="AX86" s="547"/>
      <c r="AY86" s="548"/>
      <c r="AZ86" s="548"/>
      <c r="BA86" s="548"/>
      <c r="BB86" s="546"/>
      <c r="BC86" s="547"/>
      <c r="BD86" s="548"/>
      <c r="BE86" s="548"/>
      <c r="BF86" s="546"/>
      <c r="BG86" s="547"/>
      <c r="BH86" s="548"/>
      <c r="BI86" s="548"/>
      <c r="BJ86" s="548"/>
      <c r="BK86" s="546"/>
      <c r="BL86" s="547"/>
      <c r="BM86" s="548"/>
      <c r="BN86" s="548"/>
      <c r="BO86" s="546"/>
      <c r="BP86" s="547"/>
      <c r="BQ86" s="548"/>
      <c r="BR86" s="548"/>
      <c r="BS86" s="546"/>
      <c r="BT86" s="547"/>
      <c r="BU86" s="548"/>
      <c r="BV86" s="548"/>
      <c r="BW86" s="548"/>
      <c r="BX86" s="546"/>
      <c r="BY86" s="547"/>
      <c r="BZ86" s="548"/>
      <c r="CA86" s="560"/>
      <c r="CB86" s="549"/>
    </row>
    <row r="87" spans="1:80" outlineLevel="2">
      <c r="A87" s="515">
        <v>77</v>
      </c>
      <c r="B87" s="556" t="s">
        <v>561</v>
      </c>
      <c r="C87" s="545"/>
      <c r="D87" s="557" t="str">
        <f t="shared" si="15"/>
        <v/>
      </c>
      <c r="E87" s="545"/>
      <c r="F87" s="545" t="s">
        <v>532</v>
      </c>
      <c r="G87" s="589">
        <v>0.37</v>
      </c>
      <c r="H87" s="591"/>
      <c r="I87" s="591"/>
      <c r="J87" s="589">
        <f t="shared" si="10"/>
        <v>0</v>
      </c>
      <c r="K87" s="590" t="str">
        <f t="shared" si="9"/>
        <v>C</v>
      </c>
      <c r="L87" s="547"/>
      <c r="M87" s="548"/>
      <c r="N87" s="548"/>
      <c r="O87" s="546"/>
      <c r="P87" s="547"/>
      <c r="Q87" s="548"/>
      <c r="R87" s="548"/>
      <c r="S87" s="546"/>
      <c r="T87" s="547"/>
      <c r="U87" s="548"/>
      <c r="V87" s="548"/>
      <c r="W87" s="548"/>
      <c r="X87" s="546"/>
      <c r="Y87" s="547"/>
      <c r="Z87" s="548"/>
      <c r="AA87" s="548"/>
      <c r="AB87" s="546"/>
      <c r="AC87" s="547"/>
      <c r="AD87" s="548"/>
      <c r="AE87" s="548"/>
      <c r="AF87" s="546"/>
      <c r="AG87" s="547"/>
      <c r="AH87" s="548"/>
      <c r="AI87" s="548"/>
      <c r="AJ87" s="546"/>
      <c r="AK87" s="547"/>
      <c r="AL87" s="548"/>
      <c r="AM87" s="548"/>
      <c r="AN87" s="548"/>
      <c r="AO87" s="546"/>
      <c r="AP87" s="547"/>
      <c r="AQ87" s="548"/>
      <c r="AR87" s="548"/>
      <c r="AS87" s="546"/>
      <c r="AT87" s="547"/>
      <c r="AU87" s="548"/>
      <c r="AV87" s="548"/>
      <c r="AW87" s="546"/>
      <c r="AX87" s="547"/>
      <c r="AY87" s="548"/>
      <c r="AZ87" s="548"/>
      <c r="BA87" s="548"/>
      <c r="BB87" s="546"/>
      <c r="BC87" s="547"/>
      <c r="BD87" s="548"/>
      <c r="BE87" s="548"/>
      <c r="BF87" s="546"/>
      <c r="BG87" s="547"/>
      <c r="BH87" s="548"/>
      <c r="BI87" s="548"/>
      <c r="BJ87" s="548"/>
      <c r="BK87" s="546"/>
      <c r="BL87" s="547"/>
      <c r="BM87" s="548"/>
      <c r="BN87" s="548"/>
      <c r="BO87" s="546"/>
      <c r="BP87" s="547"/>
      <c r="BQ87" s="548"/>
      <c r="BR87" s="548"/>
      <c r="BS87" s="546"/>
      <c r="BT87" s="547"/>
      <c r="BU87" s="548"/>
      <c r="BV87" s="548"/>
      <c r="BW87" s="548"/>
      <c r="BX87" s="546"/>
      <c r="BY87" s="547"/>
      <c r="BZ87" s="548"/>
      <c r="CA87" s="560"/>
      <c r="CB87" s="549"/>
    </row>
    <row r="88" spans="1:80" outlineLevel="2">
      <c r="A88" s="515">
        <v>78</v>
      </c>
      <c r="B88" s="556" t="s">
        <v>562</v>
      </c>
      <c r="C88" s="545"/>
      <c r="D88" s="557" t="str">
        <f t="shared" si="15"/>
        <v/>
      </c>
      <c r="E88" s="545"/>
      <c r="F88" s="545" t="s">
        <v>532</v>
      </c>
      <c r="G88" s="589">
        <v>0.5</v>
      </c>
      <c r="H88" s="591"/>
      <c r="I88" s="591"/>
      <c r="J88" s="589">
        <f t="shared" si="10"/>
        <v>0</v>
      </c>
      <c r="K88" s="590" t="str">
        <f t="shared" si="9"/>
        <v>C</v>
      </c>
      <c r="L88" s="547"/>
      <c r="M88" s="548"/>
      <c r="N88" s="548"/>
      <c r="O88" s="546"/>
      <c r="P88" s="547"/>
      <c r="Q88" s="548"/>
      <c r="R88" s="548"/>
      <c r="S88" s="546"/>
      <c r="T88" s="547"/>
      <c r="U88" s="548"/>
      <c r="V88" s="548"/>
      <c r="W88" s="548"/>
      <c r="X88" s="546"/>
      <c r="Y88" s="547"/>
      <c r="Z88" s="548"/>
      <c r="AA88" s="548"/>
      <c r="AB88" s="546"/>
      <c r="AC88" s="547"/>
      <c r="AD88" s="548"/>
      <c r="AE88" s="548"/>
      <c r="AF88" s="546"/>
      <c r="AG88" s="547"/>
      <c r="AH88" s="548"/>
      <c r="AI88" s="548"/>
      <c r="AJ88" s="546"/>
      <c r="AK88" s="547"/>
      <c r="AL88" s="548"/>
      <c r="AM88" s="548"/>
      <c r="AN88" s="548"/>
      <c r="AO88" s="546"/>
      <c r="AP88" s="547"/>
      <c r="AQ88" s="548"/>
      <c r="AR88" s="548"/>
      <c r="AS88" s="546"/>
      <c r="AT88" s="547"/>
      <c r="AU88" s="548"/>
      <c r="AV88" s="548"/>
      <c r="AW88" s="546"/>
      <c r="AX88" s="547"/>
      <c r="AY88" s="548"/>
      <c r="AZ88" s="548"/>
      <c r="BA88" s="548"/>
      <c r="BB88" s="546"/>
      <c r="BC88" s="547"/>
      <c r="BD88" s="548"/>
      <c r="BE88" s="548"/>
      <c r="BF88" s="546"/>
      <c r="BG88" s="547"/>
      <c r="BH88" s="548"/>
      <c r="BI88" s="548"/>
      <c r="BJ88" s="548"/>
      <c r="BK88" s="546"/>
      <c r="BL88" s="547"/>
      <c r="BM88" s="548"/>
      <c r="BN88" s="548"/>
      <c r="BO88" s="546"/>
      <c r="BP88" s="547"/>
      <c r="BQ88" s="548"/>
      <c r="BR88" s="548"/>
      <c r="BS88" s="546"/>
      <c r="BT88" s="547"/>
      <c r="BU88" s="548"/>
      <c r="BV88" s="548"/>
      <c r="BW88" s="548"/>
      <c r="BX88" s="546"/>
      <c r="BY88" s="547"/>
      <c r="BZ88" s="548"/>
      <c r="CA88" s="560"/>
      <c r="CB88" s="549"/>
    </row>
    <row r="89" spans="1:80" outlineLevel="2">
      <c r="A89" s="515">
        <v>79</v>
      </c>
      <c r="B89" s="556" t="s">
        <v>563</v>
      </c>
      <c r="C89" s="545"/>
      <c r="D89" s="557" t="str">
        <f t="shared" si="15"/>
        <v/>
      </c>
      <c r="E89" s="545"/>
      <c r="F89" s="545" t="s">
        <v>532</v>
      </c>
      <c r="G89" s="589">
        <v>0.62</v>
      </c>
      <c r="H89" s="591"/>
      <c r="I89" s="591"/>
      <c r="J89" s="589">
        <f t="shared" si="10"/>
        <v>0</v>
      </c>
      <c r="K89" s="590" t="str">
        <f t="shared" si="9"/>
        <v>C</v>
      </c>
      <c r="L89" s="547"/>
      <c r="M89" s="548"/>
      <c r="N89" s="548"/>
      <c r="O89" s="546"/>
      <c r="P89" s="547"/>
      <c r="Q89" s="548"/>
      <c r="R89" s="548"/>
      <c r="S89" s="546"/>
      <c r="T89" s="547"/>
      <c r="U89" s="548"/>
      <c r="V89" s="548"/>
      <c r="W89" s="548"/>
      <c r="X89" s="546"/>
      <c r="Y89" s="547"/>
      <c r="Z89" s="548"/>
      <c r="AA89" s="548"/>
      <c r="AB89" s="546"/>
      <c r="AC89" s="547"/>
      <c r="AD89" s="548"/>
      <c r="AE89" s="548"/>
      <c r="AF89" s="546"/>
      <c r="AG89" s="547"/>
      <c r="AH89" s="548"/>
      <c r="AI89" s="548"/>
      <c r="AJ89" s="546"/>
      <c r="AK89" s="547"/>
      <c r="AL89" s="548"/>
      <c r="AM89" s="548"/>
      <c r="AN89" s="548"/>
      <c r="AO89" s="546"/>
      <c r="AP89" s="547"/>
      <c r="AQ89" s="548"/>
      <c r="AR89" s="548"/>
      <c r="AS89" s="546"/>
      <c r="AT89" s="547"/>
      <c r="AU89" s="548"/>
      <c r="AV89" s="548"/>
      <c r="AW89" s="546"/>
      <c r="AX89" s="547"/>
      <c r="AY89" s="548"/>
      <c r="AZ89" s="548"/>
      <c r="BA89" s="548"/>
      <c r="BB89" s="546"/>
      <c r="BC89" s="547"/>
      <c r="BD89" s="548"/>
      <c r="BE89" s="548"/>
      <c r="BF89" s="546"/>
      <c r="BG89" s="547"/>
      <c r="BH89" s="548"/>
      <c r="BI89" s="548"/>
      <c r="BJ89" s="548"/>
      <c r="BK89" s="546"/>
      <c r="BL89" s="547"/>
      <c r="BM89" s="548"/>
      <c r="BN89" s="548"/>
      <c r="BO89" s="546"/>
      <c r="BP89" s="547"/>
      <c r="BQ89" s="548"/>
      <c r="BR89" s="548"/>
      <c r="BS89" s="546"/>
      <c r="BT89" s="547"/>
      <c r="BU89" s="548"/>
      <c r="BV89" s="548"/>
      <c r="BW89" s="548"/>
      <c r="BX89" s="546"/>
      <c r="BY89" s="547"/>
      <c r="BZ89" s="548"/>
      <c r="CA89" s="560"/>
      <c r="CB89" s="549"/>
    </row>
    <row r="90" spans="1:80" outlineLevel="2">
      <c r="A90" s="515">
        <v>80</v>
      </c>
      <c r="B90" s="556" t="s">
        <v>14</v>
      </c>
      <c r="C90" s="545"/>
      <c r="D90" s="557" t="str">
        <f t="shared" si="15"/>
        <v/>
      </c>
      <c r="E90" s="545"/>
      <c r="F90" s="545" t="s">
        <v>532</v>
      </c>
      <c r="G90" s="589">
        <v>0.56999999999999995</v>
      </c>
      <c r="H90" s="591"/>
      <c r="I90" s="591"/>
      <c r="J90" s="589">
        <f t="shared" si="10"/>
        <v>0</v>
      </c>
      <c r="K90" s="590" t="str">
        <f t="shared" si="9"/>
        <v>C</v>
      </c>
      <c r="L90" s="547"/>
      <c r="M90" s="548"/>
      <c r="N90" s="548"/>
      <c r="O90" s="546"/>
      <c r="P90" s="547"/>
      <c r="Q90" s="548"/>
      <c r="R90" s="548"/>
      <c r="S90" s="546"/>
      <c r="T90" s="547"/>
      <c r="U90" s="548"/>
      <c r="V90" s="548"/>
      <c r="W90" s="548"/>
      <c r="X90" s="546"/>
      <c r="Y90" s="547"/>
      <c r="Z90" s="548"/>
      <c r="AA90" s="548"/>
      <c r="AB90" s="546"/>
      <c r="AC90" s="547"/>
      <c r="AD90" s="548"/>
      <c r="AE90" s="548"/>
      <c r="AF90" s="546"/>
      <c r="AG90" s="547"/>
      <c r="AH90" s="548"/>
      <c r="AI90" s="548"/>
      <c r="AJ90" s="546"/>
      <c r="AK90" s="547"/>
      <c r="AL90" s="548"/>
      <c r="AM90" s="548"/>
      <c r="AN90" s="548"/>
      <c r="AO90" s="546"/>
      <c r="AP90" s="547"/>
      <c r="AQ90" s="548"/>
      <c r="AR90" s="548"/>
      <c r="AS90" s="546"/>
      <c r="AT90" s="547"/>
      <c r="AU90" s="548"/>
      <c r="AV90" s="548"/>
      <c r="AW90" s="546"/>
      <c r="AX90" s="547"/>
      <c r="AY90" s="548"/>
      <c r="AZ90" s="548"/>
      <c r="BA90" s="548"/>
      <c r="BB90" s="546"/>
      <c r="BC90" s="547"/>
      <c r="BD90" s="548"/>
      <c r="BE90" s="548"/>
      <c r="BF90" s="546"/>
      <c r="BG90" s="547"/>
      <c r="BH90" s="548"/>
      <c r="BI90" s="548"/>
      <c r="BJ90" s="548"/>
      <c r="BK90" s="546"/>
      <c r="BL90" s="547"/>
      <c r="BM90" s="548"/>
      <c r="BN90" s="548"/>
      <c r="BO90" s="546"/>
      <c r="BP90" s="547"/>
      <c r="BQ90" s="548"/>
      <c r="BR90" s="548"/>
      <c r="BS90" s="546"/>
      <c r="BT90" s="547"/>
      <c r="BU90" s="548"/>
      <c r="BV90" s="548"/>
      <c r="BW90" s="548"/>
      <c r="BX90" s="546"/>
      <c r="BY90" s="547"/>
      <c r="BZ90" s="548"/>
      <c r="CA90" s="560"/>
      <c r="CB90" s="549"/>
    </row>
    <row r="91" spans="1:80" outlineLevel="2">
      <c r="A91" s="515">
        <v>81</v>
      </c>
      <c r="B91" s="556" t="s">
        <v>564</v>
      </c>
      <c r="C91" s="545"/>
      <c r="D91" s="557" t="str">
        <f t="shared" si="15"/>
        <v/>
      </c>
      <c r="E91" s="545"/>
      <c r="F91" s="545" t="s">
        <v>532</v>
      </c>
      <c r="G91" s="589">
        <v>0.8</v>
      </c>
      <c r="H91" s="591"/>
      <c r="I91" s="591"/>
      <c r="J91" s="589">
        <f t="shared" si="10"/>
        <v>0</v>
      </c>
      <c r="K91" s="590" t="str">
        <f t="shared" si="9"/>
        <v>C</v>
      </c>
      <c r="L91" s="547"/>
      <c r="M91" s="548"/>
      <c r="N91" s="548"/>
      <c r="O91" s="546"/>
      <c r="P91" s="547"/>
      <c r="Q91" s="548"/>
      <c r="R91" s="548"/>
      <c r="S91" s="546"/>
      <c r="T91" s="547"/>
      <c r="U91" s="548"/>
      <c r="V91" s="548"/>
      <c r="W91" s="548"/>
      <c r="X91" s="546"/>
      <c r="Y91" s="547"/>
      <c r="Z91" s="548"/>
      <c r="AA91" s="548"/>
      <c r="AB91" s="546"/>
      <c r="AC91" s="547"/>
      <c r="AD91" s="548"/>
      <c r="AE91" s="548"/>
      <c r="AF91" s="546"/>
      <c r="AG91" s="547"/>
      <c r="AH91" s="548"/>
      <c r="AI91" s="548"/>
      <c r="AJ91" s="546"/>
      <c r="AK91" s="547"/>
      <c r="AL91" s="548"/>
      <c r="AM91" s="548"/>
      <c r="AN91" s="548"/>
      <c r="AO91" s="546"/>
      <c r="AP91" s="547"/>
      <c r="AQ91" s="548"/>
      <c r="AR91" s="548"/>
      <c r="AS91" s="546"/>
      <c r="AT91" s="547"/>
      <c r="AU91" s="548"/>
      <c r="AV91" s="548"/>
      <c r="AW91" s="546"/>
      <c r="AX91" s="547"/>
      <c r="AY91" s="548"/>
      <c r="AZ91" s="548"/>
      <c r="BA91" s="548"/>
      <c r="BB91" s="546"/>
      <c r="BC91" s="547"/>
      <c r="BD91" s="548"/>
      <c r="BE91" s="548"/>
      <c r="BF91" s="546"/>
      <c r="BG91" s="547"/>
      <c r="BH91" s="548"/>
      <c r="BI91" s="548"/>
      <c r="BJ91" s="548"/>
      <c r="BK91" s="546"/>
      <c r="BL91" s="547"/>
      <c r="BM91" s="548"/>
      <c r="BN91" s="548"/>
      <c r="BO91" s="546"/>
      <c r="BP91" s="547"/>
      <c r="BQ91" s="548"/>
      <c r="BR91" s="548"/>
      <c r="BS91" s="546"/>
      <c r="BT91" s="547"/>
      <c r="BU91" s="548"/>
      <c r="BV91" s="548"/>
      <c r="BW91" s="548"/>
      <c r="BX91" s="546"/>
      <c r="BY91" s="547"/>
      <c r="BZ91" s="548"/>
      <c r="CA91" s="560"/>
      <c r="CB91" s="549"/>
    </row>
    <row r="92" spans="1:80" outlineLevel="1">
      <c r="A92" s="515">
        <v>82</v>
      </c>
      <c r="B92" s="556" t="s">
        <v>11</v>
      </c>
      <c r="C92" s="545"/>
      <c r="D92" s="557" t="s">
        <v>622</v>
      </c>
      <c r="E92" s="545">
        <v>0</v>
      </c>
      <c r="F92" s="545" t="s">
        <v>532</v>
      </c>
      <c r="G92" s="589">
        <v>110</v>
      </c>
      <c r="H92" s="589"/>
      <c r="I92" s="558"/>
      <c r="J92" s="589">
        <f t="shared" si="10"/>
        <v>0</v>
      </c>
      <c r="K92" s="590" t="str">
        <f t="shared" si="9"/>
        <v>C</v>
      </c>
      <c r="L92" s="547"/>
      <c r="M92" s="548"/>
      <c r="N92" s="548"/>
      <c r="O92" s="546"/>
      <c r="P92" s="547"/>
      <c r="Q92" s="548"/>
      <c r="R92" s="548"/>
      <c r="S92" s="546"/>
      <c r="T92" s="547"/>
      <c r="U92" s="548"/>
      <c r="V92" s="548"/>
      <c r="W92" s="548"/>
      <c r="X92" s="546"/>
      <c r="Y92" s="547"/>
      <c r="Z92" s="548"/>
      <c r="AA92" s="548"/>
      <c r="AB92" s="546"/>
      <c r="AC92" s="547"/>
      <c r="AD92" s="548"/>
      <c r="AE92" s="548"/>
      <c r="AF92" s="546"/>
      <c r="AG92" s="547"/>
      <c r="AH92" s="548"/>
      <c r="AI92" s="548"/>
      <c r="AJ92" s="546"/>
      <c r="AK92" s="547"/>
      <c r="AL92" s="548"/>
      <c r="AM92" s="548"/>
      <c r="AN92" s="548"/>
      <c r="AO92" s="546"/>
      <c r="AP92" s="547"/>
      <c r="AQ92" s="548"/>
      <c r="AR92" s="548"/>
      <c r="AS92" s="546"/>
      <c r="AT92" s="547"/>
      <c r="AU92" s="548"/>
      <c r="AV92" s="548"/>
      <c r="AW92" s="546"/>
      <c r="AX92" s="547"/>
      <c r="AY92" s="548"/>
      <c r="AZ92" s="548"/>
      <c r="BA92" s="548"/>
      <c r="BB92" s="546"/>
      <c r="BC92" s="547"/>
      <c r="BD92" s="548"/>
      <c r="BE92" s="548"/>
      <c r="BF92" s="546"/>
      <c r="BG92" s="547"/>
      <c r="BH92" s="548"/>
      <c r="BI92" s="548"/>
      <c r="BJ92" s="548"/>
      <c r="BK92" s="546"/>
      <c r="BL92" s="547"/>
      <c r="BM92" s="548"/>
      <c r="BN92" s="548"/>
      <c r="BO92" s="546"/>
      <c r="BP92" s="547"/>
      <c r="BQ92" s="548"/>
      <c r="BR92" s="548"/>
      <c r="BS92" s="546"/>
      <c r="BT92" s="547"/>
      <c r="BU92" s="548"/>
      <c r="BV92" s="548"/>
      <c r="BW92" s="548"/>
      <c r="BX92" s="546"/>
      <c r="BY92" s="547"/>
      <c r="BZ92" s="548"/>
      <c r="CA92" s="560"/>
      <c r="CB92" s="549"/>
    </row>
    <row r="93" spans="1:80" outlineLevel="1">
      <c r="A93" s="515">
        <v>83</v>
      </c>
      <c r="B93" s="556" t="s">
        <v>12</v>
      </c>
      <c r="C93" s="545"/>
      <c r="D93" s="557" t="s">
        <v>622</v>
      </c>
      <c r="E93" s="545">
        <v>0</v>
      </c>
      <c r="F93" s="545" t="s">
        <v>532</v>
      </c>
      <c r="G93" s="589">
        <v>40</v>
      </c>
      <c r="H93" s="589"/>
      <c r="I93" s="558"/>
      <c r="J93" s="589">
        <f t="shared" si="10"/>
        <v>0</v>
      </c>
      <c r="K93" s="590" t="str">
        <f t="shared" si="9"/>
        <v>C</v>
      </c>
      <c r="L93" s="547"/>
      <c r="M93" s="548"/>
      <c r="N93" s="548"/>
      <c r="O93" s="546"/>
      <c r="P93" s="547"/>
      <c r="Q93" s="548"/>
      <c r="R93" s="548"/>
      <c r="S93" s="546"/>
      <c r="T93" s="547"/>
      <c r="U93" s="548"/>
      <c r="V93" s="548"/>
      <c r="W93" s="548"/>
      <c r="X93" s="546"/>
      <c r="Y93" s="547"/>
      <c r="Z93" s="548"/>
      <c r="AA93" s="548"/>
      <c r="AB93" s="546"/>
      <c r="AC93" s="547"/>
      <c r="AD93" s="548"/>
      <c r="AE93" s="548"/>
      <c r="AF93" s="546"/>
      <c r="AG93" s="547"/>
      <c r="AH93" s="548"/>
      <c r="AI93" s="548"/>
      <c r="AJ93" s="546"/>
      <c r="AK93" s="547"/>
      <c r="AL93" s="548"/>
      <c r="AM93" s="548"/>
      <c r="AN93" s="548"/>
      <c r="AO93" s="546"/>
      <c r="AP93" s="547"/>
      <c r="AQ93" s="548"/>
      <c r="AR93" s="548"/>
      <c r="AS93" s="546"/>
      <c r="AT93" s="547"/>
      <c r="AU93" s="548"/>
      <c r="AV93" s="548"/>
      <c r="AW93" s="546"/>
      <c r="AX93" s="547"/>
      <c r="AY93" s="548"/>
      <c r="AZ93" s="548"/>
      <c r="BA93" s="548"/>
      <c r="BB93" s="546"/>
      <c r="BC93" s="547"/>
      <c r="BD93" s="548"/>
      <c r="BE93" s="548"/>
      <c r="BF93" s="546"/>
      <c r="BG93" s="547"/>
      <c r="BH93" s="548"/>
      <c r="BI93" s="548"/>
      <c r="BJ93" s="548"/>
      <c r="BK93" s="546"/>
      <c r="BL93" s="547"/>
      <c r="BM93" s="548"/>
      <c r="BN93" s="548"/>
      <c r="BO93" s="546"/>
      <c r="BP93" s="547"/>
      <c r="BQ93" s="548"/>
      <c r="BR93" s="548"/>
      <c r="BS93" s="546"/>
      <c r="BT93" s="547"/>
      <c r="BU93" s="548"/>
      <c r="BV93" s="548"/>
      <c r="BW93" s="548"/>
      <c r="BX93" s="546"/>
      <c r="BY93" s="547"/>
      <c r="BZ93" s="548"/>
      <c r="CA93" s="560"/>
      <c r="CB93" s="549"/>
    </row>
    <row r="94" spans="1:80" outlineLevel="1">
      <c r="A94" s="515">
        <v>84</v>
      </c>
      <c r="B94" s="556" t="s">
        <v>13</v>
      </c>
      <c r="C94" s="545"/>
      <c r="D94" s="557" t="s">
        <v>622</v>
      </c>
      <c r="E94" s="545">
        <f>2*SUM(E64:E65,E68:E69,E76:E77)+SUM(E66,E70,E78,E72:E74)</f>
        <v>0</v>
      </c>
      <c r="F94" s="545" t="s">
        <v>532</v>
      </c>
      <c r="G94" s="589">
        <v>8</v>
      </c>
      <c r="H94" s="589"/>
      <c r="I94" s="558"/>
      <c r="J94" s="589">
        <f t="shared" si="10"/>
        <v>0</v>
      </c>
      <c r="K94" s="590" t="str">
        <f t="shared" si="9"/>
        <v>C</v>
      </c>
      <c r="L94" s="547"/>
      <c r="M94" s="548"/>
      <c r="N94" s="548"/>
      <c r="O94" s="546"/>
      <c r="P94" s="547"/>
      <c r="Q94" s="548"/>
      <c r="R94" s="548"/>
      <c r="S94" s="546"/>
      <c r="T94" s="547"/>
      <c r="U94" s="548"/>
      <c r="V94" s="548"/>
      <c r="W94" s="548"/>
      <c r="X94" s="546"/>
      <c r="Y94" s="547"/>
      <c r="Z94" s="548"/>
      <c r="AA94" s="548"/>
      <c r="AB94" s="546"/>
      <c r="AC94" s="547"/>
      <c r="AD94" s="548"/>
      <c r="AE94" s="548"/>
      <c r="AF94" s="546"/>
      <c r="AG94" s="547"/>
      <c r="AH94" s="548"/>
      <c r="AI94" s="548"/>
      <c r="AJ94" s="546"/>
      <c r="AK94" s="547"/>
      <c r="AL94" s="548"/>
      <c r="AM94" s="548"/>
      <c r="AN94" s="548"/>
      <c r="AO94" s="546"/>
      <c r="AP94" s="547"/>
      <c r="AQ94" s="548"/>
      <c r="AR94" s="548"/>
      <c r="AS94" s="546"/>
      <c r="AT94" s="547"/>
      <c r="AU94" s="548"/>
      <c r="AV94" s="548"/>
      <c r="AW94" s="546"/>
      <c r="AX94" s="547"/>
      <c r="AY94" s="548"/>
      <c r="AZ94" s="548"/>
      <c r="BA94" s="548"/>
      <c r="BB94" s="546"/>
      <c r="BC94" s="547"/>
      <c r="BD94" s="548"/>
      <c r="BE94" s="548"/>
      <c r="BF94" s="546"/>
      <c r="BG94" s="547"/>
      <c r="BH94" s="548"/>
      <c r="BI94" s="548"/>
      <c r="BJ94" s="548"/>
      <c r="BK94" s="546"/>
      <c r="BL94" s="547"/>
      <c r="BM94" s="548"/>
      <c r="BN94" s="548"/>
      <c r="BO94" s="546"/>
      <c r="BP94" s="547"/>
      <c r="BQ94" s="548"/>
      <c r="BR94" s="548"/>
      <c r="BS94" s="546"/>
      <c r="BT94" s="547"/>
      <c r="BU94" s="548"/>
      <c r="BV94" s="548"/>
      <c r="BW94" s="548"/>
      <c r="BX94" s="546"/>
      <c r="BY94" s="547"/>
      <c r="BZ94" s="548"/>
      <c r="CA94" s="560"/>
      <c r="CB94" s="549"/>
    </row>
    <row r="95" spans="1:80" outlineLevel="1">
      <c r="A95" s="515">
        <v>85</v>
      </c>
      <c r="B95" s="556" t="s">
        <v>572</v>
      </c>
      <c r="C95" s="545"/>
      <c r="D95" s="557" t="s">
        <v>622</v>
      </c>
      <c r="E95" s="545">
        <f>2*E94</f>
        <v>0</v>
      </c>
      <c r="F95" s="545" t="s">
        <v>532</v>
      </c>
      <c r="G95" s="589">
        <v>7</v>
      </c>
      <c r="H95" s="589"/>
      <c r="I95" s="558"/>
      <c r="J95" s="589">
        <f>IF(D95="Achat",1,IF(D95="",0,D95*7))*E95*G95</f>
        <v>0</v>
      </c>
      <c r="K95" s="590" t="str">
        <f t="shared" si="9"/>
        <v>C</v>
      </c>
      <c r="L95" s="547"/>
      <c r="M95" s="548"/>
      <c r="N95" s="548"/>
      <c r="O95" s="546"/>
      <c r="P95" s="547"/>
      <c r="Q95" s="548"/>
      <c r="R95" s="548"/>
      <c r="S95" s="546"/>
      <c r="T95" s="547"/>
      <c r="U95" s="548"/>
      <c r="V95" s="548"/>
      <c r="W95" s="548"/>
      <c r="X95" s="546"/>
      <c r="Y95" s="547"/>
      <c r="Z95" s="548"/>
      <c r="AA95" s="548"/>
      <c r="AB95" s="546"/>
      <c r="AC95" s="547"/>
      <c r="AD95" s="548"/>
      <c r="AE95" s="548"/>
      <c r="AF95" s="546"/>
      <c r="AG95" s="547"/>
      <c r="AH95" s="548"/>
      <c r="AI95" s="548"/>
      <c r="AJ95" s="546"/>
      <c r="AK95" s="547"/>
      <c r="AL95" s="548"/>
      <c r="AM95" s="548"/>
      <c r="AN95" s="548"/>
      <c r="AO95" s="546"/>
      <c r="AP95" s="547"/>
      <c r="AQ95" s="548"/>
      <c r="AR95" s="548"/>
      <c r="AS95" s="546"/>
      <c r="AT95" s="547"/>
      <c r="AU95" s="548"/>
      <c r="AV95" s="548"/>
      <c r="AW95" s="546"/>
      <c r="AX95" s="547"/>
      <c r="AY95" s="548"/>
      <c r="AZ95" s="548"/>
      <c r="BA95" s="548"/>
      <c r="BB95" s="546"/>
      <c r="BC95" s="547"/>
      <c r="BD95" s="548"/>
      <c r="BE95" s="548"/>
      <c r="BF95" s="546"/>
      <c r="BG95" s="547"/>
      <c r="BH95" s="548"/>
      <c r="BI95" s="548"/>
      <c r="BJ95" s="548"/>
      <c r="BK95" s="546"/>
      <c r="BL95" s="547"/>
      <c r="BM95" s="548"/>
      <c r="BN95" s="548"/>
      <c r="BO95" s="546"/>
      <c r="BP95" s="547"/>
      <c r="BQ95" s="548"/>
      <c r="BR95" s="548"/>
      <c r="BS95" s="546"/>
      <c r="BT95" s="547"/>
      <c r="BU95" s="548"/>
      <c r="BV95" s="548"/>
      <c r="BW95" s="548"/>
      <c r="BX95" s="546"/>
      <c r="BY95" s="547"/>
      <c r="BZ95" s="548"/>
      <c r="CA95" s="560"/>
      <c r="CB95" s="549"/>
    </row>
    <row r="96" spans="1:80" outlineLevel="1">
      <c r="A96" s="515">
        <v>86</v>
      </c>
      <c r="B96" s="556"/>
      <c r="C96" s="545"/>
      <c r="D96" s="557"/>
      <c r="E96" s="545"/>
      <c r="F96" s="545"/>
      <c r="G96" s="589"/>
      <c r="H96" s="591"/>
      <c r="I96" s="591"/>
      <c r="J96" s="589" t="s">
        <v>624</v>
      </c>
      <c r="K96" s="590" t="str">
        <f t="shared" si="9"/>
        <v/>
      </c>
      <c r="L96" s="547"/>
      <c r="M96" s="548"/>
      <c r="N96" s="548"/>
      <c r="O96" s="546"/>
      <c r="P96" s="547"/>
      <c r="Q96" s="548"/>
      <c r="R96" s="548"/>
      <c r="S96" s="546"/>
      <c r="T96" s="547"/>
      <c r="U96" s="548"/>
      <c r="V96" s="548"/>
      <c r="W96" s="548"/>
      <c r="X96" s="546"/>
      <c r="Y96" s="547"/>
      <c r="Z96" s="548"/>
      <c r="AA96" s="548"/>
      <c r="AB96" s="546"/>
      <c r="AC96" s="547"/>
      <c r="AD96" s="548"/>
      <c r="AE96" s="548"/>
      <c r="AF96" s="546"/>
      <c r="AG96" s="547"/>
      <c r="AH96" s="548"/>
      <c r="AI96" s="548"/>
      <c r="AJ96" s="546"/>
      <c r="AK96" s="547"/>
      <c r="AL96" s="548"/>
      <c r="AM96" s="548"/>
      <c r="AN96" s="548"/>
      <c r="AO96" s="546"/>
      <c r="AP96" s="547"/>
      <c r="AQ96" s="548"/>
      <c r="AR96" s="548"/>
      <c r="AS96" s="546"/>
      <c r="AT96" s="547"/>
      <c r="AU96" s="548"/>
      <c r="AV96" s="548"/>
      <c r="AW96" s="546"/>
      <c r="AX96" s="547"/>
      <c r="AY96" s="548"/>
      <c r="AZ96" s="548"/>
      <c r="BA96" s="548"/>
      <c r="BB96" s="546"/>
      <c r="BC96" s="547"/>
      <c r="BD96" s="548"/>
      <c r="BE96" s="548"/>
      <c r="BF96" s="546"/>
      <c r="BG96" s="547"/>
      <c r="BH96" s="548"/>
      <c r="BI96" s="548"/>
      <c r="BJ96" s="548"/>
      <c r="BK96" s="546"/>
      <c r="BL96" s="547"/>
      <c r="BM96" s="548"/>
      <c r="BN96" s="548"/>
      <c r="BO96" s="546"/>
      <c r="BP96" s="547"/>
      <c r="BQ96" s="548"/>
      <c r="BR96" s="548"/>
      <c r="BS96" s="546"/>
      <c r="BT96" s="547"/>
      <c r="BU96" s="548"/>
      <c r="BV96" s="548"/>
      <c r="BW96" s="548"/>
      <c r="BX96" s="546"/>
      <c r="BY96" s="547"/>
      <c r="BZ96" s="548"/>
      <c r="CA96" s="560"/>
      <c r="CB96" s="549"/>
    </row>
    <row r="97" spans="1:80" outlineLevel="1">
      <c r="A97" s="515">
        <v>87</v>
      </c>
      <c r="B97" s="556" t="s">
        <v>619</v>
      </c>
      <c r="C97" s="545"/>
      <c r="D97" s="557" t="str">
        <f>DureeHL($L97:$CB97)</f>
        <v/>
      </c>
      <c r="E97" s="589">
        <f>SUM(I98:I117)</f>
        <v>0</v>
      </c>
      <c r="F97" s="545" t="s">
        <v>533</v>
      </c>
      <c r="G97" s="589"/>
      <c r="H97" s="591"/>
      <c r="I97" s="558"/>
      <c r="J97" s="592">
        <f>IF(SUM(J98:J125)=0,0," ")</f>
        <v>0</v>
      </c>
      <c r="K97" s="590" t="str">
        <f t="shared" si="9"/>
        <v>C</v>
      </c>
      <c r="L97" s="547"/>
      <c r="M97" s="548"/>
      <c r="N97" s="548"/>
      <c r="O97" s="546"/>
      <c r="P97" s="547"/>
      <c r="Q97" s="548"/>
      <c r="R97" s="548"/>
      <c r="S97" s="546"/>
      <c r="T97" s="547"/>
      <c r="U97" s="548"/>
      <c r="V97" s="548"/>
      <c r="W97" s="548"/>
      <c r="X97" s="546"/>
      <c r="Y97" s="547"/>
      <c r="Z97" s="548"/>
      <c r="AA97" s="548"/>
      <c r="AB97" s="546"/>
      <c r="AC97" s="547"/>
      <c r="AD97" s="548"/>
      <c r="AE97" s="548"/>
      <c r="AF97" s="546"/>
      <c r="AG97" s="547"/>
      <c r="AH97" s="548"/>
      <c r="AI97" s="548"/>
      <c r="AJ97" s="546"/>
      <c r="AK97" s="547"/>
      <c r="AL97" s="548"/>
      <c r="AM97" s="548"/>
      <c r="AN97" s="548"/>
      <c r="AO97" s="546"/>
      <c r="AP97" s="547"/>
      <c r="AQ97" s="548"/>
      <c r="AR97" s="548"/>
      <c r="AS97" s="546"/>
      <c r="AT97" s="547"/>
      <c r="AU97" s="548"/>
      <c r="AV97" s="548"/>
      <c r="AW97" s="546"/>
      <c r="AX97" s="547"/>
      <c r="AY97" s="548"/>
      <c r="AZ97" s="548"/>
      <c r="BA97" s="548"/>
      <c r="BB97" s="546"/>
      <c r="BC97" s="547"/>
      <c r="BD97" s="548"/>
      <c r="BE97" s="548"/>
      <c r="BF97" s="546"/>
      <c r="BG97" s="547"/>
      <c r="BH97" s="548"/>
      <c r="BI97" s="548"/>
      <c r="BJ97" s="548"/>
      <c r="BK97" s="546"/>
      <c r="BL97" s="547"/>
      <c r="BM97" s="548"/>
      <c r="BN97" s="548"/>
      <c r="BO97" s="546"/>
      <c r="BP97" s="547"/>
      <c r="BQ97" s="548"/>
      <c r="BR97" s="548"/>
      <c r="BS97" s="546"/>
      <c r="BT97" s="547"/>
      <c r="BU97" s="548"/>
      <c r="BV97" s="548"/>
      <c r="BW97" s="548"/>
      <c r="BX97" s="546"/>
      <c r="BY97" s="547"/>
      <c r="BZ97" s="548"/>
      <c r="CA97" s="560"/>
      <c r="CB97" s="549"/>
    </row>
    <row r="98" spans="1:80" outlineLevel="2">
      <c r="A98" s="515">
        <v>88</v>
      </c>
      <c r="B98" s="556" t="s">
        <v>15</v>
      </c>
      <c r="C98" s="545"/>
      <c r="D98" s="557" t="str">
        <f>D97</f>
        <v/>
      </c>
      <c r="E98" s="545"/>
      <c r="F98" s="545" t="s">
        <v>532</v>
      </c>
      <c r="G98" s="589">
        <v>3.9895833333333339</v>
      </c>
      <c r="H98" s="591">
        <v>7</v>
      </c>
      <c r="I98" s="591">
        <f>H98*E98</f>
        <v>0</v>
      </c>
      <c r="J98" s="589">
        <f t="shared" ref="J98:J129" si="16">IF(D98="Achat",1,IF(D98="",0,D98*7))*E98*G98</f>
        <v>0</v>
      </c>
      <c r="K98" s="590" t="str">
        <f t="shared" si="9"/>
        <v>C</v>
      </c>
      <c r="L98" s="547"/>
      <c r="M98" s="548"/>
      <c r="N98" s="548"/>
      <c r="O98" s="546"/>
      <c r="P98" s="547"/>
      <c r="Q98" s="548"/>
      <c r="R98" s="548"/>
      <c r="S98" s="546"/>
      <c r="T98" s="547"/>
      <c r="U98" s="548"/>
      <c r="V98" s="548"/>
      <c r="W98" s="548"/>
      <c r="X98" s="546"/>
      <c r="Y98" s="547"/>
      <c r="Z98" s="548"/>
      <c r="AA98" s="548"/>
      <c r="AB98" s="546"/>
      <c r="AC98" s="547"/>
      <c r="AD98" s="548"/>
      <c r="AE98" s="548"/>
      <c r="AF98" s="546"/>
      <c r="AG98" s="547"/>
      <c r="AH98" s="548"/>
      <c r="AI98" s="548"/>
      <c r="AJ98" s="546"/>
      <c r="AK98" s="547"/>
      <c r="AL98" s="548"/>
      <c r="AM98" s="548"/>
      <c r="AN98" s="548"/>
      <c r="AO98" s="546"/>
      <c r="AP98" s="547"/>
      <c r="AQ98" s="548"/>
      <c r="AR98" s="548"/>
      <c r="AS98" s="546"/>
      <c r="AT98" s="547"/>
      <c r="AU98" s="548"/>
      <c r="AV98" s="548"/>
      <c r="AW98" s="546"/>
      <c r="AX98" s="547"/>
      <c r="AY98" s="548"/>
      <c r="AZ98" s="548"/>
      <c r="BA98" s="548"/>
      <c r="BB98" s="546"/>
      <c r="BC98" s="547"/>
      <c r="BD98" s="548"/>
      <c r="BE98" s="548"/>
      <c r="BF98" s="546"/>
      <c r="BG98" s="547"/>
      <c r="BH98" s="548"/>
      <c r="BI98" s="548"/>
      <c r="BJ98" s="548"/>
      <c r="BK98" s="546"/>
      <c r="BL98" s="547"/>
      <c r="BM98" s="548"/>
      <c r="BN98" s="548"/>
      <c r="BO98" s="546"/>
      <c r="BP98" s="547"/>
      <c r="BQ98" s="548"/>
      <c r="BR98" s="548"/>
      <c r="BS98" s="546"/>
      <c r="BT98" s="547"/>
      <c r="BU98" s="548"/>
      <c r="BV98" s="548"/>
      <c r="BW98" s="548"/>
      <c r="BX98" s="546"/>
      <c r="BY98" s="547"/>
      <c r="BZ98" s="548"/>
      <c r="CA98" s="560"/>
      <c r="CB98" s="549"/>
    </row>
    <row r="99" spans="1:80" outlineLevel="2">
      <c r="A99" s="515">
        <v>89</v>
      </c>
      <c r="B99" s="556" t="s">
        <v>21</v>
      </c>
      <c r="C99" s="545"/>
      <c r="D99" s="557" t="str">
        <f>D97</f>
        <v/>
      </c>
      <c r="E99" s="545"/>
      <c r="F99" s="545" t="s">
        <v>532</v>
      </c>
      <c r="G99" s="589">
        <v>3.1875</v>
      </c>
      <c r="H99" s="591">
        <f>H100+H101</f>
        <v>3.75</v>
      </c>
      <c r="I99" s="591">
        <f t="shared" ref="I99:I104" si="17">H99*E99</f>
        <v>0</v>
      </c>
      <c r="J99" s="589">
        <f t="shared" si="16"/>
        <v>0</v>
      </c>
      <c r="K99" s="590" t="str">
        <f t="shared" si="9"/>
        <v>C</v>
      </c>
      <c r="L99" s="547"/>
      <c r="M99" s="548"/>
      <c r="N99" s="548"/>
      <c r="O99" s="546"/>
      <c r="P99" s="547"/>
      <c r="Q99" s="548"/>
      <c r="R99" s="548"/>
      <c r="S99" s="546"/>
      <c r="T99" s="547"/>
      <c r="U99" s="548"/>
      <c r="V99" s="548"/>
      <c r="W99" s="548"/>
      <c r="X99" s="546"/>
      <c r="Y99" s="547"/>
      <c r="Z99" s="548"/>
      <c r="AA99" s="548"/>
      <c r="AB99" s="546"/>
      <c r="AC99" s="547"/>
      <c r="AD99" s="548"/>
      <c r="AE99" s="548"/>
      <c r="AF99" s="546"/>
      <c r="AG99" s="547"/>
      <c r="AH99" s="548"/>
      <c r="AI99" s="548"/>
      <c r="AJ99" s="546"/>
      <c r="AK99" s="547"/>
      <c r="AL99" s="548"/>
      <c r="AM99" s="548"/>
      <c r="AN99" s="548"/>
      <c r="AO99" s="546"/>
      <c r="AP99" s="547"/>
      <c r="AQ99" s="548"/>
      <c r="AR99" s="548"/>
      <c r="AS99" s="546"/>
      <c r="AT99" s="547"/>
      <c r="AU99" s="548"/>
      <c r="AV99" s="548"/>
      <c r="AW99" s="546"/>
      <c r="AX99" s="547"/>
      <c r="AY99" s="548"/>
      <c r="AZ99" s="548"/>
      <c r="BA99" s="548"/>
      <c r="BB99" s="546"/>
      <c r="BC99" s="547"/>
      <c r="BD99" s="548"/>
      <c r="BE99" s="548"/>
      <c r="BF99" s="546"/>
      <c r="BG99" s="547"/>
      <c r="BH99" s="548"/>
      <c r="BI99" s="548"/>
      <c r="BJ99" s="548"/>
      <c r="BK99" s="546"/>
      <c r="BL99" s="547"/>
      <c r="BM99" s="548"/>
      <c r="BN99" s="548"/>
      <c r="BO99" s="546"/>
      <c r="BP99" s="547"/>
      <c r="BQ99" s="548"/>
      <c r="BR99" s="548"/>
      <c r="BS99" s="546"/>
      <c r="BT99" s="547"/>
      <c r="BU99" s="548"/>
      <c r="BV99" s="548"/>
      <c r="BW99" s="548"/>
      <c r="BX99" s="546"/>
      <c r="BY99" s="547"/>
      <c r="BZ99" s="548"/>
      <c r="CA99" s="560"/>
      <c r="CB99" s="549"/>
    </row>
    <row r="100" spans="1:80" outlineLevel="2">
      <c r="A100" s="515">
        <v>90</v>
      </c>
      <c r="B100" s="556" t="s">
        <v>18</v>
      </c>
      <c r="C100" s="545"/>
      <c r="D100" s="557" t="str">
        <f>D98</f>
        <v/>
      </c>
      <c r="E100" s="545"/>
      <c r="F100" s="545" t="s">
        <v>532</v>
      </c>
      <c r="G100" s="589">
        <v>2.125</v>
      </c>
      <c r="H100" s="591">
        <v>2.5</v>
      </c>
      <c r="I100" s="591">
        <f t="shared" si="17"/>
        <v>0</v>
      </c>
      <c r="J100" s="589">
        <f t="shared" si="16"/>
        <v>0</v>
      </c>
      <c r="K100" s="590" t="str">
        <f t="shared" si="9"/>
        <v>C</v>
      </c>
      <c r="L100" s="547"/>
      <c r="M100" s="548"/>
      <c r="N100" s="548"/>
      <c r="O100" s="546"/>
      <c r="P100" s="547"/>
      <c r="Q100" s="548"/>
      <c r="R100" s="548"/>
      <c r="S100" s="546"/>
      <c r="T100" s="547"/>
      <c r="U100" s="548"/>
      <c r="V100" s="548"/>
      <c r="W100" s="548"/>
      <c r="X100" s="546"/>
      <c r="Y100" s="547"/>
      <c r="Z100" s="548"/>
      <c r="AA100" s="548"/>
      <c r="AB100" s="546"/>
      <c r="AC100" s="547"/>
      <c r="AD100" s="548"/>
      <c r="AE100" s="548"/>
      <c r="AF100" s="546"/>
      <c r="AG100" s="547"/>
      <c r="AH100" s="548"/>
      <c r="AI100" s="548"/>
      <c r="AJ100" s="546"/>
      <c r="AK100" s="547"/>
      <c r="AL100" s="548"/>
      <c r="AM100" s="548"/>
      <c r="AN100" s="548"/>
      <c r="AO100" s="546"/>
      <c r="AP100" s="547"/>
      <c r="AQ100" s="548"/>
      <c r="AR100" s="548"/>
      <c r="AS100" s="546"/>
      <c r="AT100" s="547"/>
      <c r="AU100" s="548"/>
      <c r="AV100" s="548"/>
      <c r="AW100" s="546"/>
      <c r="AX100" s="547"/>
      <c r="AY100" s="548"/>
      <c r="AZ100" s="548"/>
      <c r="BA100" s="548"/>
      <c r="BB100" s="546"/>
      <c r="BC100" s="547"/>
      <c r="BD100" s="548"/>
      <c r="BE100" s="548"/>
      <c r="BF100" s="546"/>
      <c r="BG100" s="547"/>
      <c r="BH100" s="548"/>
      <c r="BI100" s="548"/>
      <c r="BJ100" s="548"/>
      <c r="BK100" s="546"/>
      <c r="BL100" s="547"/>
      <c r="BM100" s="548"/>
      <c r="BN100" s="548"/>
      <c r="BO100" s="546"/>
      <c r="BP100" s="547"/>
      <c r="BQ100" s="548"/>
      <c r="BR100" s="548"/>
      <c r="BS100" s="546"/>
      <c r="BT100" s="547"/>
      <c r="BU100" s="548"/>
      <c r="BV100" s="548"/>
      <c r="BW100" s="548"/>
      <c r="BX100" s="546"/>
      <c r="BY100" s="547"/>
      <c r="BZ100" s="548"/>
      <c r="CA100" s="560"/>
      <c r="CB100" s="549"/>
    </row>
    <row r="101" spans="1:80" outlineLevel="2">
      <c r="A101" s="515">
        <v>91</v>
      </c>
      <c r="B101" s="556" t="s">
        <v>24</v>
      </c>
      <c r="C101" s="545"/>
      <c r="D101" s="557" t="str">
        <f>D100</f>
        <v/>
      </c>
      <c r="E101" s="545"/>
      <c r="F101" s="545" t="s">
        <v>532</v>
      </c>
      <c r="G101" s="589">
        <v>0.94791666666666663</v>
      </c>
      <c r="H101" s="591">
        <v>1.25</v>
      </c>
      <c r="I101" s="591">
        <f t="shared" si="17"/>
        <v>0</v>
      </c>
      <c r="J101" s="589">
        <f t="shared" si="16"/>
        <v>0</v>
      </c>
      <c r="K101" s="590" t="str">
        <f t="shared" si="9"/>
        <v>C</v>
      </c>
      <c r="L101" s="547"/>
      <c r="M101" s="548"/>
      <c r="N101" s="548"/>
      <c r="O101" s="546"/>
      <c r="P101" s="547"/>
      <c r="Q101" s="548"/>
      <c r="R101" s="548"/>
      <c r="S101" s="546"/>
      <c r="T101" s="547"/>
      <c r="U101" s="548"/>
      <c r="V101" s="548"/>
      <c r="W101" s="548"/>
      <c r="X101" s="546"/>
      <c r="Y101" s="547"/>
      <c r="Z101" s="548"/>
      <c r="AA101" s="548"/>
      <c r="AB101" s="546"/>
      <c r="AC101" s="547"/>
      <c r="AD101" s="548"/>
      <c r="AE101" s="548"/>
      <c r="AF101" s="546"/>
      <c r="AG101" s="547"/>
      <c r="AH101" s="548"/>
      <c r="AI101" s="548"/>
      <c r="AJ101" s="546"/>
      <c r="AK101" s="547"/>
      <c r="AL101" s="548"/>
      <c r="AM101" s="548"/>
      <c r="AN101" s="548"/>
      <c r="AO101" s="546"/>
      <c r="AP101" s="547"/>
      <c r="AQ101" s="548"/>
      <c r="AR101" s="548"/>
      <c r="AS101" s="546"/>
      <c r="AT101" s="547"/>
      <c r="AU101" s="548"/>
      <c r="AV101" s="548"/>
      <c r="AW101" s="546"/>
      <c r="AX101" s="547"/>
      <c r="AY101" s="548"/>
      <c r="AZ101" s="548"/>
      <c r="BA101" s="548"/>
      <c r="BB101" s="546"/>
      <c r="BC101" s="547"/>
      <c r="BD101" s="548"/>
      <c r="BE101" s="548"/>
      <c r="BF101" s="546"/>
      <c r="BG101" s="547"/>
      <c r="BH101" s="548"/>
      <c r="BI101" s="548"/>
      <c r="BJ101" s="548"/>
      <c r="BK101" s="546"/>
      <c r="BL101" s="547"/>
      <c r="BM101" s="548"/>
      <c r="BN101" s="548"/>
      <c r="BO101" s="546"/>
      <c r="BP101" s="547"/>
      <c r="BQ101" s="548"/>
      <c r="BR101" s="548"/>
      <c r="BS101" s="546"/>
      <c r="BT101" s="547"/>
      <c r="BU101" s="548"/>
      <c r="BV101" s="548"/>
      <c r="BW101" s="548"/>
      <c r="BX101" s="546"/>
      <c r="BY101" s="547"/>
      <c r="BZ101" s="548"/>
      <c r="CA101" s="560"/>
      <c r="CB101" s="549"/>
    </row>
    <row r="102" spans="1:80" outlineLevel="2">
      <c r="A102" s="515">
        <v>92</v>
      </c>
      <c r="B102" s="556" t="s">
        <v>16</v>
      </c>
      <c r="C102" s="545"/>
      <c r="D102" s="557" t="str">
        <f>D101</f>
        <v/>
      </c>
      <c r="E102" s="545"/>
      <c r="F102" s="545" t="s">
        <v>532</v>
      </c>
      <c r="G102" s="589">
        <v>2</v>
      </c>
      <c r="H102" s="591">
        <v>3.5</v>
      </c>
      <c r="I102" s="591">
        <f t="shared" si="17"/>
        <v>0</v>
      </c>
      <c r="J102" s="589">
        <f t="shared" si="16"/>
        <v>0</v>
      </c>
      <c r="K102" s="590" t="str">
        <f t="shared" si="9"/>
        <v>C</v>
      </c>
      <c r="L102" s="547"/>
      <c r="M102" s="548"/>
      <c r="N102" s="548"/>
      <c r="O102" s="546"/>
      <c r="P102" s="547"/>
      <c r="Q102" s="548"/>
      <c r="R102" s="548"/>
      <c r="S102" s="546"/>
      <c r="T102" s="547"/>
      <c r="U102" s="548"/>
      <c r="V102" s="548"/>
      <c r="W102" s="548"/>
      <c r="X102" s="546"/>
      <c r="Y102" s="547"/>
      <c r="Z102" s="548"/>
      <c r="AA102" s="548"/>
      <c r="AB102" s="546"/>
      <c r="AC102" s="547"/>
      <c r="AD102" s="548"/>
      <c r="AE102" s="548"/>
      <c r="AF102" s="546"/>
      <c r="AG102" s="547"/>
      <c r="AH102" s="548"/>
      <c r="AI102" s="548"/>
      <c r="AJ102" s="546"/>
      <c r="AK102" s="547"/>
      <c r="AL102" s="548"/>
      <c r="AM102" s="548"/>
      <c r="AN102" s="548"/>
      <c r="AO102" s="546"/>
      <c r="AP102" s="547"/>
      <c r="AQ102" s="548"/>
      <c r="AR102" s="548"/>
      <c r="AS102" s="546"/>
      <c r="AT102" s="547"/>
      <c r="AU102" s="548"/>
      <c r="AV102" s="548"/>
      <c r="AW102" s="546"/>
      <c r="AX102" s="547"/>
      <c r="AY102" s="548"/>
      <c r="AZ102" s="548"/>
      <c r="BA102" s="548"/>
      <c r="BB102" s="546"/>
      <c r="BC102" s="547"/>
      <c r="BD102" s="548"/>
      <c r="BE102" s="548"/>
      <c r="BF102" s="546"/>
      <c r="BG102" s="547"/>
      <c r="BH102" s="548"/>
      <c r="BI102" s="548"/>
      <c r="BJ102" s="548"/>
      <c r="BK102" s="546"/>
      <c r="BL102" s="547"/>
      <c r="BM102" s="548"/>
      <c r="BN102" s="548"/>
      <c r="BO102" s="546"/>
      <c r="BP102" s="547"/>
      <c r="BQ102" s="548"/>
      <c r="BR102" s="548"/>
      <c r="BS102" s="546"/>
      <c r="BT102" s="547"/>
      <c r="BU102" s="548"/>
      <c r="BV102" s="548"/>
      <c r="BW102" s="548"/>
      <c r="BX102" s="546"/>
      <c r="BY102" s="547"/>
      <c r="BZ102" s="548"/>
      <c r="CA102" s="560"/>
      <c r="CB102" s="549"/>
    </row>
    <row r="103" spans="1:80" outlineLevel="2">
      <c r="A103" s="515">
        <v>93</v>
      </c>
      <c r="B103" s="556" t="s">
        <v>22</v>
      </c>
      <c r="C103" s="545"/>
      <c r="D103" s="557" t="str">
        <f>D101</f>
        <v/>
      </c>
      <c r="E103" s="545"/>
      <c r="F103" s="545" t="s">
        <v>532</v>
      </c>
      <c r="G103" s="589">
        <v>1.59375</v>
      </c>
      <c r="H103" s="591">
        <f>H104+H105</f>
        <v>1.875</v>
      </c>
      <c r="I103" s="591">
        <f t="shared" si="17"/>
        <v>0</v>
      </c>
      <c r="J103" s="589">
        <f t="shared" si="16"/>
        <v>0</v>
      </c>
      <c r="K103" s="590" t="str">
        <f t="shared" si="9"/>
        <v>C</v>
      </c>
      <c r="L103" s="547"/>
      <c r="M103" s="548"/>
      <c r="N103" s="548"/>
      <c r="O103" s="546"/>
      <c r="P103" s="547"/>
      <c r="Q103" s="548"/>
      <c r="R103" s="548"/>
      <c r="S103" s="546"/>
      <c r="T103" s="547"/>
      <c r="U103" s="548"/>
      <c r="V103" s="548"/>
      <c r="W103" s="548"/>
      <c r="X103" s="546"/>
      <c r="Y103" s="547"/>
      <c r="Z103" s="548"/>
      <c r="AA103" s="548"/>
      <c r="AB103" s="546"/>
      <c r="AC103" s="547"/>
      <c r="AD103" s="548"/>
      <c r="AE103" s="548"/>
      <c r="AF103" s="546"/>
      <c r="AG103" s="547"/>
      <c r="AH103" s="548"/>
      <c r="AI103" s="548"/>
      <c r="AJ103" s="546"/>
      <c r="AK103" s="547"/>
      <c r="AL103" s="548"/>
      <c r="AM103" s="548"/>
      <c r="AN103" s="548"/>
      <c r="AO103" s="546"/>
      <c r="AP103" s="547"/>
      <c r="AQ103" s="548"/>
      <c r="AR103" s="548"/>
      <c r="AS103" s="546"/>
      <c r="AT103" s="547"/>
      <c r="AU103" s="548"/>
      <c r="AV103" s="548"/>
      <c r="AW103" s="546"/>
      <c r="AX103" s="547"/>
      <c r="AY103" s="548"/>
      <c r="AZ103" s="548"/>
      <c r="BA103" s="548"/>
      <c r="BB103" s="546"/>
      <c r="BC103" s="547"/>
      <c r="BD103" s="548"/>
      <c r="BE103" s="548"/>
      <c r="BF103" s="546"/>
      <c r="BG103" s="547"/>
      <c r="BH103" s="548"/>
      <c r="BI103" s="548"/>
      <c r="BJ103" s="548"/>
      <c r="BK103" s="546"/>
      <c r="BL103" s="547"/>
      <c r="BM103" s="548"/>
      <c r="BN103" s="548"/>
      <c r="BO103" s="546"/>
      <c r="BP103" s="547"/>
      <c r="BQ103" s="548"/>
      <c r="BR103" s="548"/>
      <c r="BS103" s="546"/>
      <c r="BT103" s="547"/>
      <c r="BU103" s="548"/>
      <c r="BV103" s="548"/>
      <c r="BW103" s="548"/>
      <c r="BX103" s="546"/>
      <c r="BY103" s="547"/>
      <c r="BZ103" s="548"/>
      <c r="CA103" s="560"/>
      <c r="CB103" s="549"/>
    </row>
    <row r="104" spans="1:80" outlineLevel="2">
      <c r="A104" s="515">
        <v>94</v>
      </c>
      <c r="B104" s="556" t="s">
        <v>19</v>
      </c>
      <c r="C104" s="545"/>
      <c r="D104" s="557" t="str">
        <f>D102</f>
        <v/>
      </c>
      <c r="E104" s="545"/>
      <c r="F104" s="545" t="s">
        <v>532</v>
      </c>
      <c r="G104" s="589">
        <v>1.0625</v>
      </c>
      <c r="H104" s="591">
        <v>1.25</v>
      </c>
      <c r="I104" s="591">
        <f t="shared" si="17"/>
        <v>0</v>
      </c>
      <c r="J104" s="589">
        <f t="shared" si="16"/>
        <v>0</v>
      </c>
      <c r="K104" s="590" t="str">
        <f t="shared" si="9"/>
        <v>C</v>
      </c>
      <c r="L104" s="547"/>
      <c r="M104" s="548"/>
      <c r="N104" s="548"/>
      <c r="O104" s="546"/>
      <c r="P104" s="547"/>
      <c r="Q104" s="548"/>
      <c r="R104" s="548"/>
      <c r="S104" s="546"/>
      <c r="T104" s="547"/>
      <c r="U104" s="548"/>
      <c r="V104" s="548"/>
      <c r="W104" s="548"/>
      <c r="X104" s="546"/>
      <c r="Y104" s="547"/>
      <c r="Z104" s="548"/>
      <c r="AA104" s="548"/>
      <c r="AB104" s="546"/>
      <c r="AC104" s="547"/>
      <c r="AD104" s="548"/>
      <c r="AE104" s="548"/>
      <c r="AF104" s="546"/>
      <c r="AG104" s="547"/>
      <c r="AH104" s="548"/>
      <c r="AI104" s="548"/>
      <c r="AJ104" s="546"/>
      <c r="AK104" s="547"/>
      <c r="AL104" s="548"/>
      <c r="AM104" s="548"/>
      <c r="AN104" s="548"/>
      <c r="AO104" s="546"/>
      <c r="AP104" s="547"/>
      <c r="AQ104" s="548"/>
      <c r="AR104" s="548"/>
      <c r="AS104" s="546"/>
      <c r="AT104" s="547"/>
      <c r="AU104" s="548"/>
      <c r="AV104" s="548"/>
      <c r="AW104" s="546"/>
      <c r="AX104" s="547"/>
      <c r="AY104" s="548"/>
      <c r="AZ104" s="548"/>
      <c r="BA104" s="548"/>
      <c r="BB104" s="546"/>
      <c r="BC104" s="547"/>
      <c r="BD104" s="548"/>
      <c r="BE104" s="548"/>
      <c r="BF104" s="546"/>
      <c r="BG104" s="547"/>
      <c r="BH104" s="548"/>
      <c r="BI104" s="548"/>
      <c r="BJ104" s="548"/>
      <c r="BK104" s="546"/>
      <c r="BL104" s="547"/>
      <c r="BM104" s="548"/>
      <c r="BN104" s="548"/>
      <c r="BO104" s="546"/>
      <c r="BP104" s="547"/>
      <c r="BQ104" s="548"/>
      <c r="BR104" s="548"/>
      <c r="BS104" s="546"/>
      <c r="BT104" s="547"/>
      <c r="BU104" s="548"/>
      <c r="BV104" s="548"/>
      <c r="BW104" s="548"/>
      <c r="BX104" s="546"/>
      <c r="BY104" s="547"/>
      <c r="BZ104" s="548"/>
      <c r="CA104" s="560"/>
      <c r="CB104" s="549"/>
    </row>
    <row r="105" spans="1:80" outlineLevel="2">
      <c r="A105" s="515">
        <v>95</v>
      </c>
      <c r="B105" s="556" t="s">
        <v>25</v>
      </c>
      <c r="C105" s="545"/>
      <c r="D105" s="557" t="str">
        <f>D104</f>
        <v/>
      </c>
      <c r="E105" s="545"/>
      <c r="F105" s="545" t="s">
        <v>532</v>
      </c>
      <c r="G105" s="589">
        <v>0.47916666666666674</v>
      </c>
      <c r="H105" s="591">
        <v>0.625</v>
      </c>
      <c r="I105" s="591">
        <f>H105*E105</f>
        <v>0</v>
      </c>
      <c r="J105" s="589">
        <f t="shared" si="16"/>
        <v>0</v>
      </c>
      <c r="K105" s="590" t="str">
        <f t="shared" si="9"/>
        <v>C</v>
      </c>
      <c r="L105" s="547"/>
      <c r="M105" s="548"/>
      <c r="N105" s="548"/>
      <c r="O105" s="546"/>
      <c r="P105" s="547"/>
      <c r="Q105" s="548"/>
      <c r="R105" s="548"/>
      <c r="S105" s="546"/>
      <c r="T105" s="547"/>
      <c r="U105" s="548"/>
      <c r="V105" s="548"/>
      <c r="W105" s="548"/>
      <c r="X105" s="546"/>
      <c r="Y105" s="547"/>
      <c r="Z105" s="548"/>
      <c r="AA105" s="548"/>
      <c r="AB105" s="546"/>
      <c r="AC105" s="547"/>
      <c r="AD105" s="548"/>
      <c r="AE105" s="548"/>
      <c r="AF105" s="546"/>
      <c r="AG105" s="547"/>
      <c r="AH105" s="548"/>
      <c r="AI105" s="548"/>
      <c r="AJ105" s="546"/>
      <c r="AK105" s="547"/>
      <c r="AL105" s="548"/>
      <c r="AM105" s="548"/>
      <c r="AN105" s="548"/>
      <c r="AO105" s="546"/>
      <c r="AP105" s="547"/>
      <c r="AQ105" s="548"/>
      <c r="AR105" s="548"/>
      <c r="AS105" s="546"/>
      <c r="AT105" s="547"/>
      <c r="AU105" s="548"/>
      <c r="AV105" s="548"/>
      <c r="AW105" s="546"/>
      <c r="AX105" s="547"/>
      <c r="AY105" s="548"/>
      <c r="AZ105" s="548"/>
      <c r="BA105" s="548"/>
      <c r="BB105" s="546"/>
      <c r="BC105" s="547"/>
      <c r="BD105" s="548"/>
      <c r="BE105" s="548"/>
      <c r="BF105" s="546"/>
      <c r="BG105" s="547"/>
      <c r="BH105" s="548"/>
      <c r="BI105" s="548"/>
      <c r="BJ105" s="548"/>
      <c r="BK105" s="546"/>
      <c r="BL105" s="547"/>
      <c r="BM105" s="548"/>
      <c r="BN105" s="548"/>
      <c r="BO105" s="546"/>
      <c r="BP105" s="547"/>
      <c r="BQ105" s="548"/>
      <c r="BR105" s="548"/>
      <c r="BS105" s="546"/>
      <c r="BT105" s="547"/>
      <c r="BU105" s="548"/>
      <c r="BV105" s="548"/>
      <c r="BW105" s="548"/>
      <c r="BX105" s="546"/>
      <c r="BY105" s="547"/>
      <c r="BZ105" s="548"/>
      <c r="CA105" s="560"/>
      <c r="CB105" s="549"/>
    </row>
    <row r="106" spans="1:80" outlineLevel="2">
      <c r="A106" s="515">
        <v>96</v>
      </c>
      <c r="B106" s="556" t="s">
        <v>17</v>
      </c>
      <c r="C106" s="545"/>
      <c r="D106" s="557" t="str">
        <f>D105</f>
        <v/>
      </c>
      <c r="E106" s="545"/>
      <c r="F106" s="545" t="s">
        <v>532</v>
      </c>
      <c r="G106" s="589">
        <v>1</v>
      </c>
      <c r="H106" s="591">
        <v>1.75</v>
      </c>
      <c r="I106" s="591">
        <f t="shared" ref="I106:I117" si="18">H106*E106</f>
        <v>0</v>
      </c>
      <c r="J106" s="589">
        <f t="shared" si="16"/>
        <v>0</v>
      </c>
      <c r="K106" s="590" t="str">
        <f t="shared" si="9"/>
        <v>C</v>
      </c>
      <c r="L106" s="547"/>
      <c r="M106" s="548"/>
      <c r="N106" s="548"/>
      <c r="O106" s="546"/>
      <c r="P106" s="547"/>
      <c r="Q106" s="548"/>
      <c r="R106" s="548"/>
      <c r="S106" s="546"/>
      <c r="T106" s="547"/>
      <c r="U106" s="548"/>
      <c r="V106" s="548"/>
      <c r="W106" s="548"/>
      <c r="X106" s="546"/>
      <c r="Y106" s="547"/>
      <c r="Z106" s="548"/>
      <c r="AA106" s="548"/>
      <c r="AB106" s="546"/>
      <c r="AC106" s="547"/>
      <c r="AD106" s="548"/>
      <c r="AE106" s="548"/>
      <c r="AF106" s="546"/>
      <c r="AG106" s="547"/>
      <c r="AH106" s="548"/>
      <c r="AI106" s="548"/>
      <c r="AJ106" s="546"/>
      <c r="AK106" s="547"/>
      <c r="AL106" s="548"/>
      <c r="AM106" s="548"/>
      <c r="AN106" s="548"/>
      <c r="AO106" s="546"/>
      <c r="AP106" s="547"/>
      <c r="AQ106" s="548"/>
      <c r="AR106" s="548"/>
      <c r="AS106" s="546"/>
      <c r="AT106" s="547"/>
      <c r="AU106" s="548"/>
      <c r="AV106" s="548"/>
      <c r="AW106" s="546"/>
      <c r="AX106" s="547"/>
      <c r="AY106" s="548"/>
      <c r="AZ106" s="548"/>
      <c r="BA106" s="548"/>
      <c r="BB106" s="546"/>
      <c r="BC106" s="547"/>
      <c r="BD106" s="548"/>
      <c r="BE106" s="548"/>
      <c r="BF106" s="546"/>
      <c r="BG106" s="547"/>
      <c r="BH106" s="548"/>
      <c r="BI106" s="548"/>
      <c r="BJ106" s="548"/>
      <c r="BK106" s="546"/>
      <c r="BL106" s="547"/>
      <c r="BM106" s="548"/>
      <c r="BN106" s="548"/>
      <c r="BO106" s="546"/>
      <c r="BP106" s="547"/>
      <c r="BQ106" s="548"/>
      <c r="BR106" s="548"/>
      <c r="BS106" s="546"/>
      <c r="BT106" s="547"/>
      <c r="BU106" s="548"/>
      <c r="BV106" s="548"/>
      <c r="BW106" s="548"/>
      <c r="BX106" s="546"/>
      <c r="BY106" s="547"/>
      <c r="BZ106" s="548"/>
      <c r="CA106" s="560"/>
      <c r="CB106" s="549"/>
    </row>
    <row r="107" spans="1:80" outlineLevel="2">
      <c r="A107" s="515">
        <v>97</v>
      </c>
      <c r="B107" s="556" t="s">
        <v>23</v>
      </c>
      <c r="C107" s="545"/>
      <c r="D107" s="557" t="str">
        <f>D105</f>
        <v/>
      </c>
      <c r="E107" s="545"/>
      <c r="F107" s="545" t="s">
        <v>532</v>
      </c>
      <c r="G107" s="589">
        <v>0.80208333333333348</v>
      </c>
      <c r="H107" s="591">
        <f>H108+H109</f>
        <v>0.9375</v>
      </c>
      <c r="I107" s="591">
        <f t="shared" si="18"/>
        <v>0</v>
      </c>
      <c r="J107" s="589">
        <f t="shared" si="16"/>
        <v>0</v>
      </c>
      <c r="K107" s="590" t="str">
        <f t="shared" si="9"/>
        <v>C</v>
      </c>
      <c r="L107" s="547"/>
      <c r="M107" s="548"/>
      <c r="N107" s="548"/>
      <c r="O107" s="546"/>
      <c r="P107" s="547"/>
      <c r="Q107" s="548"/>
      <c r="R107" s="548"/>
      <c r="S107" s="546"/>
      <c r="T107" s="547"/>
      <c r="U107" s="548"/>
      <c r="V107" s="548"/>
      <c r="W107" s="548"/>
      <c r="X107" s="546"/>
      <c r="Y107" s="547"/>
      <c r="Z107" s="548"/>
      <c r="AA107" s="548"/>
      <c r="AB107" s="546"/>
      <c r="AC107" s="547"/>
      <c r="AD107" s="548"/>
      <c r="AE107" s="548"/>
      <c r="AF107" s="546"/>
      <c r="AG107" s="547"/>
      <c r="AH107" s="548"/>
      <c r="AI107" s="548"/>
      <c r="AJ107" s="546"/>
      <c r="AK107" s="547"/>
      <c r="AL107" s="548"/>
      <c r="AM107" s="548"/>
      <c r="AN107" s="548"/>
      <c r="AO107" s="546"/>
      <c r="AP107" s="547"/>
      <c r="AQ107" s="548"/>
      <c r="AR107" s="548"/>
      <c r="AS107" s="546"/>
      <c r="AT107" s="547"/>
      <c r="AU107" s="548"/>
      <c r="AV107" s="548"/>
      <c r="AW107" s="546"/>
      <c r="AX107" s="547"/>
      <c r="AY107" s="548"/>
      <c r="AZ107" s="548"/>
      <c r="BA107" s="548"/>
      <c r="BB107" s="546"/>
      <c r="BC107" s="547"/>
      <c r="BD107" s="548"/>
      <c r="BE107" s="548"/>
      <c r="BF107" s="546"/>
      <c r="BG107" s="547"/>
      <c r="BH107" s="548"/>
      <c r="BI107" s="548"/>
      <c r="BJ107" s="548"/>
      <c r="BK107" s="546"/>
      <c r="BL107" s="547"/>
      <c r="BM107" s="548"/>
      <c r="BN107" s="548"/>
      <c r="BO107" s="546"/>
      <c r="BP107" s="547"/>
      <c r="BQ107" s="548"/>
      <c r="BR107" s="548"/>
      <c r="BS107" s="546"/>
      <c r="BT107" s="547"/>
      <c r="BU107" s="548"/>
      <c r="BV107" s="548"/>
      <c r="BW107" s="548"/>
      <c r="BX107" s="546"/>
      <c r="BY107" s="547"/>
      <c r="BZ107" s="548"/>
      <c r="CA107" s="560"/>
      <c r="CB107" s="549"/>
    </row>
    <row r="108" spans="1:80" outlineLevel="2">
      <c r="A108" s="515">
        <v>98</v>
      </c>
      <c r="B108" s="556" t="s">
        <v>20</v>
      </c>
      <c r="C108" s="545"/>
      <c r="D108" s="557" t="str">
        <f>D106</f>
        <v/>
      </c>
      <c r="E108" s="545"/>
      <c r="F108" s="545" t="s">
        <v>532</v>
      </c>
      <c r="G108" s="589">
        <v>0.53125</v>
      </c>
      <c r="H108" s="591">
        <v>0.625</v>
      </c>
      <c r="I108" s="591">
        <f t="shared" si="18"/>
        <v>0</v>
      </c>
      <c r="J108" s="589">
        <f t="shared" si="16"/>
        <v>0</v>
      </c>
      <c r="K108" s="590" t="str">
        <f t="shared" si="9"/>
        <v>C</v>
      </c>
      <c r="L108" s="547"/>
      <c r="M108" s="548"/>
      <c r="N108" s="548"/>
      <c r="O108" s="546"/>
      <c r="P108" s="547"/>
      <c r="Q108" s="548"/>
      <c r="R108" s="548"/>
      <c r="S108" s="546"/>
      <c r="T108" s="547"/>
      <c r="U108" s="548"/>
      <c r="V108" s="548"/>
      <c r="W108" s="548"/>
      <c r="X108" s="546"/>
      <c r="Y108" s="547"/>
      <c r="Z108" s="548"/>
      <c r="AA108" s="548"/>
      <c r="AB108" s="546"/>
      <c r="AC108" s="547"/>
      <c r="AD108" s="548"/>
      <c r="AE108" s="548"/>
      <c r="AF108" s="546"/>
      <c r="AG108" s="547"/>
      <c r="AH108" s="548"/>
      <c r="AI108" s="548"/>
      <c r="AJ108" s="546"/>
      <c r="AK108" s="547"/>
      <c r="AL108" s="548"/>
      <c r="AM108" s="548"/>
      <c r="AN108" s="548"/>
      <c r="AO108" s="546"/>
      <c r="AP108" s="547"/>
      <c r="AQ108" s="548"/>
      <c r="AR108" s="548"/>
      <c r="AS108" s="546"/>
      <c r="AT108" s="547"/>
      <c r="AU108" s="548"/>
      <c r="AV108" s="548"/>
      <c r="AW108" s="546"/>
      <c r="AX108" s="547"/>
      <c r="AY108" s="548"/>
      <c r="AZ108" s="548"/>
      <c r="BA108" s="548"/>
      <c r="BB108" s="546"/>
      <c r="BC108" s="547"/>
      <c r="BD108" s="548"/>
      <c r="BE108" s="548"/>
      <c r="BF108" s="546"/>
      <c r="BG108" s="547"/>
      <c r="BH108" s="548"/>
      <c r="BI108" s="548"/>
      <c r="BJ108" s="548"/>
      <c r="BK108" s="546"/>
      <c r="BL108" s="547"/>
      <c r="BM108" s="548"/>
      <c r="BN108" s="548"/>
      <c r="BO108" s="546"/>
      <c r="BP108" s="547"/>
      <c r="BQ108" s="548"/>
      <c r="BR108" s="548"/>
      <c r="BS108" s="546"/>
      <c r="BT108" s="547"/>
      <c r="BU108" s="548"/>
      <c r="BV108" s="548"/>
      <c r="BW108" s="548"/>
      <c r="BX108" s="546"/>
      <c r="BY108" s="547"/>
      <c r="BZ108" s="548"/>
      <c r="CA108" s="560"/>
      <c r="CB108" s="549"/>
    </row>
    <row r="109" spans="1:80" outlineLevel="2">
      <c r="A109" s="515">
        <v>99</v>
      </c>
      <c r="B109" s="556" t="s">
        <v>553</v>
      </c>
      <c r="C109" s="545"/>
      <c r="D109" s="557" t="str">
        <f>D108</f>
        <v/>
      </c>
      <c r="E109" s="545"/>
      <c r="F109" s="545" t="s">
        <v>532</v>
      </c>
      <c r="G109" s="589">
        <v>0.23958333333333337</v>
      </c>
      <c r="H109" s="591">
        <v>0.3125</v>
      </c>
      <c r="I109" s="591">
        <f t="shared" si="18"/>
        <v>0</v>
      </c>
      <c r="J109" s="589">
        <f t="shared" si="16"/>
        <v>0</v>
      </c>
      <c r="K109" s="590" t="str">
        <f t="shared" si="9"/>
        <v>C</v>
      </c>
      <c r="L109" s="547"/>
      <c r="M109" s="548"/>
      <c r="N109" s="548"/>
      <c r="O109" s="546"/>
      <c r="P109" s="547"/>
      <c r="Q109" s="548"/>
      <c r="R109" s="548"/>
      <c r="S109" s="546"/>
      <c r="T109" s="547"/>
      <c r="U109" s="548"/>
      <c r="V109" s="548"/>
      <c r="W109" s="548"/>
      <c r="X109" s="546"/>
      <c r="Y109" s="547"/>
      <c r="Z109" s="548"/>
      <c r="AA109" s="548"/>
      <c r="AB109" s="546"/>
      <c r="AC109" s="547"/>
      <c r="AD109" s="548"/>
      <c r="AE109" s="548"/>
      <c r="AF109" s="546"/>
      <c r="AG109" s="547"/>
      <c r="AH109" s="548"/>
      <c r="AI109" s="548"/>
      <c r="AJ109" s="546"/>
      <c r="AK109" s="547"/>
      <c r="AL109" s="548"/>
      <c r="AM109" s="548"/>
      <c r="AN109" s="548"/>
      <c r="AO109" s="546"/>
      <c r="AP109" s="547"/>
      <c r="AQ109" s="548"/>
      <c r="AR109" s="548"/>
      <c r="AS109" s="546"/>
      <c r="AT109" s="547"/>
      <c r="AU109" s="548"/>
      <c r="AV109" s="548"/>
      <c r="AW109" s="546"/>
      <c r="AX109" s="547"/>
      <c r="AY109" s="548"/>
      <c r="AZ109" s="548"/>
      <c r="BA109" s="548"/>
      <c r="BB109" s="546"/>
      <c r="BC109" s="547"/>
      <c r="BD109" s="548"/>
      <c r="BE109" s="548"/>
      <c r="BF109" s="546"/>
      <c r="BG109" s="547"/>
      <c r="BH109" s="548"/>
      <c r="BI109" s="548"/>
      <c r="BJ109" s="548"/>
      <c r="BK109" s="546"/>
      <c r="BL109" s="547"/>
      <c r="BM109" s="548"/>
      <c r="BN109" s="548"/>
      <c r="BO109" s="546"/>
      <c r="BP109" s="547"/>
      <c r="BQ109" s="548"/>
      <c r="BR109" s="548"/>
      <c r="BS109" s="546"/>
      <c r="BT109" s="547"/>
      <c r="BU109" s="548"/>
      <c r="BV109" s="548"/>
      <c r="BW109" s="548"/>
      <c r="BX109" s="546"/>
      <c r="BY109" s="547"/>
      <c r="BZ109" s="548"/>
      <c r="CA109" s="560"/>
      <c r="CB109" s="549"/>
    </row>
    <row r="110" spans="1:80" outlineLevel="2">
      <c r="A110" s="515">
        <v>100</v>
      </c>
      <c r="B110" s="556" t="s">
        <v>554</v>
      </c>
      <c r="C110" s="545"/>
      <c r="D110" s="557" t="str">
        <f>D109</f>
        <v/>
      </c>
      <c r="E110" s="545"/>
      <c r="F110" s="545" t="s">
        <v>532</v>
      </c>
      <c r="G110" s="589">
        <v>5.95</v>
      </c>
      <c r="H110" s="591">
        <v>7</v>
      </c>
      <c r="I110" s="591">
        <f t="shared" si="18"/>
        <v>0</v>
      </c>
      <c r="J110" s="589">
        <f t="shared" si="16"/>
        <v>0</v>
      </c>
      <c r="K110" s="590" t="str">
        <f t="shared" si="9"/>
        <v>C</v>
      </c>
      <c r="L110" s="547"/>
      <c r="M110" s="548"/>
      <c r="N110" s="548"/>
      <c r="O110" s="546"/>
      <c r="P110" s="547"/>
      <c r="Q110" s="548"/>
      <c r="R110" s="548"/>
      <c r="S110" s="546"/>
      <c r="T110" s="547"/>
      <c r="U110" s="548"/>
      <c r="V110" s="548"/>
      <c r="W110" s="548"/>
      <c r="X110" s="546"/>
      <c r="Y110" s="547"/>
      <c r="Z110" s="548"/>
      <c r="AA110" s="548"/>
      <c r="AB110" s="546"/>
      <c r="AC110" s="547"/>
      <c r="AD110" s="548"/>
      <c r="AE110" s="548"/>
      <c r="AF110" s="546"/>
      <c r="AG110" s="547"/>
      <c r="AH110" s="548"/>
      <c r="AI110" s="548"/>
      <c r="AJ110" s="546"/>
      <c r="AK110" s="547"/>
      <c r="AL110" s="548"/>
      <c r="AM110" s="548"/>
      <c r="AN110" s="548"/>
      <c r="AO110" s="546"/>
      <c r="AP110" s="547"/>
      <c r="AQ110" s="548"/>
      <c r="AR110" s="548"/>
      <c r="AS110" s="546"/>
      <c r="AT110" s="547"/>
      <c r="AU110" s="548"/>
      <c r="AV110" s="548"/>
      <c r="AW110" s="546"/>
      <c r="AX110" s="547"/>
      <c r="AY110" s="548"/>
      <c r="AZ110" s="548"/>
      <c r="BA110" s="548"/>
      <c r="BB110" s="546"/>
      <c r="BC110" s="547"/>
      <c r="BD110" s="548"/>
      <c r="BE110" s="548"/>
      <c r="BF110" s="546"/>
      <c r="BG110" s="547"/>
      <c r="BH110" s="548"/>
      <c r="BI110" s="548"/>
      <c r="BJ110" s="548"/>
      <c r="BK110" s="546"/>
      <c r="BL110" s="547"/>
      <c r="BM110" s="548"/>
      <c r="BN110" s="548"/>
      <c r="BO110" s="546"/>
      <c r="BP110" s="547"/>
      <c r="BQ110" s="548"/>
      <c r="BR110" s="548"/>
      <c r="BS110" s="546"/>
      <c r="BT110" s="547"/>
      <c r="BU110" s="548"/>
      <c r="BV110" s="548"/>
      <c r="BW110" s="548"/>
      <c r="BX110" s="546"/>
      <c r="BY110" s="547"/>
      <c r="BZ110" s="548"/>
      <c r="CA110" s="560"/>
      <c r="CB110" s="549"/>
    </row>
    <row r="111" spans="1:80" outlineLevel="2">
      <c r="A111" s="515">
        <v>101</v>
      </c>
      <c r="B111" s="556" t="s">
        <v>555</v>
      </c>
      <c r="C111" s="545"/>
      <c r="D111" s="557" t="str">
        <f>D109</f>
        <v/>
      </c>
      <c r="E111" s="545"/>
      <c r="F111" s="545" t="s">
        <v>532</v>
      </c>
      <c r="G111" s="589">
        <v>3.41</v>
      </c>
      <c r="H111" s="591">
        <f>H112+H113</f>
        <v>3.75</v>
      </c>
      <c r="I111" s="591">
        <f t="shared" si="18"/>
        <v>0</v>
      </c>
      <c r="J111" s="589">
        <f t="shared" si="16"/>
        <v>0</v>
      </c>
      <c r="K111" s="590" t="str">
        <f t="shared" si="9"/>
        <v>C</v>
      </c>
      <c r="L111" s="547"/>
      <c r="M111" s="548"/>
      <c r="N111" s="548"/>
      <c r="O111" s="546"/>
      <c r="P111" s="547"/>
      <c r="Q111" s="548"/>
      <c r="R111" s="548"/>
      <c r="S111" s="546"/>
      <c r="T111" s="547"/>
      <c r="U111" s="548"/>
      <c r="V111" s="548"/>
      <c r="W111" s="548"/>
      <c r="X111" s="546"/>
      <c r="Y111" s="547"/>
      <c r="Z111" s="548"/>
      <c r="AA111" s="548"/>
      <c r="AB111" s="546"/>
      <c r="AC111" s="547"/>
      <c r="AD111" s="548"/>
      <c r="AE111" s="548"/>
      <c r="AF111" s="546"/>
      <c r="AG111" s="547"/>
      <c r="AH111" s="548"/>
      <c r="AI111" s="548"/>
      <c r="AJ111" s="546"/>
      <c r="AK111" s="547"/>
      <c r="AL111" s="548"/>
      <c r="AM111" s="548"/>
      <c r="AN111" s="548"/>
      <c r="AO111" s="546"/>
      <c r="AP111" s="547"/>
      <c r="AQ111" s="548"/>
      <c r="AR111" s="548"/>
      <c r="AS111" s="546"/>
      <c r="AT111" s="547"/>
      <c r="AU111" s="548"/>
      <c r="AV111" s="548"/>
      <c r="AW111" s="546"/>
      <c r="AX111" s="547"/>
      <c r="AY111" s="548"/>
      <c r="AZ111" s="548"/>
      <c r="BA111" s="548"/>
      <c r="BB111" s="546"/>
      <c r="BC111" s="547"/>
      <c r="BD111" s="548"/>
      <c r="BE111" s="548"/>
      <c r="BF111" s="546"/>
      <c r="BG111" s="547"/>
      <c r="BH111" s="548"/>
      <c r="BI111" s="548"/>
      <c r="BJ111" s="548"/>
      <c r="BK111" s="546"/>
      <c r="BL111" s="547"/>
      <c r="BM111" s="548"/>
      <c r="BN111" s="548"/>
      <c r="BO111" s="546"/>
      <c r="BP111" s="547"/>
      <c r="BQ111" s="548"/>
      <c r="BR111" s="548"/>
      <c r="BS111" s="546"/>
      <c r="BT111" s="547"/>
      <c r="BU111" s="548"/>
      <c r="BV111" s="548"/>
      <c r="BW111" s="548"/>
      <c r="BX111" s="546"/>
      <c r="BY111" s="547"/>
      <c r="BZ111" s="548"/>
      <c r="CA111" s="560"/>
      <c r="CB111" s="549"/>
    </row>
    <row r="112" spans="1:80" outlineLevel="2">
      <c r="A112" s="515">
        <v>102</v>
      </c>
      <c r="B112" s="556" t="s">
        <v>556</v>
      </c>
      <c r="C112" s="545"/>
      <c r="D112" s="557" t="str">
        <f>D110</f>
        <v/>
      </c>
      <c r="E112" s="545"/>
      <c r="F112" s="545" t="s">
        <v>532</v>
      </c>
      <c r="G112" s="589">
        <v>2.27</v>
      </c>
      <c r="H112" s="591">
        <v>2.5</v>
      </c>
      <c r="I112" s="591">
        <f t="shared" si="18"/>
        <v>0</v>
      </c>
      <c r="J112" s="589">
        <f t="shared" si="16"/>
        <v>0</v>
      </c>
      <c r="K112" s="590" t="str">
        <f t="shared" si="9"/>
        <v>C</v>
      </c>
      <c r="L112" s="547"/>
      <c r="M112" s="548"/>
      <c r="N112" s="548"/>
      <c r="O112" s="546"/>
      <c r="P112" s="547"/>
      <c r="Q112" s="548"/>
      <c r="R112" s="548"/>
      <c r="S112" s="546"/>
      <c r="T112" s="547"/>
      <c r="U112" s="548"/>
      <c r="V112" s="548"/>
      <c r="W112" s="548"/>
      <c r="X112" s="546"/>
      <c r="Y112" s="547"/>
      <c r="Z112" s="548"/>
      <c r="AA112" s="548"/>
      <c r="AB112" s="546"/>
      <c r="AC112" s="547"/>
      <c r="AD112" s="548"/>
      <c r="AE112" s="548"/>
      <c r="AF112" s="546"/>
      <c r="AG112" s="547"/>
      <c r="AH112" s="548"/>
      <c r="AI112" s="548"/>
      <c r="AJ112" s="546"/>
      <c r="AK112" s="547"/>
      <c r="AL112" s="548"/>
      <c r="AM112" s="548"/>
      <c r="AN112" s="548"/>
      <c r="AO112" s="546"/>
      <c r="AP112" s="547"/>
      <c r="AQ112" s="548"/>
      <c r="AR112" s="548"/>
      <c r="AS112" s="546"/>
      <c r="AT112" s="547"/>
      <c r="AU112" s="548"/>
      <c r="AV112" s="548"/>
      <c r="AW112" s="546"/>
      <c r="AX112" s="547"/>
      <c r="AY112" s="548"/>
      <c r="AZ112" s="548"/>
      <c r="BA112" s="548"/>
      <c r="BB112" s="546"/>
      <c r="BC112" s="547"/>
      <c r="BD112" s="548"/>
      <c r="BE112" s="548"/>
      <c r="BF112" s="546"/>
      <c r="BG112" s="547"/>
      <c r="BH112" s="548"/>
      <c r="BI112" s="548"/>
      <c r="BJ112" s="548"/>
      <c r="BK112" s="546"/>
      <c r="BL112" s="547"/>
      <c r="BM112" s="548"/>
      <c r="BN112" s="548"/>
      <c r="BO112" s="546"/>
      <c r="BP112" s="547"/>
      <c r="BQ112" s="548"/>
      <c r="BR112" s="548"/>
      <c r="BS112" s="546"/>
      <c r="BT112" s="547"/>
      <c r="BU112" s="548"/>
      <c r="BV112" s="548"/>
      <c r="BW112" s="548"/>
      <c r="BX112" s="546"/>
      <c r="BY112" s="547"/>
      <c r="BZ112" s="548"/>
      <c r="CA112" s="560"/>
      <c r="CB112" s="549"/>
    </row>
    <row r="113" spans="1:80" outlineLevel="2">
      <c r="A113" s="515">
        <v>103</v>
      </c>
      <c r="B113" s="556" t="s">
        <v>557</v>
      </c>
      <c r="C113" s="545"/>
      <c r="D113" s="557" t="str">
        <f>D112</f>
        <v/>
      </c>
      <c r="E113" s="545"/>
      <c r="F113" s="545" t="s">
        <v>532</v>
      </c>
      <c r="G113" s="589">
        <v>1.06</v>
      </c>
      <c r="H113" s="591">
        <v>1.25</v>
      </c>
      <c r="I113" s="591">
        <f t="shared" si="18"/>
        <v>0</v>
      </c>
      <c r="J113" s="589">
        <f t="shared" si="16"/>
        <v>0</v>
      </c>
      <c r="K113" s="590" t="str">
        <f t="shared" si="9"/>
        <v>C</v>
      </c>
      <c r="L113" s="547"/>
      <c r="M113" s="548"/>
      <c r="N113" s="548"/>
      <c r="O113" s="546"/>
      <c r="P113" s="547"/>
      <c r="Q113" s="548"/>
      <c r="R113" s="548"/>
      <c r="S113" s="546"/>
      <c r="T113" s="547"/>
      <c r="U113" s="548"/>
      <c r="V113" s="548"/>
      <c r="W113" s="548"/>
      <c r="X113" s="546"/>
      <c r="Y113" s="547"/>
      <c r="Z113" s="548"/>
      <c r="AA113" s="548"/>
      <c r="AB113" s="546"/>
      <c r="AC113" s="547"/>
      <c r="AD113" s="548"/>
      <c r="AE113" s="548"/>
      <c r="AF113" s="546"/>
      <c r="AG113" s="547"/>
      <c r="AH113" s="548"/>
      <c r="AI113" s="548"/>
      <c r="AJ113" s="546"/>
      <c r="AK113" s="547"/>
      <c r="AL113" s="548"/>
      <c r="AM113" s="548"/>
      <c r="AN113" s="548"/>
      <c r="AO113" s="546"/>
      <c r="AP113" s="547"/>
      <c r="AQ113" s="548"/>
      <c r="AR113" s="548"/>
      <c r="AS113" s="546"/>
      <c r="AT113" s="547"/>
      <c r="AU113" s="548"/>
      <c r="AV113" s="548"/>
      <c r="AW113" s="546"/>
      <c r="AX113" s="547"/>
      <c r="AY113" s="548"/>
      <c r="AZ113" s="548"/>
      <c r="BA113" s="548"/>
      <c r="BB113" s="546"/>
      <c r="BC113" s="547"/>
      <c r="BD113" s="548"/>
      <c r="BE113" s="548"/>
      <c r="BF113" s="546"/>
      <c r="BG113" s="547"/>
      <c r="BH113" s="548"/>
      <c r="BI113" s="548"/>
      <c r="BJ113" s="548"/>
      <c r="BK113" s="546"/>
      <c r="BL113" s="547"/>
      <c r="BM113" s="548"/>
      <c r="BN113" s="548"/>
      <c r="BO113" s="546"/>
      <c r="BP113" s="547"/>
      <c r="BQ113" s="548"/>
      <c r="BR113" s="548"/>
      <c r="BS113" s="546"/>
      <c r="BT113" s="547"/>
      <c r="BU113" s="548"/>
      <c r="BV113" s="548"/>
      <c r="BW113" s="548"/>
      <c r="BX113" s="546"/>
      <c r="BY113" s="547"/>
      <c r="BZ113" s="548"/>
      <c r="CA113" s="560"/>
      <c r="CB113" s="549"/>
    </row>
    <row r="114" spans="1:80" outlineLevel="2">
      <c r="A114" s="515">
        <v>104</v>
      </c>
      <c r="B114" s="556" t="s">
        <v>6</v>
      </c>
      <c r="C114" s="545"/>
      <c r="D114" s="557" t="str">
        <f>D113</f>
        <v/>
      </c>
      <c r="E114" s="545"/>
      <c r="F114" s="545" t="s">
        <v>532</v>
      </c>
      <c r="G114" s="589">
        <v>0.82</v>
      </c>
      <c r="H114" s="591">
        <v>1.1200000000000001</v>
      </c>
      <c r="I114" s="591">
        <f t="shared" si="18"/>
        <v>0</v>
      </c>
      <c r="J114" s="589">
        <f t="shared" si="16"/>
        <v>0</v>
      </c>
      <c r="K114" s="590" t="str">
        <f t="shared" si="9"/>
        <v>C</v>
      </c>
      <c r="L114" s="547"/>
      <c r="M114" s="548"/>
      <c r="N114" s="548"/>
      <c r="O114" s="546"/>
      <c r="P114" s="547"/>
      <c r="Q114" s="548"/>
      <c r="R114" s="548"/>
      <c r="S114" s="546"/>
      <c r="T114" s="547"/>
      <c r="U114" s="548"/>
      <c r="V114" s="548"/>
      <c r="W114" s="548"/>
      <c r="X114" s="546"/>
      <c r="Y114" s="547"/>
      <c r="Z114" s="548"/>
      <c r="AA114" s="548"/>
      <c r="AB114" s="546"/>
      <c r="AC114" s="547"/>
      <c r="AD114" s="548"/>
      <c r="AE114" s="548"/>
      <c r="AF114" s="546"/>
      <c r="AG114" s="547"/>
      <c r="AH114" s="548"/>
      <c r="AI114" s="548"/>
      <c r="AJ114" s="546"/>
      <c r="AK114" s="547"/>
      <c r="AL114" s="548"/>
      <c r="AM114" s="548"/>
      <c r="AN114" s="548"/>
      <c r="AO114" s="546"/>
      <c r="AP114" s="547"/>
      <c r="AQ114" s="548"/>
      <c r="AR114" s="548"/>
      <c r="AS114" s="546"/>
      <c r="AT114" s="547"/>
      <c r="AU114" s="548"/>
      <c r="AV114" s="548"/>
      <c r="AW114" s="546"/>
      <c r="AX114" s="547"/>
      <c r="AY114" s="548"/>
      <c r="AZ114" s="548"/>
      <c r="BA114" s="548"/>
      <c r="BB114" s="546"/>
      <c r="BC114" s="547"/>
      <c r="BD114" s="548"/>
      <c r="BE114" s="548"/>
      <c r="BF114" s="546"/>
      <c r="BG114" s="547"/>
      <c r="BH114" s="548"/>
      <c r="BI114" s="548"/>
      <c r="BJ114" s="548"/>
      <c r="BK114" s="546"/>
      <c r="BL114" s="547"/>
      <c r="BM114" s="548"/>
      <c r="BN114" s="548"/>
      <c r="BO114" s="546"/>
      <c r="BP114" s="547"/>
      <c r="BQ114" s="548"/>
      <c r="BR114" s="548"/>
      <c r="BS114" s="546"/>
      <c r="BT114" s="547"/>
      <c r="BU114" s="548"/>
      <c r="BV114" s="548"/>
      <c r="BW114" s="548"/>
      <c r="BX114" s="546"/>
      <c r="BY114" s="547"/>
      <c r="BZ114" s="548"/>
      <c r="CA114" s="560"/>
      <c r="CB114" s="549"/>
    </row>
    <row r="115" spans="1:80" outlineLevel="2">
      <c r="A115" s="515">
        <v>105</v>
      </c>
      <c r="B115" s="556" t="s">
        <v>8</v>
      </c>
      <c r="C115" s="545"/>
      <c r="D115" s="557" t="str">
        <f>D113</f>
        <v/>
      </c>
      <c r="E115" s="545"/>
      <c r="F115" s="545" t="s">
        <v>532</v>
      </c>
      <c r="G115" s="589">
        <v>0.36</v>
      </c>
      <c r="H115" s="591">
        <f>H116+H117</f>
        <v>0.60000000000000009</v>
      </c>
      <c r="I115" s="591">
        <f t="shared" si="18"/>
        <v>0</v>
      </c>
      <c r="J115" s="589">
        <f t="shared" si="16"/>
        <v>0</v>
      </c>
      <c r="K115" s="590" t="str">
        <f t="shared" si="9"/>
        <v>C</v>
      </c>
      <c r="L115" s="547"/>
      <c r="M115" s="548"/>
      <c r="N115" s="548"/>
      <c r="O115" s="546"/>
      <c r="P115" s="547"/>
      <c r="Q115" s="548"/>
      <c r="R115" s="548"/>
      <c r="S115" s="546"/>
      <c r="T115" s="547"/>
      <c r="U115" s="548"/>
      <c r="V115" s="548"/>
      <c r="W115" s="548"/>
      <c r="X115" s="546"/>
      <c r="Y115" s="547"/>
      <c r="Z115" s="548"/>
      <c r="AA115" s="548"/>
      <c r="AB115" s="546"/>
      <c r="AC115" s="547"/>
      <c r="AD115" s="548"/>
      <c r="AE115" s="548"/>
      <c r="AF115" s="546"/>
      <c r="AG115" s="547"/>
      <c r="AH115" s="548"/>
      <c r="AI115" s="548"/>
      <c r="AJ115" s="546"/>
      <c r="AK115" s="547"/>
      <c r="AL115" s="548"/>
      <c r="AM115" s="548"/>
      <c r="AN115" s="548"/>
      <c r="AO115" s="546"/>
      <c r="AP115" s="547"/>
      <c r="AQ115" s="548"/>
      <c r="AR115" s="548"/>
      <c r="AS115" s="546"/>
      <c r="AT115" s="547"/>
      <c r="AU115" s="548"/>
      <c r="AV115" s="548"/>
      <c r="AW115" s="546"/>
      <c r="AX115" s="547"/>
      <c r="AY115" s="548"/>
      <c r="AZ115" s="548"/>
      <c r="BA115" s="548"/>
      <c r="BB115" s="546"/>
      <c r="BC115" s="547"/>
      <c r="BD115" s="548"/>
      <c r="BE115" s="548"/>
      <c r="BF115" s="546"/>
      <c r="BG115" s="547"/>
      <c r="BH115" s="548"/>
      <c r="BI115" s="548"/>
      <c r="BJ115" s="548"/>
      <c r="BK115" s="546"/>
      <c r="BL115" s="547"/>
      <c r="BM115" s="548"/>
      <c r="BN115" s="548"/>
      <c r="BO115" s="546"/>
      <c r="BP115" s="547"/>
      <c r="BQ115" s="548"/>
      <c r="BR115" s="548"/>
      <c r="BS115" s="546"/>
      <c r="BT115" s="547"/>
      <c r="BU115" s="548"/>
      <c r="BV115" s="548"/>
      <c r="BW115" s="548"/>
      <c r="BX115" s="546"/>
      <c r="BY115" s="547"/>
      <c r="BZ115" s="548"/>
      <c r="CA115" s="560"/>
      <c r="CB115" s="549"/>
    </row>
    <row r="116" spans="1:80" outlineLevel="2">
      <c r="A116" s="515">
        <v>106</v>
      </c>
      <c r="B116" s="556" t="s">
        <v>9</v>
      </c>
      <c r="C116" s="545"/>
      <c r="D116" s="557" t="str">
        <f>D114</f>
        <v/>
      </c>
      <c r="E116" s="545"/>
      <c r="F116" s="545" t="s">
        <v>532</v>
      </c>
      <c r="G116" s="589">
        <v>0.28999999999999998</v>
      </c>
      <c r="H116" s="591">
        <v>0.4</v>
      </c>
      <c r="I116" s="591">
        <f t="shared" si="18"/>
        <v>0</v>
      </c>
      <c r="J116" s="589">
        <f t="shared" si="16"/>
        <v>0</v>
      </c>
      <c r="K116" s="590" t="str">
        <f t="shared" si="9"/>
        <v>C</v>
      </c>
      <c r="L116" s="547"/>
      <c r="M116" s="548"/>
      <c r="N116" s="548"/>
      <c r="O116" s="546"/>
      <c r="P116" s="547"/>
      <c r="Q116" s="548"/>
      <c r="R116" s="548"/>
      <c r="S116" s="546"/>
      <c r="T116" s="547"/>
      <c r="U116" s="548"/>
      <c r="V116" s="548"/>
      <c r="W116" s="548"/>
      <c r="X116" s="546"/>
      <c r="Y116" s="547"/>
      <c r="Z116" s="548"/>
      <c r="AA116" s="548"/>
      <c r="AB116" s="546"/>
      <c r="AC116" s="547"/>
      <c r="AD116" s="548"/>
      <c r="AE116" s="548"/>
      <c r="AF116" s="546"/>
      <c r="AG116" s="547"/>
      <c r="AH116" s="548"/>
      <c r="AI116" s="548"/>
      <c r="AJ116" s="546"/>
      <c r="AK116" s="547"/>
      <c r="AL116" s="548"/>
      <c r="AM116" s="548"/>
      <c r="AN116" s="548"/>
      <c r="AO116" s="546"/>
      <c r="AP116" s="547"/>
      <c r="AQ116" s="548"/>
      <c r="AR116" s="548"/>
      <c r="AS116" s="546"/>
      <c r="AT116" s="547"/>
      <c r="AU116" s="548"/>
      <c r="AV116" s="548"/>
      <c r="AW116" s="546"/>
      <c r="AX116" s="547"/>
      <c r="AY116" s="548"/>
      <c r="AZ116" s="548"/>
      <c r="BA116" s="548"/>
      <c r="BB116" s="546"/>
      <c r="BC116" s="547"/>
      <c r="BD116" s="548"/>
      <c r="BE116" s="548"/>
      <c r="BF116" s="546"/>
      <c r="BG116" s="547"/>
      <c r="BH116" s="548"/>
      <c r="BI116" s="548"/>
      <c r="BJ116" s="548"/>
      <c r="BK116" s="546"/>
      <c r="BL116" s="547"/>
      <c r="BM116" s="548"/>
      <c r="BN116" s="548"/>
      <c r="BO116" s="546"/>
      <c r="BP116" s="547"/>
      <c r="BQ116" s="548"/>
      <c r="BR116" s="548"/>
      <c r="BS116" s="546"/>
      <c r="BT116" s="547"/>
      <c r="BU116" s="548"/>
      <c r="BV116" s="548"/>
      <c r="BW116" s="548"/>
      <c r="BX116" s="546"/>
      <c r="BY116" s="547"/>
      <c r="BZ116" s="548"/>
      <c r="CA116" s="560"/>
      <c r="CB116" s="549"/>
    </row>
    <row r="117" spans="1:80" outlineLevel="2">
      <c r="A117" s="515">
        <v>107</v>
      </c>
      <c r="B117" s="556" t="s">
        <v>10</v>
      </c>
      <c r="C117" s="545"/>
      <c r="D117" s="557" t="str">
        <f t="shared" ref="D117:D125" si="19">D116</f>
        <v/>
      </c>
      <c r="E117" s="545"/>
      <c r="F117" s="545" t="s">
        <v>532</v>
      </c>
      <c r="G117" s="589">
        <v>0.12</v>
      </c>
      <c r="H117" s="591">
        <v>0.2</v>
      </c>
      <c r="I117" s="591">
        <f t="shared" si="18"/>
        <v>0</v>
      </c>
      <c r="J117" s="589">
        <f t="shared" si="16"/>
        <v>0</v>
      </c>
      <c r="K117" s="590" t="str">
        <f t="shared" si="9"/>
        <v>C</v>
      </c>
      <c r="L117" s="547"/>
      <c r="M117" s="548"/>
      <c r="N117" s="548"/>
      <c r="O117" s="546"/>
      <c r="P117" s="547"/>
      <c r="Q117" s="548"/>
      <c r="R117" s="548"/>
      <c r="S117" s="546"/>
      <c r="T117" s="547"/>
      <c r="U117" s="548"/>
      <c r="V117" s="548"/>
      <c r="W117" s="548"/>
      <c r="X117" s="546"/>
      <c r="Y117" s="547"/>
      <c r="Z117" s="548"/>
      <c r="AA117" s="548"/>
      <c r="AB117" s="546"/>
      <c r="AC117" s="547"/>
      <c r="AD117" s="548"/>
      <c r="AE117" s="548"/>
      <c r="AF117" s="546"/>
      <c r="AG117" s="547"/>
      <c r="AH117" s="548"/>
      <c r="AI117" s="548"/>
      <c r="AJ117" s="546"/>
      <c r="AK117" s="547"/>
      <c r="AL117" s="548"/>
      <c r="AM117" s="548"/>
      <c r="AN117" s="548"/>
      <c r="AO117" s="546"/>
      <c r="AP117" s="547"/>
      <c r="AQ117" s="548"/>
      <c r="AR117" s="548"/>
      <c r="AS117" s="546"/>
      <c r="AT117" s="547"/>
      <c r="AU117" s="548"/>
      <c r="AV117" s="548"/>
      <c r="AW117" s="546"/>
      <c r="AX117" s="547"/>
      <c r="AY117" s="548"/>
      <c r="AZ117" s="548"/>
      <c r="BA117" s="548"/>
      <c r="BB117" s="546"/>
      <c r="BC117" s="547"/>
      <c r="BD117" s="548"/>
      <c r="BE117" s="548"/>
      <c r="BF117" s="546"/>
      <c r="BG117" s="547"/>
      <c r="BH117" s="548"/>
      <c r="BI117" s="548"/>
      <c r="BJ117" s="548"/>
      <c r="BK117" s="546"/>
      <c r="BL117" s="547"/>
      <c r="BM117" s="548"/>
      <c r="BN117" s="548"/>
      <c r="BO117" s="546"/>
      <c r="BP117" s="547"/>
      <c r="BQ117" s="548"/>
      <c r="BR117" s="548"/>
      <c r="BS117" s="546"/>
      <c r="BT117" s="547"/>
      <c r="BU117" s="548"/>
      <c r="BV117" s="548"/>
      <c r="BW117" s="548"/>
      <c r="BX117" s="546"/>
      <c r="BY117" s="547"/>
      <c r="BZ117" s="548"/>
      <c r="CA117" s="560"/>
      <c r="CB117" s="549"/>
    </row>
    <row r="118" spans="1:80" outlineLevel="2">
      <c r="A118" s="515">
        <v>108</v>
      </c>
      <c r="B118" s="556" t="s">
        <v>558</v>
      </c>
      <c r="C118" s="545"/>
      <c r="D118" s="557" t="str">
        <f t="shared" si="19"/>
        <v/>
      </c>
      <c r="E118" s="545"/>
      <c r="F118" s="545" t="s">
        <v>532</v>
      </c>
      <c r="G118" s="589">
        <v>0.37</v>
      </c>
      <c r="H118" s="591"/>
      <c r="I118" s="591"/>
      <c r="J118" s="589">
        <f t="shared" si="16"/>
        <v>0</v>
      </c>
      <c r="K118" s="590" t="str">
        <f t="shared" si="9"/>
        <v>C</v>
      </c>
      <c r="L118" s="547"/>
      <c r="M118" s="548"/>
      <c r="N118" s="548"/>
      <c r="O118" s="546"/>
      <c r="P118" s="547"/>
      <c r="Q118" s="548"/>
      <c r="R118" s="548"/>
      <c r="S118" s="546"/>
      <c r="T118" s="547"/>
      <c r="U118" s="548"/>
      <c r="V118" s="548"/>
      <c r="W118" s="548"/>
      <c r="X118" s="546"/>
      <c r="Y118" s="547"/>
      <c r="Z118" s="548"/>
      <c r="AA118" s="548"/>
      <c r="AB118" s="546"/>
      <c r="AC118" s="547"/>
      <c r="AD118" s="548"/>
      <c r="AE118" s="548"/>
      <c r="AF118" s="546"/>
      <c r="AG118" s="547"/>
      <c r="AH118" s="548"/>
      <c r="AI118" s="548"/>
      <c r="AJ118" s="546"/>
      <c r="AK118" s="547"/>
      <c r="AL118" s="548"/>
      <c r="AM118" s="548"/>
      <c r="AN118" s="548"/>
      <c r="AO118" s="546"/>
      <c r="AP118" s="547"/>
      <c r="AQ118" s="548"/>
      <c r="AR118" s="548"/>
      <c r="AS118" s="546"/>
      <c r="AT118" s="547"/>
      <c r="AU118" s="548"/>
      <c r="AV118" s="548"/>
      <c r="AW118" s="546"/>
      <c r="AX118" s="547"/>
      <c r="AY118" s="548"/>
      <c r="AZ118" s="548"/>
      <c r="BA118" s="548"/>
      <c r="BB118" s="546"/>
      <c r="BC118" s="547"/>
      <c r="BD118" s="548"/>
      <c r="BE118" s="548"/>
      <c r="BF118" s="546"/>
      <c r="BG118" s="547"/>
      <c r="BH118" s="548"/>
      <c r="BI118" s="548"/>
      <c r="BJ118" s="548"/>
      <c r="BK118" s="546"/>
      <c r="BL118" s="547"/>
      <c r="BM118" s="548"/>
      <c r="BN118" s="548"/>
      <c r="BO118" s="546"/>
      <c r="BP118" s="547"/>
      <c r="BQ118" s="548"/>
      <c r="BR118" s="548"/>
      <c r="BS118" s="546"/>
      <c r="BT118" s="547"/>
      <c r="BU118" s="548"/>
      <c r="BV118" s="548"/>
      <c r="BW118" s="548"/>
      <c r="BX118" s="546"/>
      <c r="BY118" s="547"/>
      <c r="BZ118" s="548"/>
      <c r="CA118" s="560"/>
      <c r="CB118" s="549"/>
    </row>
    <row r="119" spans="1:80" outlineLevel="2">
      <c r="A119" s="515">
        <v>109</v>
      </c>
      <c r="B119" s="556" t="s">
        <v>559</v>
      </c>
      <c r="C119" s="545"/>
      <c r="D119" s="557" t="str">
        <f t="shared" si="19"/>
        <v/>
      </c>
      <c r="E119" s="545"/>
      <c r="F119" s="545" t="s">
        <v>532</v>
      </c>
      <c r="G119" s="589">
        <v>0.6</v>
      </c>
      <c r="H119" s="591"/>
      <c r="I119" s="591"/>
      <c r="J119" s="589">
        <f t="shared" si="16"/>
        <v>0</v>
      </c>
      <c r="K119" s="590" t="str">
        <f t="shared" si="9"/>
        <v>C</v>
      </c>
      <c r="L119" s="547"/>
      <c r="M119" s="548"/>
      <c r="N119" s="548"/>
      <c r="O119" s="546"/>
      <c r="P119" s="547"/>
      <c r="Q119" s="548"/>
      <c r="R119" s="548"/>
      <c r="S119" s="546"/>
      <c r="T119" s="547"/>
      <c r="U119" s="548"/>
      <c r="V119" s="548"/>
      <c r="W119" s="548"/>
      <c r="X119" s="546"/>
      <c r="Y119" s="547"/>
      <c r="Z119" s="548"/>
      <c r="AA119" s="548"/>
      <c r="AB119" s="546"/>
      <c r="AC119" s="547"/>
      <c r="AD119" s="548"/>
      <c r="AE119" s="548"/>
      <c r="AF119" s="546"/>
      <c r="AG119" s="547"/>
      <c r="AH119" s="548"/>
      <c r="AI119" s="548"/>
      <c r="AJ119" s="546"/>
      <c r="AK119" s="547"/>
      <c r="AL119" s="548"/>
      <c r="AM119" s="548"/>
      <c r="AN119" s="548"/>
      <c r="AO119" s="546"/>
      <c r="AP119" s="547"/>
      <c r="AQ119" s="548"/>
      <c r="AR119" s="548"/>
      <c r="AS119" s="546"/>
      <c r="AT119" s="547"/>
      <c r="AU119" s="548"/>
      <c r="AV119" s="548"/>
      <c r="AW119" s="546"/>
      <c r="AX119" s="547"/>
      <c r="AY119" s="548"/>
      <c r="AZ119" s="548"/>
      <c r="BA119" s="548"/>
      <c r="BB119" s="546"/>
      <c r="BC119" s="547"/>
      <c r="BD119" s="548"/>
      <c r="BE119" s="548"/>
      <c r="BF119" s="546"/>
      <c r="BG119" s="547"/>
      <c r="BH119" s="548"/>
      <c r="BI119" s="548"/>
      <c r="BJ119" s="548"/>
      <c r="BK119" s="546"/>
      <c r="BL119" s="547"/>
      <c r="BM119" s="548"/>
      <c r="BN119" s="548"/>
      <c r="BO119" s="546"/>
      <c r="BP119" s="547"/>
      <c r="BQ119" s="548"/>
      <c r="BR119" s="548"/>
      <c r="BS119" s="546"/>
      <c r="BT119" s="547"/>
      <c r="BU119" s="548"/>
      <c r="BV119" s="548"/>
      <c r="BW119" s="548"/>
      <c r="BX119" s="546"/>
      <c r="BY119" s="547"/>
      <c r="BZ119" s="548"/>
      <c r="CA119" s="560"/>
      <c r="CB119" s="549"/>
    </row>
    <row r="120" spans="1:80" outlineLevel="2">
      <c r="A120" s="515">
        <v>110</v>
      </c>
      <c r="B120" s="556" t="s">
        <v>560</v>
      </c>
      <c r="C120" s="545"/>
      <c r="D120" s="557" t="str">
        <f t="shared" si="19"/>
        <v/>
      </c>
      <c r="E120" s="545"/>
      <c r="F120" s="545" t="s">
        <v>532</v>
      </c>
      <c r="G120" s="589">
        <v>0.62</v>
      </c>
      <c r="H120" s="591"/>
      <c r="I120" s="591"/>
      <c r="J120" s="589">
        <f t="shared" si="16"/>
        <v>0</v>
      </c>
      <c r="K120" s="590" t="str">
        <f t="shared" si="9"/>
        <v>C</v>
      </c>
      <c r="L120" s="547"/>
      <c r="M120" s="548"/>
      <c r="N120" s="548"/>
      <c r="O120" s="546"/>
      <c r="P120" s="547"/>
      <c r="Q120" s="548"/>
      <c r="R120" s="548"/>
      <c r="S120" s="546"/>
      <c r="T120" s="547"/>
      <c r="U120" s="548"/>
      <c r="V120" s="548"/>
      <c r="W120" s="548"/>
      <c r="X120" s="546"/>
      <c r="Y120" s="547"/>
      <c r="Z120" s="548"/>
      <c r="AA120" s="548"/>
      <c r="AB120" s="546"/>
      <c r="AC120" s="547"/>
      <c r="AD120" s="548"/>
      <c r="AE120" s="548"/>
      <c r="AF120" s="546"/>
      <c r="AG120" s="547"/>
      <c r="AH120" s="548"/>
      <c r="AI120" s="548"/>
      <c r="AJ120" s="546"/>
      <c r="AK120" s="547"/>
      <c r="AL120" s="548"/>
      <c r="AM120" s="548"/>
      <c r="AN120" s="548"/>
      <c r="AO120" s="546"/>
      <c r="AP120" s="547"/>
      <c r="AQ120" s="548"/>
      <c r="AR120" s="548"/>
      <c r="AS120" s="546"/>
      <c r="AT120" s="547"/>
      <c r="AU120" s="548"/>
      <c r="AV120" s="548"/>
      <c r="AW120" s="546"/>
      <c r="AX120" s="547"/>
      <c r="AY120" s="548"/>
      <c r="AZ120" s="548"/>
      <c r="BA120" s="548"/>
      <c r="BB120" s="546"/>
      <c r="BC120" s="547"/>
      <c r="BD120" s="548"/>
      <c r="BE120" s="548"/>
      <c r="BF120" s="546"/>
      <c r="BG120" s="547"/>
      <c r="BH120" s="548"/>
      <c r="BI120" s="548"/>
      <c r="BJ120" s="548"/>
      <c r="BK120" s="546"/>
      <c r="BL120" s="547"/>
      <c r="BM120" s="548"/>
      <c r="BN120" s="548"/>
      <c r="BO120" s="546"/>
      <c r="BP120" s="547"/>
      <c r="BQ120" s="548"/>
      <c r="BR120" s="548"/>
      <c r="BS120" s="546"/>
      <c r="BT120" s="547"/>
      <c r="BU120" s="548"/>
      <c r="BV120" s="548"/>
      <c r="BW120" s="548"/>
      <c r="BX120" s="546"/>
      <c r="BY120" s="547"/>
      <c r="BZ120" s="548"/>
      <c r="CA120" s="560"/>
      <c r="CB120" s="549"/>
    </row>
    <row r="121" spans="1:80" outlineLevel="2">
      <c r="A121" s="515">
        <v>111</v>
      </c>
      <c r="B121" s="556" t="s">
        <v>561</v>
      </c>
      <c r="C121" s="545"/>
      <c r="D121" s="557" t="str">
        <f t="shared" si="19"/>
        <v/>
      </c>
      <c r="E121" s="545"/>
      <c r="F121" s="545" t="s">
        <v>532</v>
      </c>
      <c r="G121" s="589">
        <v>0.37</v>
      </c>
      <c r="H121" s="591"/>
      <c r="I121" s="591"/>
      <c r="J121" s="589">
        <f t="shared" si="16"/>
        <v>0</v>
      </c>
      <c r="K121" s="590" t="str">
        <f t="shared" si="9"/>
        <v>C</v>
      </c>
      <c r="L121" s="547"/>
      <c r="M121" s="548"/>
      <c r="N121" s="548"/>
      <c r="O121" s="546"/>
      <c r="P121" s="547"/>
      <c r="Q121" s="548"/>
      <c r="R121" s="548"/>
      <c r="S121" s="546"/>
      <c r="T121" s="547"/>
      <c r="U121" s="548"/>
      <c r="V121" s="548"/>
      <c r="W121" s="548"/>
      <c r="X121" s="546"/>
      <c r="Y121" s="547"/>
      <c r="Z121" s="548"/>
      <c r="AA121" s="548"/>
      <c r="AB121" s="546"/>
      <c r="AC121" s="547"/>
      <c r="AD121" s="548"/>
      <c r="AE121" s="548"/>
      <c r="AF121" s="546"/>
      <c r="AG121" s="547"/>
      <c r="AH121" s="548"/>
      <c r="AI121" s="548"/>
      <c r="AJ121" s="546"/>
      <c r="AK121" s="547"/>
      <c r="AL121" s="548"/>
      <c r="AM121" s="548"/>
      <c r="AN121" s="548"/>
      <c r="AO121" s="546"/>
      <c r="AP121" s="547"/>
      <c r="AQ121" s="548"/>
      <c r="AR121" s="548"/>
      <c r="AS121" s="546"/>
      <c r="AT121" s="547"/>
      <c r="AU121" s="548"/>
      <c r="AV121" s="548"/>
      <c r="AW121" s="546"/>
      <c r="AX121" s="547"/>
      <c r="AY121" s="548"/>
      <c r="AZ121" s="548"/>
      <c r="BA121" s="548"/>
      <c r="BB121" s="546"/>
      <c r="BC121" s="547"/>
      <c r="BD121" s="548"/>
      <c r="BE121" s="548"/>
      <c r="BF121" s="546"/>
      <c r="BG121" s="547"/>
      <c r="BH121" s="548"/>
      <c r="BI121" s="548"/>
      <c r="BJ121" s="548"/>
      <c r="BK121" s="546"/>
      <c r="BL121" s="547"/>
      <c r="BM121" s="548"/>
      <c r="BN121" s="548"/>
      <c r="BO121" s="546"/>
      <c r="BP121" s="547"/>
      <c r="BQ121" s="548"/>
      <c r="BR121" s="548"/>
      <c r="BS121" s="546"/>
      <c r="BT121" s="547"/>
      <c r="BU121" s="548"/>
      <c r="BV121" s="548"/>
      <c r="BW121" s="548"/>
      <c r="BX121" s="546"/>
      <c r="BY121" s="547"/>
      <c r="BZ121" s="548"/>
      <c r="CA121" s="560"/>
      <c r="CB121" s="549"/>
    </row>
    <row r="122" spans="1:80" outlineLevel="2">
      <c r="A122" s="515">
        <v>112</v>
      </c>
      <c r="B122" s="556" t="s">
        <v>562</v>
      </c>
      <c r="C122" s="545"/>
      <c r="D122" s="557" t="str">
        <f t="shared" si="19"/>
        <v/>
      </c>
      <c r="E122" s="545"/>
      <c r="F122" s="545" t="s">
        <v>532</v>
      </c>
      <c r="G122" s="589">
        <v>0.5</v>
      </c>
      <c r="H122" s="591"/>
      <c r="I122" s="591"/>
      <c r="J122" s="589">
        <f t="shared" si="16"/>
        <v>0</v>
      </c>
      <c r="K122" s="590" t="str">
        <f t="shared" si="9"/>
        <v>C</v>
      </c>
      <c r="L122" s="547"/>
      <c r="M122" s="548"/>
      <c r="N122" s="548"/>
      <c r="O122" s="546"/>
      <c r="P122" s="547"/>
      <c r="Q122" s="548"/>
      <c r="R122" s="548"/>
      <c r="S122" s="546"/>
      <c r="T122" s="547"/>
      <c r="U122" s="548"/>
      <c r="V122" s="548"/>
      <c r="W122" s="548"/>
      <c r="X122" s="546"/>
      <c r="Y122" s="547"/>
      <c r="Z122" s="548"/>
      <c r="AA122" s="548"/>
      <c r="AB122" s="546"/>
      <c r="AC122" s="547"/>
      <c r="AD122" s="548"/>
      <c r="AE122" s="548"/>
      <c r="AF122" s="546"/>
      <c r="AG122" s="547"/>
      <c r="AH122" s="548"/>
      <c r="AI122" s="548"/>
      <c r="AJ122" s="546"/>
      <c r="AK122" s="547"/>
      <c r="AL122" s="548"/>
      <c r="AM122" s="548"/>
      <c r="AN122" s="548"/>
      <c r="AO122" s="546"/>
      <c r="AP122" s="547"/>
      <c r="AQ122" s="548"/>
      <c r="AR122" s="548"/>
      <c r="AS122" s="546"/>
      <c r="AT122" s="547"/>
      <c r="AU122" s="548"/>
      <c r="AV122" s="548"/>
      <c r="AW122" s="546"/>
      <c r="AX122" s="547"/>
      <c r="AY122" s="548"/>
      <c r="AZ122" s="548"/>
      <c r="BA122" s="548"/>
      <c r="BB122" s="546"/>
      <c r="BC122" s="547"/>
      <c r="BD122" s="548"/>
      <c r="BE122" s="548"/>
      <c r="BF122" s="546"/>
      <c r="BG122" s="547"/>
      <c r="BH122" s="548"/>
      <c r="BI122" s="548"/>
      <c r="BJ122" s="548"/>
      <c r="BK122" s="546"/>
      <c r="BL122" s="547"/>
      <c r="BM122" s="548"/>
      <c r="BN122" s="548"/>
      <c r="BO122" s="546"/>
      <c r="BP122" s="547"/>
      <c r="BQ122" s="548"/>
      <c r="BR122" s="548"/>
      <c r="BS122" s="546"/>
      <c r="BT122" s="547"/>
      <c r="BU122" s="548"/>
      <c r="BV122" s="548"/>
      <c r="BW122" s="548"/>
      <c r="BX122" s="546"/>
      <c r="BY122" s="547"/>
      <c r="BZ122" s="548"/>
      <c r="CA122" s="560"/>
      <c r="CB122" s="549"/>
    </row>
    <row r="123" spans="1:80" outlineLevel="2">
      <c r="A123" s="515">
        <v>113</v>
      </c>
      <c r="B123" s="556" t="s">
        <v>563</v>
      </c>
      <c r="C123" s="545"/>
      <c r="D123" s="557" t="str">
        <f t="shared" si="19"/>
        <v/>
      </c>
      <c r="E123" s="545"/>
      <c r="F123" s="545" t="s">
        <v>532</v>
      </c>
      <c r="G123" s="589">
        <v>0.62</v>
      </c>
      <c r="H123" s="591"/>
      <c r="I123" s="591"/>
      <c r="J123" s="589">
        <f t="shared" si="16"/>
        <v>0</v>
      </c>
      <c r="K123" s="590" t="str">
        <f t="shared" si="9"/>
        <v>C</v>
      </c>
      <c r="L123" s="547"/>
      <c r="M123" s="548"/>
      <c r="N123" s="548"/>
      <c r="O123" s="546"/>
      <c r="P123" s="547"/>
      <c r="Q123" s="548"/>
      <c r="R123" s="548"/>
      <c r="S123" s="546"/>
      <c r="T123" s="547"/>
      <c r="U123" s="548"/>
      <c r="V123" s="548"/>
      <c r="W123" s="548"/>
      <c r="X123" s="546"/>
      <c r="Y123" s="547"/>
      <c r="Z123" s="548"/>
      <c r="AA123" s="548"/>
      <c r="AB123" s="546"/>
      <c r="AC123" s="547"/>
      <c r="AD123" s="548"/>
      <c r="AE123" s="548"/>
      <c r="AF123" s="546"/>
      <c r="AG123" s="547"/>
      <c r="AH123" s="548"/>
      <c r="AI123" s="548"/>
      <c r="AJ123" s="546"/>
      <c r="AK123" s="547"/>
      <c r="AL123" s="548"/>
      <c r="AM123" s="548"/>
      <c r="AN123" s="548"/>
      <c r="AO123" s="546"/>
      <c r="AP123" s="547"/>
      <c r="AQ123" s="548"/>
      <c r="AR123" s="548"/>
      <c r="AS123" s="546"/>
      <c r="AT123" s="547"/>
      <c r="AU123" s="548"/>
      <c r="AV123" s="548"/>
      <c r="AW123" s="546"/>
      <c r="AX123" s="547"/>
      <c r="AY123" s="548"/>
      <c r="AZ123" s="548"/>
      <c r="BA123" s="548"/>
      <c r="BB123" s="546"/>
      <c r="BC123" s="547"/>
      <c r="BD123" s="548"/>
      <c r="BE123" s="548"/>
      <c r="BF123" s="546"/>
      <c r="BG123" s="547"/>
      <c r="BH123" s="548"/>
      <c r="BI123" s="548"/>
      <c r="BJ123" s="548"/>
      <c r="BK123" s="546"/>
      <c r="BL123" s="547"/>
      <c r="BM123" s="548"/>
      <c r="BN123" s="548"/>
      <c r="BO123" s="546"/>
      <c r="BP123" s="547"/>
      <c r="BQ123" s="548"/>
      <c r="BR123" s="548"/>
      <c r="BS123" s="546"/>
      <c r="BT123" s="547"/>
      <c r="BU123" s="548"/>
      <c r="BV123" s="548"/>
      <c r="BW123" s="548"/>
      <c r="BX123" s="546"/>
      <c r="BY123" s="547"/>
      <c r="BZ123" s="548"/>
      <c r="CA123" s="560"/>
      <c r="CB123" s="549"/>
    </row>
    <row r="124" spans="1:80" outlineLevel="2">
      <c r="A124" s="515">
        <v>114</v>
      </c>
      <c r="B124" s="556" t="s">
        <v>14</v>
      </c>
      <c r="C124" s="545"/>
      <c r="D124" s="557" t="str">
        <f t="shared" si="19"/>
        <v/>
      </c>
      <c r="E124" s="545"/>
      <c r="F124" s="545" t="s">
        <v>532</v>
      </c>
      <c r="G124" s="589">
        <v>0.56999999999999995</v>
      </c>
      <c r="H124" s="591"/>
      <c r="I124" s="591"/>
      <c r="J124" s="589">
        <f t="shared" si="16"/>
        <v>0</v>
      </c>
      <c r="K124" s="590" t="str">
        <f t="shared" si="9"/>
        <v>C</v>
      </c>
      <c r="L124" s="547"/>
      <c r="M124" s="548"/>
      <c r="N124" s="548"/>
      <c r="O124" s="546"/>
      <c r="P124" s="547"/>
      <c r="Q124" s="548"/>
      <c r="R124" s="548"/>
      <c r="S124" s="546"/>
      <c r="T124" s="547"/>
      <c r="U124" s="548"/>
      <c r="V124" s="548"/>
      <c r="W124" s="548"/>
      <c r="X124" s="546"/>
      <c r="Y124" s="547"/>
      <c r="Z124" s="548"/>
      <c r="AA124" s="548"/>
      <c r="AB124" s="546"/>
      <c r="AC124" s="547"/>
      <c r="AD124" s="548"/>
      <c r="AE124" s="548"/>
      <c r="AF124" s="546"/>
      <c r="AG124" s="547"/>
      <c r="AH124" s="548"/>
      <c r="AI124" s="548"/>
      <c r="AJ124" s="546"/>
      <c r="AK124" s="547"/>
      <c r="AL124" s="548"/>
      <c r="AM124" s="548"/>
      <c r="AN124" s="548"/>
      <c r="AO124" s="546"/>
      <c r="AP124" s="547"/>
      <c r="AQ124" s="548"/>
      <c r="AR124" s="548"/>
      <c r="AS124" s="546"/>
      <c r="AT124" s="547"/>
      <c r="AU124" s="548"/>
      <c r="AV124" s="548"/>
      <c r="AW124" s="546"/>
      <c r="AX124" s="547"/>
      <c r="AY124" s="548"/>
      <c r="AZ124" s="548"/>
      <c r="BA124" s="548"/>
      <c r="BB124" s="546"/>
      <c r="BC124" s="547"/>
      <c r="BD124" s="548"/>
      <c r="BE124" s="548"/>
      <c r="BF124" s="546"/>
      <c r="BG124" s="547"/>
      <c r="BH124" s="548"/>
      <c r="BI124" s="548"/>
      <c r="BJ124" s="548"/>
      <c r="BK124" s="546"/>
      <c r="BL124" s="547"/>
      <c r="BM124" s="548"/>
      <c r="BN124" s="548"/>
      <c r="BO124" s="546"/>
      <c r="BP124" s="547"/>
      <c r="BQ124" s="548"/>
      <c r="BR124" s="548"/>
      <c r="BS124" s="546"/>
      <c r="BT124" s="547"/>
      <c r="BU124" s="548"/>
      <c r="BV124" s="548"/>
      <c r="BW124" s="548"/>
      <c r="BX124" s="546"/>
      <c r="BY124" s="547"/>
      <c r="BZ124" s="548"/>
      <c r="CA124" s="560"/>
      <c r="CB124" s="549"/>
    </row>
    <row r="125" spans="1:80" outlineLevel="2">
      <c r="A125" s="515">
        <v>115</v>
      </c>
      <c r="B125" s="556" t="s">
        <v>564</v>
      </c>
      <c r="C125" s="545"/>
      <c r="D125" s="557" t="str">
        <f t="shared" si="19"/>
        <v/>
      </c>
      <c r="E125" s="545"/>
      <c r="F125" s="545" t="s">
        <v>532</v>
      </c>
      <c r="G125" s="589">
        <v>0.8</v>
      </c>
      <c r="H125" s="591"/>
      <c r="I125" s="591"/>
      <c r="J125" s="589">
        <f t="shared" si="16"/>
        <v>0</v>
      </c>
      <c r="K125" s="590" t="str">
        <f t="shared" si="9"/>
        <v>C</v>
      </c>
      <c r="L125" s="547"/>
      <c r="M125" s="548"/>
      <c r="N125" s="548"/>
      <c r="O125" s="546"/>
      <c r="P125" s="547"/>
      <c r="Q125" s="548"/>
      <c r="R125" s="548"/>
      <c r="S125" s="546"/>
      <c r="T125" s="547"/>
      <c r="U125" s="548"/>
      <c r="V125" s="548"/>
      <c r="W125" s="548"/>
      <c r="X125" s="546"/>
      <c r="Y125" s="547"/>
      <c r="Z125" s="548"/>
      <c r="AA125" s="548"/>
      <c r="AB125" s="546"/>
      <c r="AC125" s="547"/>
      <c r="AD125" s="548"/>
      <c r="AE125" s="548"/>
      <c r="AF125" s="546"/>
      <c r="AG125" s="547"/>
      <c r="AH125" s="548"/>
      <c r="AI125" s="548"/>
      <c r="AJ125" s="546"/>
      <c r="AK125" s="547"/>
      <c r="AL125" s="548"/>
      <c r="AM125" s="548"/>
      <c r="AN125" s="548"/>
      <c r="AO125" s="546"/>
      <c r="AP125" s="547"/>
      <c r="AQ125" s="548"/>
      <c r="AR125" s="548"/>
      <c r="AS125" s="546"/>
      <c r="AT125" s="547"/>
      <c r="AU125" s="548"/>
      <c r="AV125" s="548"/>
      <c r="AW125" s="546"/>
      <c r="AX125" s="547"/>
      <c r="AY125" s="548"/>
      <c r="AZ125" s="548"/>
      <c r="BA125" s="548"/>
      <c r="BB125" s="546"/>
      <c r="BC125" s="547"/>
      <c r="BD125" s="548"/>
      <c r="BE125" s="548"/>
      <c r="BF125" s="546"/>
      <c r="BG125" s="547"/>
      <c r="BH125" s="548"/>
      <c r="BI125" s="548"/>
      <c r="BJ125" s="548"/>
      <c r="BK125" s="546"/>
      <c r="BL125" s="547"/>
      <c r="BM125" s="548"/>
      <c r="BN125" s="548"/>
      <c r="BO125" s="546"/>
      <c r="BP125" s="547"/>
      <c r="BQ125" s="548"/>
      <c r="BR125" s="548"/>
      <c r="BS125" s="546"/>
      <c r="BT125" s="547"/>
      <c r="BU125" s="548"/>
      <c r="BV125" s="548"/>
      <c r="BW125" s="548"/>
      <c r="BX125" s="546"/>
      <c r="BY125" s="547"/>
      <c r="BZ125" s="548"/>
      <c r="CA125" s="560"/>
      <c r="CB125" s="549"/>
    </row>
    <row r="126" spans="1:80" outlineLevel="1">
      <c r="A126" s="515">
        <v>116</v>
      </c>
      <c r="B126" s="556" t="s">
        <v>11</v>
      </c>
      <c r="C126" s="545"/>
      <c r="D126" s="557" t="s">
        <v>622</v>
      </c>
      <c r="E126" s="545"/>
      <c r="F126" s="545" t="s">
        <v>532</v>
      </c>
      <c r="G126" s="589">
        <v>110</v>
      </c>
      <c r="H126" s="589"/>
      <c r="I126" s="558"/>
      <c r="J126" s="589">
        <f t="shared" si="16"/>
        <v>0</v>
      </c>
      <c r="K126" s="590" t="str">
        <f t="shared" si="9"/>
        <v>C</v>
      </c>
      <c r="L126" s="547"/>
      <c r="M126" s="548"/>
      <c r="N126" s="548"/>
      <c r="O126" s="546"/>
      <c r="P126" s="547"/>
      <c r="Q126" s="548"/>
      <c r="R126" s="548"/>
      <c r="S126" s="546"/>
      <c r="T126" s="547"/>
      <c r="U126" s="548"/>
      <c r="V126" s="548"/>
      <c r="W126" s="548"/>
      <c r="X126" s="546"/>
      <c r="Y126" s="547"/>
      <c r="Z126" s="548"/>
      <c r="AA126" s="548"/>
      <c r="AB126" s="546"/>
      <c r="AC126" s="547"/>
      <c r="AD126" s="548"/>
      <c r="AE126" s="548"/>
      <c r="AF126" s="546"/>
      <c r="AG126" s="547"/>
      <c r="AH126" s="548"/>
      <c r="AI126" s="548"/>
      <c r="AJ126" s="546"/>
      <c r="AK126" s="547"/>
      <c r="AL126" s="548"/>
      <c r="AM126" s="548"/>
      <c r="AN126" s="548"/>
      <c r="AO126" s="546"/>
      <c r="AP126" s="547"/>
      <c r="AQ126" s="548"/>
      <c r="AR126" s="548"/>
      <c r="AS126" s="546"/>
      <c r="AT126" s="547"/>
      <c r="AU126" s="548"/>
      <c r="AV126" s="548"/>
      <c r="AW126" s="546"/>
      <c r="AX126" s="547"/>
      <c r="AY126" s="548"/>
      <c r="AZ126" s="548"/>
      <c r="BA126" s="548"/>
      <c r="BB126" s="546"/>
      <c r="BC126" s="547"/>
      <c r="BD126" s="548"/>
      <c r="BE126" s="548"/>
      <c r="BF126" s="546"/>
      <c r="BG126" s="547"/>
      <c r="BH126" s="548"/>
      <c r="BI126" s="548"/>
      <c r="BJ126" s="548"/>
      <c r="BK126" s="546"/>
      <c r="BL126" s="547"/>
      <c r="BM126" s="548"/>
      <c r="BN126" s="548"/>
      <c r="BO126" s="546"/>
      <c r="BP126" s="547"/>
      <c r="BQ126" s="548"/>
      <c r="BR126" s="548"/>
      <c r="BS126" s="546"/>
      <c r="BT126" s="547"/>
      <c r="BU126" s="548"/>
      <c r="BV126" s="548"/>
      <c r="BW126" s="548"/>
      <c r="BX126" s="546"/>
      <c r="BY126" s="547"/>
      <c r="BZ126" s="548"/>
      <c r="CA126" s="560"/>
      <c r="CB126" s="549"/>
    </row>
    <row r="127" spans="1:80" outlineLevel="1">
      <c r="A127" s="515">
        <v>117</v>
      </c>
      <c r="B127" s="556" t="s">
        <v>12</v>
      </c>
      <c r="C127" s="545"/>
      <c r="D127" s="557" t="s">
        <v>622</v>
      </c>
      <c r="E127" s="545"/>
      <c r="F127" s="545" t="s">
        <v>532</v>
      </c>
      <c r="G127" s="589">
        <v>40</v>
      </c>
      <c r="H127" s="589"/>
      <c r="I127" s="558"/>
      <c r="J127" s="589">
        <f t="shared" si="16"/>
        <v>0</v>
      </c>
      <c r="K127" s="590" t="str">
        <f t="shared" si="9"/>
        <v>C</v>
      </c>
      <c r="L127" s="547"/>
      <c r="M127" s="548"/>
      <c r="N127" s="548"/>
      <c r="O127" s="546"/>
      <c r="P127" s="547"/>
      <c r="Q127" s="548"/>
      <c r="R127" s="548"/>
      <c r="S127" s="546"/>
      <c r="T127" s="547"/>
      <c r="U127" s="548"/>
      <c r="V127" s="548"/>
      <c r="W127" s="548"/>
      <c r="X127" s="546"/>
      <c r="Y127" s="547"/>
      <c r="Z127" s="548"/>
      <c r="AA127" s="548"/>
      <c r="AB127" s="546"/>
      <c r="AC127" s="547"/>
      <c r="AD127" s="548"/>
      <c r="AE127" s="548"/>
      <c r="AF127" s="546"/>
      <c r="AG127" s="547"/>
      <c r="AH127" s="548"/>
      <c r="AI127" s="548"/>
      <c r="AJ127" s="546"/>
      <c r="AK127" s="547"/>
      <c r="AL127" s="548"/>
      <c r="AM127" s="548"/>
      <c r="AN127" s="548"/>
      <c r="AO127" s="546"/>
      <c r="AP127" s="547"/>
      <c r="AQ127" s="548"/>
      <c r="AR127" s="548"/>
      <c r="AS127" s="546"/>
      <c r="AT127" s="547"/>
      <c r="AU127" s="548"/>
      <c r="AV127" s="548"/>
      <c r="AW127" s="546"/>
      <c r="AX127" s="547"/>
      <c r="AY127" s="548"/>
      <c r="AZ127" s="548"/>
      <c r="BA127" s="548"/>
      <c r="BB127" s="546"/>
      <c r="BC127" s="547"/>
      <c r="BD127" s="548"/>
      <c r="BE127" s="548"/>
      <c r="BF127" s="546"/>
      <c r="BG127" s="547"/>
      <c r="BH127" s="548"/>
      <c r="BI127" s="548"/>
      <c r="BJ127" s="548"/>
      <c r="BK127" s="546"/>
      <c r="BL127" s="547"/>
      <c r="BM127" s="548"/>
      <c r="BN127" s="548"/>
      <c r="BO127" s="546"/>
      <c r="BP127" s="547"/>
      <c r="BQ127" s="548"/>
      <c r="BR127" s="548"/>
      <c r="BS127" s="546"/>
      <c r="BT127" s="547"/>
      <c r="BU127" s="548"/>
      <c r="BV127" s="548"/>
      <c r="BW127" s="548"/>
      <c r="BX127" s="546"/>
      <c r="BY127" s="547"/>
      <c r="BZ127" s="548"/>
      <c r="CA127" s="560"/>
      <c r="CB127" s="549"/>
    </row>
    <row r="128" spans="1:80" outlineLevel="1">
      <c r="A128" s="515">
        <v>118</v>
      </c>
      <c r="B128" s="556" t="s">
        <v>13</v>
      </c>
      <c r="C128" s="545"/>
      <c r="D128" s="557" t="s">
        <v>622</v>
      </c>
      <c r="E128" s="545"/>
      <c r="F128" s="545" t="s">
        <v>532</v>
      </c>
      <c r="G128" s="589">
        <v>8</v>
      </c>
      <c r="H128" s="589"/>
      <c r="I128" s="558"/>
      <c r="J128" s="589">
        <f t="shared" si="16"/>
        <v>0</v>
      </c>
      <c r="K128" s="590" t="str">
        <f t="shared" si="9"/>
        <v>C</v>
      </c>
      <c r="L128" s="547"/>
      <c r="M128" s="548"/>
      <c r="N128" s="548"/>
      <c r="O128" s="546"/>
      <c r="P128" s="547"/>
      <c r="Q128" s="548"/>
      <c r="R128" s="548"/>
      <c r="S128" s="546"/>
      <c r="T128" s="547"/>
      <c r="U128" s="548"/>
      <c r="V128" s="548"/>
      <c r="W128" s="548"/>
      <c r="X128" s="546"/>
      <c r="Y128" s="547"/>
      <c r="Z128" s="548"/>
      <c r="AA128" s="548"/>
      <c r="AB128" s="546"/>
      <c r="AC128" s="547"/>
      <c r="AD128" s="548"/>
      <c r="AE128" s="548"/>
      <c r="AF128" s="546"/>
      <c r="AG128" s="547"/>
      <c r="AH128" s="548"/>
      <c r="AI128" s="548"/>
      <c r="AJ128" s="546"/>
      <c r="AK128" s="547"/>
      <c r="AL128" s="548"/>
      <c r="AM128" s="548"/>
      <c r="AN128" s="548"/>
      <c r="AO128" s="546"/>
      <c r="AP128" s="547"/>
      <c r="AQ128" s="548"/>
      <c r="AR128" s="548"/>
      <c r="AS128" s="546"/>
      <c r="AT128" s="547"/>
      <c r="AU128" s="548"/>
      <c r="AV128" s="548"/>
      <c r="AW128" s="546"/>
      <c r="AX128" s="547"/>
      <c r="AY128" s="548"/>
      <c r="AZ128" s="548"/>
      <c r="BA128" s="548"/>
      <c r="BB128" s="546"/>
      <c r="BC128" s="547"/>
      <c r="BD128" s="548"/>
      <c r="BE128" s="548"/>
      <c r="BF128" s="546"/>
      <c r="BG128" s="547"/>
      <c r="BH128" s="548"/>
      <c r="BI128" s="548"/>
      <c r="BJ128" s="548"/>
      <c r="BK128" s="546"/>
      <c r="BL128" s="547"/>
      <c r="BM128" s="548"/>
      <c r="BN128" s="548"/>
      <c r="BO128" s="546"/>
      <c r="BP128" s="547"/>
      <c r="BQ128" s="548"/>
      <c r="BR128" s="548"/>
      <c r="BS128" s="546"/>
      <c r="BT128" s="547"/>
      <c r="BU128" s="548"/>
      <c r="BV128" s="548"/>
      <c r="BW128" s="548"/>
      <c r="BX128" s="546"/>
      <c r="BY128" s="547"/>
      <c r="BZ128" s="548"/>
      <c r="CA128" s="560"/>
      <c r="CB128" s="549"/>
    </row>
    <row r="129" spans="1:80" outlineLevel="1">
      <c r="A129" s="515">
        <v>119</v>
      </c>
      <c r="B129" s="556" t="s">
        <v>572</v>
      </c>
      <c r="C129" s="545"/>
      <c r="D129" s="557" t="s">
        <v>622</v>
      </c>
      <c r="E129" s="545"/>
      <c r="F129" s="545" t="s">
        <v>532</v>
      </c>
      <c r="G129" s="589">
        <v>7</v>
      </c>
      <c r="H129" s="589"/>
      <c r="I129" s="558"/>
      <c r="J129" s="589">
        <f t="shared" si="16"/>
        <v>0</v>
      </c>
      <c r="K129" s="590" t="str">
        <f t="shared" si="9"/>
        <v>C</v>
      </c>
      <c r="L129" s="547"/>
      <c r="M129" s="548"/>
      <c r="N129" s="548"/>
      <c r="O129" s="546"/>
      <c r="P129" s="547"/>
      <c r="Q129" s="548"/>
      <c r="R129" s="548"/>
      <c r="S129" s="546"/>
      <c r="T129" s="547"/>
      <c r="U129" s="548"/>
      <c r="V129" s="548"/>
      <c r="W129" s="548"/>
      <c r="X129" s="546"/>
      <c r="Y129" s="547"/>
      <c r="Z129" s="548"/>
      <c r="AA129" s="548"/>
      <c r="AB129" s="546"/>
      <c r="AC129" s="547"/>
      <c r="AD129" s="548"/>
      <c r="AE129" s="548"/>
      <c r="AF129" s="546"/>
      <c r="AG129" s="547"/>
      <c r="AH129" s="548"/>
      <c r="AI129" s="548"/>
      <c r="AJ129" s="546"/>
      <c r="AK129" s="547"/>
      <c r="AL129" s="548"/>
      <c r="AM129" s="548"/>
      <c r="AN129" s="548"/>
      <c r="AO129" s="546"/>
      <c r="AP129" s="547"/>
      <c r="AQ129" s="548"/>
      <c r="AR129" s="548"/>
      <c r="AS129" s="546"/>
      <c r="AT129" s="547"/>
      <c r="AU129" s="548"/>
      <c r="AV129" s="548"/>
      <c r="AW129" s="546"/>
      <c r="AX129" s="547"/>
      <c r="AY129" s="548"/>
      <c r="AZ129" s="548"/>
      <c r="BA129" s="548"/>
      <c r="BB129" s="546"/>
      <c r="BC129" s="547"/>
      <c r="BD129" s="548"/>
      <c r="BE129" s="548"/>
      <c r="BF129" s="546"/>
      <c r="BG129" s="547"/>
      <c r="BH129" s="548"/>
      <c r="BI129" s="548"/>
      <c r="BJ129" s="548"/>
      <c r="BK129" s="546"/>
      <c r="BL129" s="547"/>
      <c r="BM129" s="548"/>
      <c r="BN129" s="548"/>
      <c r="BO129" s="546"/>
      <c r="BP129" s="547"/>
      <c r="BQ129" s="548"/>
      <c r="BR129" s="548"/>
      <c r="BS129" s="546"/>
      <c r="BT129" s="547"/>
      <c r="BU129" s="548"/>
      <c r="BV129" s="548"/>
      <c r="BW129" s="548"/>
      <c r="BX129" s="546"/>
      <c r="BY129" s="547"/>
      <c r="BZ129" s="548"/>
      <c r="CA129" s="560"/>
      <c r="CB129" s="549"/>
    </row>
    <row r="130" spans="1:80" outlineLevel="1">
      <c r="A130" s="515">
        <v>120</v>
      </c>
      <c r="B130" s="556"/>
      <c r="C130" s="545"/>
      <c r="D130" s="557"/>
      <c r="E130" s="545"/>
      <c r="F130" s="545"/>
      <c r="G130" s="589"/>
      <c r="H130" s="591"/>
      <c r="I130" s="591"/>
      <c r="J130" s="589" t="s">
        <v>624</v>
      </c>
      <c r="K130" s="590" t="str">
        <f t="shared" si="9"/>
        <v/>
      </c>
      <c r="L130" s="547"/>
      <c r="M130" s="548"/>
      <c r="N130" s="548"/>
      <c r="O130" s="546"/>
      <c r="P130" s="547"/>
      <c r="Q130" s="548"/>
      <c r="R130" s="548"/>
      <c r="S130" s="546"/>
      <c r="T130" s="547"/>
      <c r="U130" s="548"/>
      <c r="V130" s="548"/>
      <c r="W130" s="548"/>
      <c r="X130" s="546"/>
      <c r="Y130" s="547"/>
      <c r="Z130" s="548"/>
      <c r="AA130" s="548"/>
      <c r="AB130" s="546"/>
      <c r="AC130" s="547"/>
      <c r="AD130" s="548"/>
      <c r="AE130" s="548"/>
      <c r="AF130" s="546"/>
      <c r="AG130" s="547"/>
      <c r="AH130" s="548"/>
      <c r="AI130" s="548"/>
      <c r="AJ130" s="546"/>
      <c r="AK130" s="547"/>
      <c r="AL130" s="548"/>
      <c r="AM130" s="548"/>
      <c r="AN130" s="548"/>
      <c r="AO130" s="546"/>
      <c r="AP130" s="547"/>
      <c r="AQ130" s="548"/>
      <c r="AR130" s="548"/>
      <c r="AS130" s="546"/>
      <c r="AT130" s="547"/>
      <c r="AU130" s="548"/>
      <c r="AV130" s="548"/>
      <c r="AW130" s="546"/>
      <c r="AX130" s="547"/>
      <c r="AY130" s="548"/>
      <c r="AZ130" s="548"/>
      <c r="BA130" s="548"/>
      <c r="BB130" s="546"/>
      <c r="BC130" s="547"/>
      <c r="BD130" s="548"/>
      <c r="BE130" s="548"/>
      <c r="BF130" s="546"/>
      <c r="BG130" s="547"/>
      <c r="BH130" s="548"/>
      <c r="BI130" s="548"/>
      <c r="BJ130" s="548"/>
      <c r="BK130" s="546"/>
      <c r="BL130" s="547"/>
      <c r="BM130" s="548"/>
      <c r="BN130" s="548"/>
      <c r="BO130" s="546"/>
      <c r="BP130" s="547"/>
      <c r="BQ130" s="548"/>
      <c r="BR130" s="548"/>
      <c r="BS130" s="546"/>
      <c r="BT130" s="547"/>
      <c r="BU130" s="548"/>
      <c r="BV130" s="548"/>
      <c r="BW130" s="548"/>
      <c r="BX130" s="546"/>
      <c r="BY130" s="547"/>
      <c r="BZ130" s="548"/>
      <c r="CA130" s="560"/>
      <c r="CB130" s="549"/>
    </row>
    <row r="131" spans="1:80" outlineLevel="1">
      <c r="A131" s="515">
        <v>121</v>
      </c>
      <c r="B131" s="556" t="s">
        <v>538</v>
      </c>
      <c r="C131" s="545"/>
      <c r="D131" s="557" t="str">
        <f>DureeHL($L131:$CB131)</f>
        <v/>
      </c>
      <c r="E131" s="545">
        <v>0</v>
      </c>
      <c r="F131" s="545" t="s">
        <v>533</v>
      </c>
      <c r="G131" s="589">
        <f>45/31</f>
        <v>1.4516129032258065</v>
      </c>
      <c r="H131" s="591"/>
      <c r="I131" s="591"/>
      <c r="J131" s="589">
        <f>IF(D131="Achat",1,IF(D131="",0,D131*7))*E131*G131</f>
        <v>0</v>
      </c>
      <c r="K131" s="590" t="str">
        <f t="shared" si="9"/>
        <v>C</v>
      </c>
      <c r="L131" s="547"/>
      <c r="M131" s="548"/>
      <c r="N131" s="548"/>
      <c r="O131" s="546"/>
      <c r="P131" s="547"/>
      <c r="Q131" s="548"/>
      <c r="R131" s="548"/>
      <c r="S131" s="546"/>
      <c r="T131" s="547"/>
      <c r="U131" s="548"/>
      <c r="V131" s="548"/>
      <c r="W131" s="548"/>
      <c r="X131" s="546"/>
      <c r="Y131" s="547"/>
      <c r="Z131" s="548"/>
      <c r="AA131" s="548"/>
      <c r="AB131" s="546"/>
      <c r="AC131" s="547"/>
      <c r="AD131" s="548"/>
      <c r="AE131" s="548"/>
      <c r="AF131" s="546"/>
      <c r="AG131" s="547"/>
      <c r="AH131" s="548"/>
      <c r="AI131" s="548"/>
      <c r="AJ131" s="546"/>
      <c r="AK131" s="547"/>
      <c r="AL131" s="548"/>
      <c r="AM131" s="548"/>
      <c r="AN131" s="548"/>
      <c r="AO131" s="546"/>
      <c r="AP131" s="547"/>
      <c r="AQ131" s="548"/>
      <c r="AR131" s="548"/>
      <c r="AS131" s="546"/>
      <c r="AT131" s="547"/>
      <c r="AU131" s="548"/>
      <c r="AV131" s="548"/>
      <c r="AW131" s="546"/>
      <c r="AX131" s="547"/>
      <c r="AY131" s="548"/>
      <c r="AZ131" s="548"/>
      <c r="BA131" s="548"/>
      <c r="BB131" s="546"/>
      <c r="BC131" s="547"/>
      <c r="BD131" s="548"/>
      <c r="BE131" s="548"/>
      <c r="BF131" s="546"/>
      <c r="BG131" s="547"/>
      <c r="BH131" s="548"/>
      <c r="BI131" s="548"/>
      <c r="BJ131" s="548"/>
      <c r="BK131" s="546"/>
      <c r="BL131" s="547"/>
      <c r="BM131" s="548"/>
      <c r="BN131" s="548"/>
      <c r="BO131" s="546"/>
      <c r="BP131" s="547"/>
      <c r="BQ131" s="548"/>
      <c r="BR131" s="548"/>
      <c r="BS131" s="546"/>
      <c r="BT131" s="547"/>
      <c r="BU131" s="548"/>
      <c r="BV131" s="548"/>
      <c r="BW131" s="548"/>
      <c r="BX131" s="546"/>
      <c r="BY131" s="547"/>
      <c r="BZ131" s="548"/>
      <c r="CA131" s="560"/>
      <c r="CB131" s="549"/>
    </row>
    <row r="132" spans="1:80" outlineLevel="1">
      <c r="A132" s="515">
        <v>122</v>
      </c>
      <c r="B132" s="556"/>
      <c r="C132" s="545"/>
      <c r="D132" s="557"/>
      <c r="E132" s="545"/>
      <c r="F132" s="545"/>
      <c r="G132" s="589"/>
      <c r="H132" s="591"/>
      <c r="I132" s="558"/>
      <c r="J132" s="589" t="s">
        <v>624</v>
      </c>
      <c r="K132" s="590" t="str">
        <f t="shared" si="9"/>
        <v/>
      </c>
      <c r="L132" s="547"/>
      <c r="M132" s="548"/>
      <c r="N132" s="548"/>
      <c r="O132" s="546"/>
      <c r="P132" s="547"/>
      <c r="Q132" s="548"/>
      <c r="R132" s="548"/>
      <c r="S132" s="546"/>
      <c r="T132" s="547"/>
      <c r="U132" s="548"/>
      <c r="V132" s="548"/>
      <c r="W132" s="548"/>
      <c r="X132" s="546"/>
      <c r="Y132" s="547"/>
      <c r="Z132" s="548"/>
      <c r="AA132" s="548"/>
      <c r="AB132" s="546"/>
      <c r="AC132" s="547"/>
      <c r="AD132" s="548"/>
      <c r="AE132" s="548"/>
      <c r="AF132" s="546"/>
      <c r="AG132" s="547"/>
      <c r="AH132" s="548"/>
      <c r="AI132" s="548"/>
      <c r="AJ132" s="546"/>
      <c r="AK132" s="547"/>
      <c r="AL132" s="548"/>
      <c r="AM132" s="548"/>
      <c r="AN132" s="548"/>
      <c r="AO132" s="546"/>
      <c r="AP132" s="547"/>
      <c r="AQ132" s="548"/>
      <c r="AR132" s="548"/>
      <c r="AS132" s="546"/>
      <c r="AT132" s="547"/>
      <c r="AU132" s="548"/>
      <c r="AV132" s="548"/>
      <c r="AW132" s="546"/>
      <c r="AX132" s="547"/>
      <c r="AY132" s="548"/>
      <c r="AZ132" s="548"/>
      <c r="BA132" s="548"/>
      <c r="BB132" s="546"/>
      <c r="BC132" s="547"/>
      <c r="BD132" s="548"/>
      <c r="BE132" s="548"/>
      <c r="BF132" s="546"/>
      <c r="BG132" s="547"/>
      <c r="BH132" s="548"/>
      <c r="BI132" s="548"/>
      <c r="BJ132" s="548"/>
      <c r="BK132" s="546"/>
      <c r="BL132" s="547"/>
      <c r="BM132" s="548"/>
      <c r="BN132" s="548"/>
      <c r="BO132" s="546"/>
      <c r="BP132" s="547"/>
      <c r="BQ132" s="548"/>
      <c r="BR132" s="548"/>
      <c r="BS132" s="546"/>
      <c r="BT132" s="547"/>
      <c r="BU132" s="548"/>
      <c r="BV132" s="548"/>
      <c r="BW132" s="548"/>
      <c r="BX132" s="546"/>
      <c r="BY132" s="547"/>
      <c r="BZ132" s="548"/>
      <c r="CA132" s="560"/>
      <c r="CB132" s="549"/>
    </row>
    <row r="133" spans="1:80" ht="12" outlineLevel="1" thickBot="1">
      <c r="A133" s="515">
        <v>123</v>
      </c>
      <c r="B133" s="556" t="s">
        <v>454</v>
      </c>
      <c r="C133" s="545"/>
      <c r="D133" s="557">
        <f>DureeHL($L133:$CB133)</f>
        <v>5</v>
      </c>
      <c r="E133" s="545">
        <v>36</v>
      </c>
      <c r="F133" s="545" t="s">
        <v>533</v>
      </c>
      <c r="G133" s="589">
        <v>1.02</v>
      </c>
      <c r="H133" s="591"/>
      <c r="I133" s="591"/>
      <c r="J133" s="589">
        <f>IF(D133="Achat",1,IF(D133="",0,D133*7))*E133*G133</f>
        <v>1285.2</v>
      </c>
      <c r="K133" s="590" t="str">
        <f t="shared" si="9"/>
        <v/>
      </c>
      <c r="L133" s="547"/>
      <c r="M133" s="548"/>
      <c r="N133" s="548"/>
      <c r="O133" s="750"/>
      <c r="P133" s="751"/>
      <c r="Q133" s="752"/>
      <c r="R133" s="752"/>
      <c r="S133" s="750"/>
      <c r="T133" s="547"/>
      <c r="U133" s="548"/>
      <c r="V133" s="548"/>
      <c r="W133" s="548"/>
      <c r="X133" s="546"/>
      <c r="Y133" s="547"/>
      <c r="Z133" s="548"/>
      <c r="AA133" s="548"/>
      <c r="AB133" s="546"/>
      <c r="AC133" s="547"/>
      <c r="AD133" s="548"/>
      <c r="AE133" s="548"/>
      <c r="AF133" s="546"/>
      <c r="AG133" s="547"/>
      <c r="AH133" s="548"/>
      <c r="AI133" s="548"/>
      <c r="AJ133" s="546"/>
      <c r="AK133" s="547"/>
      <c r="AL133" s="548"/>
      <c r="AM133" s="548"/>
      <c r="AN133" s="548"/>
      <c r="AO133" s="546"/>
      <c r="AP133" s="547"/>
      <c r="AQ133" s="548"/>
      <c r="AR133" s="548"/>
      <c r="AS133" s="546"/>
      <c r="AT133" s="547"/>
      <c r="AU133" s="548"/>
      <c r="AV133" s="548"/>
      <c r="AW133" s="546"/>
      <c r="AX133" s="547"/>
      <c r="AY133" s="548"/>
      <c r="AZ133" s="548"/>
      <c r="BA133" s="548"/>
      <c r="BB133" s="546"/>
      <c r="BC133" s="547"/>
      <c r="BD133" s="548"/>
      <c r="BE133" s="548"/>
      <c r="BF133" s="546"/>
      <c r="BG133" s="547"/>
      <c r="BH133" s="548"/>
      <c r="BI133" s="548"/>
      <c r="BJ133" s="548"/>
      <c r="BK133" s="546"/>
      <c r="BL133" s="547"/>
      <c r="BM133" s="548"/>
      <c r="BN133" s="548"/>
      <c r="BO133" s="546"/>
      <c r="BP133" s="547"/>
      <c r="BQ133" s="548"/>
      <c r="BR133" s="548"/>
      <c r="BS133" s="546"/>
      <c r="BT133" s="547"/>
      <c r="BU133" s="548"/>
      <c r="BV133" s="548"/>
      <c r="BW133" s="548"/>
      <c r="BX133" s="546"/>
      <c r="BY133" s="547"/>
      <c r="BZ133" s="548"/>
      <c r="CA133" s="560"/>
      <c r="CB133" s="549"/>
    </row>
    <row r="134" spans="1:80" ht="12.75" outlineLevel="1" thickTop="1" thickBot="1">
      <c r="A134" s="515">
        <v>124</v>
      </c>
      <c r="B134" s="556" t="s">
        <v>445</v>
      </c>
      <c r="C134" s="545"/>
      <c r="D134" s="557">
        <f>DureeHL($L134:$CB134)</f>
        <v>7</v>
      </c>
      <c r="E134" s="545">
        <v>36</v>
      </c>
      <c r="F134" s="545" t="s">
        <v>533</v>
      </c>
      <c r="G134" s="589">
        <v>1.02</v>
      </c>
      <c r="H134" s="591"/>
      <c r="I134" s="591"/>
      <c r="J134" s="589">
        <f>IF(D134="Achat",1,IF(D134="",0,D134*7))*E134*G134</f>
        <v>1799.28</v>
      </c>
      <c r="K134" s="590" t="str">
        <f t="shared" si="9"/>
        <v/>
      </c>
      <c r="L134" s="547"/>
      <c r="M134" s="548"/>
      <c r="N134" s="548"/>
      <c r="O134" s="727"/>
      <c r="P134" s="725"/>
      <c r="Q134" s="726"/>
      <c r="R134" s="726"/>
      <c r="S134" s="727"/>
      <c r="T134" s="547"/>
      <c r="U134" s="548"/>
      <c r="V134" s="548"/>
      <c r="W134" s="548"/>
      <c r="X134" s="546"/>
      <c r="Y134" s="547"/>
      <c r="Z134" s="548"/>
      <c r="AA134" s="548"/>
      <c r="AB134" s="546"/>
      <c r="AC134" s="547"/>
      <c r="AD134" s="548"/>
      <c r="AE134" s="548"/>
      <c r="AF134" s="546"/>
      <c r="AG134" s="547"/>
      <c r="AH134" s="752"/>
      <c r="AI134" s="752"/>
      <c r="AJ134" s="750"/>
      <c r="AK134" s="751"/>
      <c r="AL134" s="752"/>
      <c r="AM134" s="752"/>
      <c r="AN134" s="757"/>
      <c r="AO134" s="546"/>
      <c r="AP134" s="547"/>
      <c r="AQ134" s="548"/>
      <c r="AR134" s="548"/>
      <c r="AS134" s="546"/>
      <c r="AT134" s="547"/>
      <c r="AU134" s="548"/>
      <c r="AV134" s="548"/>
      <c r="AW134" s="546"/>
      <c r="AX134" s="547"/>
      <c r="AY134" s="548"/>
      <c r="AZ134" s="548"/>
      <c r="BA134" s="548"/>
      <c r="BB134" s="546"/>
      <c r="BC134" s="547"/>
      <c r="BD134" s="548"/>
      <c r="BE134" s="548"/>
      <c r="BF134" s="546"/>
      <c r="BG134" s="547"/>
      <c r="BH134" s="548"/>
      <c r="BI134" s="548"/>
      <c r="BJ134" s="548"/>
      <c r="BK134" s="546"/>
      <c r="BL134" s="547"/>
      <c r="BM134" s="548"/>
      <c r="BN134" s="548"/>
      <c r="BO134" s="546"/>
      <c r="BP134" s="547"/>
      <c r="BQ134" s="548"/>
      <c r="BR134" s="548"/>
      <c r="BS134" s="546"/>
      <c r="BT134" s="547"/>
      <c r="BU134" s="548"/>
      <c r="BV134" s="548"/>
      <c r="BW134" s="548"/>
      <c r="BX134" s="546"/>
      <c r="BY134" s="547"/>
      <c r="BZ134" s="548"/>
      <c r="CA134" s="560"/>
      <c r="CB134" s="549"/>
    </row>
    <row r="135" spans="1:80" ht="12" outlineLevel="1" thickTop="1">
      <c r="A135" s="515">
        <v>125</v>
      </c>
      <c r="B135" s="556"/>
      <c r="C135" s="545"/>
      <c r="D135" s="557"/>
      <c r="E135" s="545"/>
      <c r="F135" s="545"/>
      <c r="G135" s="589"/>
      <c r="H135" s="591"/>
      <c r="I135" s="558"/>
      <c r="J135" s="589" t="s">
        <v>624</v>
      </c>
      <c r="K135" s="590" t="str">
        <f t="shared" si="9"/>
        <v/>
      </c>
      <c r="L135" s="547"/>
      <c r="M135" s="548"/>
      <c r="N135" s="548"/>
      <c r="O135" s="546"/>
      <c r="P135" s="547"/>
      <c r="Q135" s="548"/>
      <c r="R135" s="548"/>
      <c r="S135" s="546"/>
      <c r="T135" s="547"/>
      <c r="U135" s="548"/>
      <c r="V135" s="548"/>
      <c r="W135" s="548"/>
      <c r="X135" s="546"/>
      <c r="Y135" s="547"/>
      <c r="Z135" s="548"/>
      <c r="AA135" s="548"/>
      <c r="AB135" s="546"/>
      <c r="AC135" s="547"/>
      <c r="AD135" s="548"/>
      <c r="AE135" s="548"/>
      <c r="AF135" s="546"/>
      <c r="AG135" s="547"/>
      <c r="AH135" s="726"/>
      <c r="AI135" s="726"/>
      <c r="AJ135" s="727"/>
      <c r="AK135" s="725"/>
      <c r="AL135" s="726"/>
      <c r="AM135" s="726"/>
      <c r="AN135" s="726"/>
      <c r="AO135" s="546"/>
      <c r="AP135" s="547"/>
      <c r="AQ135" s="548"/>
      <c r="AR135" s="548"/>
      <c r="AS135" s="546"/>
      <c r="AT135" s="547"/>
      <c r="AU135" s="548"/>
      <c r="AV135" s="548"/>
      <c r="AW135" s="546"/>
      <c r="AX135" s="547"/>
      <c r="AY135" s="548"/>
      <c r="AZ135" s="548"/>
      <c r="BA135" s="548"/>
      <c r="BB135" s="546"/>
      <c r="BC135" s="547"/>
      <c r="BD135" s="548"/>
      <c r="BE135" s="548"/>
      <c r="BF135" s="546"/>
      <c r="BG135" s="547"/>
      <c r="BH135" s="548"/>
      <c r="BI135" s="548"/>
      <c r="BJ135" s="548"/>
      <c r="BK135" s="546"/>
      <c r="BL135" s="547"/>
      <c r="BM135" s="548"/>
      <c r="BN135" s="548"/>
      <c r="BO135" s="546"/>
      <c r="BP135" s="547"/>
      <c r="BQ135" s="548"/>
      <c r="BR135" s="548"/>
      <c r="BS135" s="546"/>
      <c r="BT135" s="547"/>
      <c r="BU135" s="548"/>
      <c r="BV135" s="548"/>
      <c r="BW135" s="548"/>
      <c r="BX135" s="546"/>
      <c r="BY135" s="547"/>
      <c r="BZ135" s="548"/>
      <c r="CA135" s="560"/>
      <c r="CB135" s="549"/>
    </row>
    <row r="136" spans="1:80" outlineLevel="1">
      <c r="A136" s="515">
        <v>126</v>
      </c>
      <c r="B136" s="556" t="s">
        <v>11</v>
      </c>
      <c r="C136" s="545"/>
      <c r="D136" s="557" t="s">
        <v>622</v>
      </c>
      <c r="E136" s="545"/>
      <c r="F136" s="545" t="s">
        <v>532</v>
      </c>
      <c r="G136" s="589">
        <v>110</v>
      </c>
      <c r="H136" s="589"/>
      <c r="I136" s="558"/>
      <c r="J136" s="589">
        <f>IF(D136="Achat",1,IF(D136="",0,D136*7))*E136*G136</f>
        <v>0</v>
      </c>
      <c r="K136" s="590" t="str">
        <f t="shared" si="9"/>
        <v>C</v>
      </c>
      <c r="L136" s="547"/>
      <c r="M136" s="548"/>
      <c r="N136" s="548"/>
      <c r="O136" s="546"/>
      <c r="P136" s="547"/>
      <c r="Q136" s="548"/>
      <c r="R136" s="548"/>
      <c r="S136" s="546"/>
      <c r="T136" s="547"/>
      <c r="U136" s="548"/>
      <c r="V136" s="548"/>
      <c r="W136" s="548"/>
      <c r="X136" s="546"/>
      <c r="Y136" s="547"/>
      <c r="Z136" s="548"/>
      <c r="AA136" s="548"/>
      <c r="AB136" s="546"/>
      <c r="AC136" s="547"/>
      <c r="AD136" s="548"/>
      <c r="AE136" s="548"/>
      <c r="AF136" s="546"/>
      <c r="AG136" s="547"/>
      <c r="AH136" s="548"/>
      <c r="AI136" s="548"/>
      <c r="AJ136" s="546"/>
      <c r="AK136" s="547"/>
      <c r="AL136" s="548"/>
      <c r="AM136" s="548"/>
      <c r="AN136" s="548"/>
      <c r="AO136" s="546"/>
      <c r="AP136" s="547"/>
      <c r="AQ136" s="548"/>
      <c r="AR136" s="548"/>
      <c r="AS136" s="546"/>
      <c r="AT136" s="547"/>
      <c r="AU136" s="548"/>
      <c r="AV136" s="548"/>
      <c r="AW136" s="546"/>
      <c r="AX136" s="547"/>
      <c r="AY136" s="548"/>
      <c r="AZ136" s="548"/>
      <c r="BA136" s="548"/>
      <c r="BB136" s="546"/>
      <c r="BC136" s="547"/>
      <c r="BD136" s="548"/>
      <c r="BE136" s="548"/>
      <c r="BF136" s="546"/>
      <c r="BG136" s="547"/>
      <c r="BH136" s="548"/>
      <c r="BI136" s="548"/>
      <c r="BJ136" s="548"/>
      <c r="BK136" s="546"/>
      <c r="BL136" s="547"/>
      <c r="BM136" s="548"/>
      <c r="BN136" s="548"/>
      <c r="BO136" s="546"/>
      <c r="BP136" s="547"/>
      <c r="BQ136" s="548"/>
      <c r="BR136" s="548"/>
      <c r="BS136" s="546"/>
      <c r="BT136" s="547"/>
      <c r="BU136" s="548"/>
      <c r="BV136" s="548"/>
      <c r="BW136" s="548"/>
      <c r="BX136" s="546"/>
      <c r="BY136" s="547"/>
      <c r="BZ136" s="548"/>
      <c r="CA136" s="560"/>
      <c r="CB136" s="549"/>
    </row>
    <row r="137" spans="1:80" outlineLevel="1">
      <c r="A137" s="515">
        <v>127</v>
      </c>
      <c r="B137" s="556" t="s">
        <v>12</v>
      </c>
      <c r="C137" s="545"/>
      <c r="D137" s="557" t="s">
        <v>622</v>
      </c>
      <c r="E137" s="545"/>
      <c r="F137" s="545" t="s">
        <v>532</v>
      </c>
      <c r="G137" s="589">
        <v>40</v>
      </c>
      <c r="H137" s="589"/>
      <c r="I137" s="558"/>
      <c r="J137" s="589">
        <f>IF(D137="Achat",1,IF(D137="",0,D137*7))*E137*G137</f>
        <v>0</v>
      </c>
      <c r="K137" s="590" t="str">
        <f t="shared" si="9"/>
        <v>C</v>
      </c>
      <c r="L137" s="547"/>
      <c r="M137" s="548"/>
      <c r="N137" s="548"/>
      <c r="O137" s="546"/>
      <c r="P137" s="547"/>
      <c r="Q137" s="548"/>
      <c r="R137" s="548"/>
      <c r="S137" s="546"/>
      <c r="T137" s="547"/>
      <c r="U137" s="548"/>
      <c r="V137" s="548"/>
      <c r="W137" s="548"/>
      <c r="X137" s="546"/>
      <c r="Y137" s="547"/>
      <c r="Z137" s="548"/>
      <c r="AA137" s="548"/>
      <c r="AB137" s="546"/>
      <c r="AC137" s="547"/>
      <c r="AD137" s="548"/>
      <c r="AE137" s="548"/>
      <c r="AF137" s="546"/>
      <c r="AG137" s="547"/>
      <c r="AH137" s="548"/>
      <c r="AI137" s="548"/>
      <c r="AJ137" s="546"/>
      <c r="AK137" s="547"/>
      <c r="AL137" s="548"/>
      <c r="AM137" s="548"/>
      <c r="AN137" s="548"/>
      <c r="AO137" s="546"/>
      <c r="AP137" s="547"/>
      <c r="AQ137" s="548"/>
      <c r="AR137" s="548"/>
      <c r="AS137" s="546"/>
      <c r="AT137" s="547"/>
      <c r="AU137" s="548"/>
      <c r="AV137" s="548"/>
      <c r="AW137" s="546"/>
      <c r="AX137" s="547"/>
      <c r="AY137" s="548"/>
      <c r="AZ137" s="548"/>
      <c r="BA137" s="548"/>
      <c r="BB137" s="546"/>
      <c r="BC137" s="547"/>
      <c r="BD137" s="548"/>
      <c r="BE137" s="548"/>
      <c r="BF137" s="546"/>
      <c r="BG137" s="547"/>
      <c r="BH137" s="548"/>
      <c r="BI137" s="548"/>
      <c r="BJ137" s="548"/>
      <c r="BK137" s="546"/>
      <c r="BL137" s="547"/>
      <c r="BM137" s="548"/>
      <c r="BN137" s="548"/>
      <c r="BO137" s="546"/>
      <c r="BP137" s="547"/>
      <c r="BQ137" s="548"/>
      <c r="BR137" s="548"/>
      <c r="BS137" s="546"/>
      <c r="BT137" s="547"/>
      <c r="BU137" s="548"/>
      <c r="BV137" s="548"/>
      <c r="BW137" s="548"/>
      <c r="BX137" s="546"/>
      <c r="BY137" s="547"/>
      <c r="BZ137" s="548"/>
      <c r="CA137" s="560"/>
      <c r="CB137" s="549"/>
    </row>
    <row r="138" spans="1:80" outlineLevel="1">
      <c r="A138" s="515">
        <v>128</v>
      </c>
      <c r="B138" s="556" t="s">
        <v>13</v>
      </c>
      <c r="C138" s="545"/>
      <c r="D138" s="557" t="s">
        <v>622</v>
      </c>
      <c r="E138" s="545"/>
      <c r="F138" s="545" t="s">
        <v>532</v>
      </c>
      <c r="G138" s="589">
        <v>8</v>
      </c>
      <c r="H138" s="589"/>
      <c r="I138" s="558"/>
      <c r="J138" s="589">
        <f>IF(D138="Achat",1,IF(D138="",0,D138*7))*E138*G138</f>
        <v>0</v>
      </c>
      <c r="K138" s="590" t="str">
        <f t="shared" si="9"/>
        <v>C</v>
      </c>
      <c r="L138" s="547"/>
      <c r="M138" s="548"/>
      <c r="N138" s="548"/>
      <c r="O138" s="546"/>
      <c r="P138" s="547"/>
      <c r="Q138" s="548"/>
      <c r="R138" s="548"/>
      <c r="S138" s="546"/>
      <c r="T138" s="547"/>
      <c r="U138" s="548"/>
      <c r="V138" s="548"/>
      <c r="W138" s="548"/>
      <c r="X138" s="546"/>
      <c r="Y138" s="547"/>
      <c r="Z138" s="548"/>
      <c r="AA138" s="548"/>
      <c r="AB138" s="546"/>
      <c r="AC138" s="547"/>
      <c r="AD138" s="548"/>
      <c r="AE138" s="548"/>
      <c r="AF138" s="546"/>
      <c r="AG138" s="547"/>
      <c r="AH138" s="548"/>
      <c r="AI138" s="548"/>
      <c r="AJ138" s="546"/>
      <c r="AK138" s="547"/>
      <c r="AL138" s="548"/>
      <c r="AM138" s="548"/>
      <c r="AN138" s="548"/>
      <c r="AO138" s="546"/>
      <c r="AP138" s="547"/>
      <c r="AQ138" s="548"/>
      <c r="AR138" s="548"/>
      <c r="AS138" s="546"/>
      <c r="AT138" s="547"/>
      <c r="AU138" s="548"/>
      <c r="AV138" s="548"/>
      <c r="AW138" s="546"/>
      <c r="AX138" s="547"/>
      <c r="AY138" s="548"/>
      <c r="AZ138" s="548"/>
      <c r="BA138" s="548"/>
      <c r="BB138" s="546"/>
      <c r="BC138" s="547"/>
      <c r="BD138" s="548"/>
      <c r="BE138" s="548"/>
      <c r="BF138" s="546"/>
      <c r="BG138" s="547"/>
      <c r="BH138" s="548"/>
      <c r="BI138" s="548"/>
      <c r="BJ138" s="548"/>
      <c r="BK138" s="546"/>
      <c r="BL138" s="547"/>
      <c r="BM138" s="548"/>
      <c r="BN138" s="548"/>
      <c r="BO138" s="546"/>
      <c r="BP138" s="547"/>
      <c r="BQ138" s="548"/>
      <c r="BR138" s="548"/>
      <c r="BS138" s="546"/>
      <c r="BT138" s="547"/>
      <c r="BU138" s="548"/>
      <c r="BV138" s="548"/>
      <c r="BW138" s="548"/>
      <c r="BX138" s="546"/>
      <c r="BY138" s="547"/>
      <c r="BZ138" s="548"/>
      <c r="CA138" s="560"/>
      <c r="CB138" s="549"/>
    </row>
    <row r="139" spans="1:80" outlineLevel="1">
      <c r="A139" s="515">
        <v>129</v>
      </c>
      <c r="B139" s="556" t="s">
        <v>572</v>
      </c>
      <c r="C139" s="545"/>
      <c r="D139" s="557" t="s">
        <v>622</v>
      </c>
      <c r="E139" s="545"/>
      <c r="F139" s="545" t="s">
        <v>532</v>
      </c>
      <c r="G139" s="589">
        <v>7</v>
      </c>
      <c r="H139" s="589"/>
      <c r="I139" s="558"/>
      <c r="J139" s="589">
        <f>IF(D139="Achat",1,IF(D139="",0,D139*7))*E139*G139</f>
        <v>0</v>
      </c>
      <c r="K139" s="590" t="str">
        <f t="shared" si="9"/>
        <v>C</v>
      </c>
      <c r="L139" s="547"/>
      <c r="M139" s="548"/>
      <c r="N139" s="548"/>
      <c r="O139" s="546"/>
      <c r="P139" s="547"/>
      <c r="Q139" s="548"/>
      <c r="R139" s="548"/>
      <c r="S139" s="546"/>
      <c r="T139" s="547"/>
      <c r="U139" s="548"/>
      <c r="V139" s="548"/>
      <c r="W139" s="548"/>
      <c r="X139" s="546"/>
      <c r="Y139" s="547"/>
      <c r="Z139" s="548"/>
      <c r="AA139" s="548"/>
      <c r="AB139" s="546"/>
      <c r="AC139" s="547"/>
      <c r="AD139" s="548"/>
      <c r="AE139" s="548"/>
      <c r="AF139" s="546"/>
      <c r="AG139" s="547"/>
      <c r="AH139" s="548"/>
      <c r="AI139" s="548"/>
      <c r="AJ139" s="546"/>
      <c r="AK139" s="547"/>
      <c r="AL139" s="548"/>
      <c r="AM139" s="548"/>
      <c r="AN139" s="548"/>
      <c r="AO139" s="546"/>
      <c r="AP139" s="547"/>
      <c r="AQ139" s="548"/>
      <c r="AR139" s="548"/>
      <c r="AS139" s="546"/>
      <c r="AT139" s="547"/>
      <c r="AU139" s="548"/>
      <c r="AV139" s="548"/>
      <c r="AW139" s="546"/>
      <c r="AX139" s="547"/>
      <c r="AY139" s="548"/>
      <c r="AZ139" s="548"/>
      <c r="BA139" s="548"/>
      <c r="BB139" s="546"/>
      <c r="BC139" s="547"/>
      <c r="BD139" s="548"/>
      <c r="BE139" s="548"/>
      <c r="BF139" s="546"/>
      <c r="BG139" s="547"/>
      <c r="BH139" s="548"/>
      <c r="BI139" s="548"/>
      <c r="BJ139" s="548"/>
      <c r="BK139" s="546"/>
      <c r="BL139" s="547"/>
      <c r="BM139" s="548"/>
      <c r="BN139" s="548"/>
      <c r="BO139" s="546"/>
      <c r="BP139" s="547"/>
      <c r="BQ139" s="548"/>
      <c r="BR139" s="548"/>
      <c r="BS139" s="546"/>
      <c r="BT139" s="547"/>
      <c r="BU139" s="548"/>
      <c r="BV139" s="548"/>
      <c r="BW139" s="548"/>
      <c r="BX139" s="546"/>
      <c r="BY139" s="547"/>
      <c r="BZ139" s="548"/>
      <c r="CA139" s="560"/>
      <c r="CB139" s="549"/>
    </row>
    <row r="140" spans="1:80" outlineLevel="1">
      <c r="A140" s="515">
        <v>130</v>
      </c>
      <c r="B140" s="593"/>
      <c r="C140" s="545"/>
      <c r="D140" s="557"/>
      <c r="E140" s="545"/>
      <c r="F140" s="545"/>
      <c r="G140" s="589"/>
      <c r="H140" s="558"/>
      <c r="I140" s="558"/>
      <c r="J140" s="589" t="s">
        <v>624</v>
      </c>
      <c r="K140" s="590" t="str">
        <f t="shared" si="9"/>
        <v/>
      </c>
      <c r="L140" s="547"/>
      <c r="M140" s="548"/>
      <c r="N140" s="548"/>
      <c r="O140" s="546"/>
      <c r="P140" s="547"/>
      <c r="Q140" s="548"/>
      <c r="R140" s="548"/>
      <c r="S140" s="546"/>
      <c r="T140" s="547"/>
      <c r="U140" s="548"/>
      <c r="V140" s="548"/>
      <c r="W140" s="548"/>
      <c r="X140" s="546"/>
      <c r="Y140" s="547"/>
      <c r="Z140" s="548"/>
      <c r="AA140" s="548"/>
      <c r="AB140" s="546"/>
      <c r="AC140" s="547"/>
      <c r="AD140" s="548"/>
      <c r="AE140" s="548"/>
      <c r="AF140" s="546"/>
      <c r="AG140" s="547"/>
      <c r="AH140" s="548"/>
      <c r="AI140" s="548"/>
      <c r="AJ140" s="546"/>
      <c r="AK140" s="547"/>
      <c r="AL140" s="548"/>
      <c r="AM140" s="548"/>
      <c r="AN140" s="548"/>
      <c r="AO140" s="546"/>
      <c r="AP140" s="547"/>
      <c r="AQ140" s="548"/>
      <c r="AR140" s="548"/>
      <c r="AS140" s="546"/>
      <c r="AT140" s="547"/>
      <c r="AU140" s="548"/>
      <c r="AV140" s="548"/>
      <c r="AW140" s="546"/>
      <c r="AX140" s="547"/>
      <c r="AY140" s="548"/>
      <c r="AZ140" s="548"/>
      <c r="BA140" s="548"/>
      <c r="BB140" s="546"/>
      <c r="BC140" s="547"/>
      <c r="BD140" s="548"/>
      <c r="BE140" s="548"/>
      <c r="BF140" s="546"/>
      <c r="BG140" s="547"/>
      <c r="BH140" s="548"/>
      <c r="BI140" s="548"/>
      <c r="BJ140" s="548"/>
      <c r="BK140" s="546"/>
      <c r="BL140" s="547"/>
      <c r="BM140" s="548"/>
      <c r="BN140" s="548"/>
      <c r="BO140" s="546"/>
      <c r="BP140" s="547"/>
      <c r="BQ140" s="548"/>
      <c r="BR140" s="548"/>
      <c r="BS140" s="546"/>
      <c r="BT140" s="547"/>
      <c r="BU140" s="548"/>
      <c r="BV140" s="548"/>
      <c r="BW140" s="548"/>
      <c r="BX140" s="546"/>
      <c r="BY140" s="547"/>
      <c r="BZ140" s="548"/>
      <c r="CA140" s="560"/>
      <c r="CB140" s="549"/>
    </row>
    <row r="141" spans="1:80">
      <c r="A141" s="582">
        <v>131</v>
      </c>
      <c r="B141" s="583" t="s">
        <v>598</v>
      </c>
      <c r="C141" s="584"/>
      <c r="D141" s="584"/>
      <c r="E141" s="584"/>
      <c r="F141" s="584"/>
      <c r="G141" s="584"/>
      <c r="H141" s="585"/>
      <c r="I141" s="586" t="s">
        <v>594</v>
      </c>
      <c r="J141" s="587">
        <f>SUBTOTAL(9,J142:J166)</f>
        <v>5642.28</v>
      </c>
      <c r="K141" s="588" t="str">
        <f t="shared" si="9"/>
        <v/>
      </c>
      <c r="L141" s="547"/>
      <c r="M141" s="548"/>
      <c r="N141" s="548"/>
      <c r="O141" s="546"/>
      <c r="P141" s="547"/>
      <c r="Q141" s="548"/>
      <c r="R141" s="548"/>
      <c r="S141" s="546"/>
      <c r="T141" s="547"/>
      <c r="U141" s="548"/>
      <c r="V141" s="548"/>
      <c r="W141" s="548"/>
      <c r="X141" s="546"/>
      <c r="Y141" s="547"/>
      <c r="Z141" s="548"/>
      <c r="AA141" s="548"/>
      <c r="AB141" s="546"/>
      <c r="AC141" s="547"/>
      <c r="AD141" s="548"/>
      <c r="AE141" s="548"/>
      <c r="AF141" s="546"/>
      <c r="AG141" s="547"/>
      <c r="AH141" s="548"/>
      <c r="AI141" s="548"/>
      <c r="AJ141" s="546"/>
      <c r="AK141" s="547"/>
      <c r="AL141" s="548"/>
      <c r="AM141" s="548"/>
      <c r="AN141" s="548"/>
      <c r="AO141" s="546"/>
      <c r="AP141" s="547"/>
      <c r="AQ141" s="548"/>
      <c r="AR141" s="548"/>
      <c r="AS141" s="546"/>
      <c r="AT141" s="547"/>
      <c r="AU141" s="548"/>
      <c r="AV141" s="548"/>
      <c r="AW141" s="546"/>
      <c r="AX141" s="547"/>
      <c r="AY141" s="548"/>
      <c r="AZ141" s="548"/>
      <c r="BA141" s="548"/>
      <c r="BB141" s="546"/>
      <c r="BC141" s="547"/>
      <c r="BD141" s="548"/>
      <c r="BE141" s="548"/>
      <c r="BF141" s="546"/>
      <c r="BG141" s="547"/>
      <c r="BH141" s="548"/>
      <c r="BI141" s="548"/>
      <c r="BJ141" s="548"/>
      <c r="BK141" s="546"/>
      <c r="BL141" s="547"/>
      <c r="BM141" s="548"/>
      <c r="BN141" s="548"/>
      <c r="BO141" s="546"/>
      <c r="BP141" s="547"/>
      <c r="BQ141" s="548"/>
      <c r="BR141" s="548"/>
      <c r="BS141" s="546"/>
      <c r="BT141" s="547"/>
      <c r="BU141" s="548"/>
      <c r="BV141" s="548"/>
      <c r="BW141" s="548"/>
      <c r="BX141" s="546"/>
      <c r="BY141" s="547"/>
      <c r="BZ141" s="548"/>
      <c r="CA141" s="560"/>
      <c r="CB141" s="549"/>
    </row>
    <row r="142" spans="1:80" outlineLevel="1">
      <c r="A142" s="594">
        <v>132</v>
      </c>
      <c r="B142" s="556"/>
      <c r="C142" s="545"/>
      <c r="D142" s="545"/>
      <c r="E142" s="545"/>
      <c r="F142" s="545"/>
      <c r="G142" s="589"/>
      <c r="H142" s="595"/>
      <c r="I142" s="558"/>
      <c r="J142" s="589" t="s">
        <v>624</v>
      </c>
      <c r="K142" s="590" t="str">
        <f t="shared" si="9"/>
        <v/>
      </c>
      <c r="L142" s="547"/>
      <c r="M142" s="548"/>
      <c r="N142" s="548"/>
      <c r="O142" s="546"/>
      <c r="P142" s="547"/>
      <c r="Q142" s="548"/>
      <c r="R142" s="548"/>
      <c r="S142" s="546"/>
      <c r="T142" s="547"/>
      <c r="U142" s="548"/>
      <c r="V142" s="548"/>
      <c r="W142" s="548"/>
      <c r="X142" s="546"/>
      <c r="Y142" s="547"/>
      <c r="Z142" s="548"/>
      <c r="AA142" s="548"/>
      <c r="AB142" s="546"/>
      <c r="AC142" s="547"/>
      <c r="AD142" s="548"/>
      <c r="AE142" s="548"/>
      <c r="AF142" s="546"/>
      <c r="AG142" s="547"/>
      <c r="AH142" s="548"/>
      <c r="AI142" s="548"/>
      <c r="AJ142" s="546"/>
      <c r="AK142" s="547"/>
      <c r="AL142" s="548"/>
      <c r="AM142" s="548"/>
      <c r="AN142" s="548"/>
      <c r="AO142" s="546"/>
      <c r="AP142" s="547"/>
      <c r="AQ142" s="548"/>
      <c r="AR142" s="548"/>
      <c r="AS142" s="546"/>
      <c r="AT142" s="547"/>
      <c r="AU142" s="548"/>
      <c r="AV142" s="548"/>
      <c r="AW142" s="546"/>
      <c r="AX142" s="547"/>
      <c r="AY142" s="548"/>
      <c r="AZ142" s="548"/>
      <c r="BA142" s="548"/>
      <c r="BB142" s="546"/>
      <c r="BC142" s="547"/>
      <c r="BD142" s="548"/>
      <c r="BE142" s="548"/>
      <c r="BF142" s="546"/>
      <c r="BG142" s="547"/>
      <c r="BH142" s="548"/>
      <c r="BI142" s="548"/>
      <c r="BJ142" s="548"/>
      <c r="BK142" s="546"/>
      <c r="BL142" s="547"/>
      <c r="BM142" s="548"/>
      <c r="BN142" s="548"/>
      <c r="BO142" s="546"/>
      <c r="BP142" s="547"/>
      <c r="BQ142" s="548"/>
      <c r="BR142" s="548"/>
      <c r="BS142" s="546"/>
      <c r="BT142" s="547"/>
      <c r="BU142" s="548"/>
      <c r="BV142" s="548"/>
      <c r="BW142" s="548"/>
      <c r="BX142" s="546"/>
      <c r="BY142" s="547"/>
      <c r="BZ142" s="548"/>
      <c r="CA142" s="560"/>
      <c r="CB142" s="549"/>
    </row>
    <row r="143" spans="1:80" ht="12" outlineLevel="1" thickBot="1">
      <c r="A143" s="594">
        <v>133</v>
      </c>
      <c r="B143" s="556" t="s">
        <v>599</v>
      </c>
      <c r="C143" s="545"/>
      <c r="D143" s="557">
        <f>DureeHL($L143:$CB143)</f>
        <v>10</v>
      </c>
      <c r="E143" s="589">
        <v>35</v>
      </c>
      <c r="F143" s="545" t="s">
        <v>516</v>
      </c>
      <c r="G143" s="589">
        <v>0.99</v>
      </c>
      <c r="H143" s="591"/>
      <c r="I143" s="558"/>
      <c r="J143" s="589">
        <f t="shared" ref="J143:J165" si="20">IF(D143="Achat",1,IF(D143="",0,D143*7))*E143*G143</f>
        <v>2425.5</v>
      </c>
      <c r="K143" s="590" t="str">
        <f t="shared" si="9"/>
        <v/>
      </c>
      <c r="L143" s="547"/>
      <c r="M143" s="548"/>
      <c r="N143" s="548"/>
      <c r="O143" s="546"/>
      <c r="P143" s="547"/>
      <c r="Q143" s="548"/>
      <c r="R143" s="762"/>
      <c r="S143" s="760"/>
      <c r="T143" s="763"/>
      <c r="U143" s="762"/>
      <c r="V143" s="762"/>
      <c r="W143" s="762"/>
      <c r="X143" s="760"/>
      <c r="Y143" s="763"/>
      <c r="Z143" s="762"/>
      <c r="AA143" s="758"/>
      <c r="AB143" s="546"/>
      <c r="AC143" s="547"/>
      <c r="AD143" s="548"/>
      <c r="AE143" s="548"/>
      <c r="AF143" s="546"/>
      <c r="AG143" s="547"/>
      <c r="AH143" s="548"/>
      <c r="AI143" s="548"/>
      <c r="AJ143" s="546"/>
      <c r="AK143" s="547"/>
      <c r="AL143" s="548"/>
      <c r="AM143" s="548"/>
      <c r="AN143" s="548"/>
      <c r="AO143" s="546"/>
      <c r="AP143" s="547"/>
      <c r="AQ143" s="548"/>
      <c r="AR143" s="548"/>
      <c r="AS143" s="546"/>
      <c r="AT143" s="547"/>
      <c r="AU143" s="548"/>
      <c r="AV143" s="548"/>
      <c r="AW143" s="546"/>
      <c r="AX143" s="547"/>
      <c r="AY143" s="548"/>
      <c r="AZ143" s="548"/>
      <c r="BA143" s="548"/>
      <c r="BB143" s="546"/>
      <c r="BC143" s="547"/>
      <c r="BD143" s="548"/>
      <c r="BE143" s="548"/>
      <c r="BF143" s="546"/>
      <c r="BG143" s="547"/>
      <c r="BH143" s="548"/>
      <c r="BI143" s="548"/>
      <c r="BJ143" s="548"/>
      <c r="BK143" s="546"/>
      <c r="BL143" s="547"/>
      <c r="BM143" s="548"/>
      <c r="BN143" s="548"/>
      <c r="BO143" s="546"/>
      <c r="BP143" s="547"/>
      <c r="BQ143" s="548"/>
      <c r="BR143" s="548"/>
      <c r="BS143" s="546"/>
      <c r="BT143" s="547"/>
      <c r="BU143" s="548"/>
      <c r="BV143" s="548"/>
      <c r="BW143" s="548"/>
      <c r="BX143" s="546"/>
      <c r="BY143" s="547"/>
      <c r="BZ143" s="548"/>
      <c r="CA143" s="560"/>
      <c r="CB143" s="549"/>
    </row>
    <row r="144" spans="1:80" ht="12.75" outlineLevel="1" thickTop="1" thickBot="1">
      <c r="A144" s="594">
        <v>134</v>
      </c>
      <c r="B144" s="556" t="s">
        <v>600</v>
      </c>
      <c r="C144" s="545"/>
      <c r="D144" s="557">
        <f>D143</f>
        <v>10</v>
      </c>
      <c r="E144" s="589">
        <v>4</v>
      </c>
      <c r="F144" s="545" t="s">
        <v>532</v>
      </c>
      <c r="G144" s="589">
        <v>3.12</v>
      </c>
      <c r="H144" s="591"/>
      <c r="I144" s="558"/>
      <c r="J144" s="589">
        <f t="shared" si="20"/>
        <v>873.6</v>
      </c>
      <c r="K144" s="590" t="str">
        <f t="shared" si="9"/>
        <v/>
      </c>
      <c r="L144" s="547"/>
      <c r="M144" s="548"/>
      <c r="N144" s="548"/>
      <c r="O144" s="546"/>
      <c r="P144" s="547"/>
      <c r="Q144" s="548"/>
      <c r="R144" s="764"/>
      <c r="S144" s="765"/>
      <c r="T144" s="766"/>
      <c r="U144" s="764"/>
      <c r="V144" s="764"/>
      <c r="W144" s="764"/>
      <c r="X144" s="765"/>
      <c r="Y144" s="766"/>
      <c r="Z144" s="764"/>
      <c r="AA144" s="767"/>
      <c r="AB144" s="546"/>
      <c r="AC144" s="547"/>
      <c r="AD144" s="548"/>
      <c r="AE144" s="548"/>
      <c r="AF144" s="546"/>
      <c r="AG144" s="547"/>
      <c r="AH144" s="548"/>
      <c r="AI144" s="548"/>
      <c r="AJ144" s="546"/>
      <c r="AK144" s="547"/>
      <c r="AL144" s="548"/>
      <c r="AM144" s="548"/>
      <c r="AN144" s="548"/>
      <c r="AO144" s="546"/>
      <c r="AP144" s="547"/>
      <c r="AQ144" s="548"/>
      <c r="AR144" s="548"/>
      <c r="AS144" s="546"/>
      <c r="AT144" s="547"/>
      <c r="AU144" s="548"/>
      <c r="AV144" s="548"/>
      <c r="AW144" s="546"/>
      <c r="AX144" s="547"/>
      <c r="AY144" s="548"/>
      <c r="AZ144" s="548"/>
      <c r="BA144" s="548"/>
      <c r="BB144" s="546"/>
      <c r="BC144" s="547"/>
      <c r="BD144" s="548"/>
      <c r="BE144" s="548"/>
      <c r="BF144" s="546"/>
      <c r="BG144" s="547"/>
      <c r="BH144" s="548"/>
      <c r="BI144" s="548"/>
      <c r="BJ144" s="548"/>
      <c r="BK144" s="546"/>
      <c r="BL144" s="547"/>
      <c r="BM144" s="548"/>
      <c r="BN144" s="548"/>
      <c r="BO144" s="546"/>
      <c r="BP144" s="547"/>
      <c r="BQ144" s="548"/>
      <c r="BR144" s="548"/>
      <c r="BS144" s="546"/>
      <c r="BT144" s="547"/>
      <c r="BU144" s="548"/>
      <c r="BV144" s="548"/>
      <c r="BW144" s="548"/>
      <c r="BX144" s="546"/>
      <c r="BY144" s="547"/>
      <c r="BZ144" s="548"/>
      <c r="CA144" s="560"/>
      <c r="CB144" s="549"/>
    </row>
    <row r="145" spans="1:80" ht="12" outlineLevel="1" thickTop="1">
      <c r="A145" s="594">
        <v>135</v>
      </c>
      <c r="B145" s="556" t="s">
        <v>601</v>
      </c>
      <c r="C145" s="545"/>
      <c r="D145" s="557">
        <f>D144</f>
        <v>10</v>
      </c>
      <c r="E145" s="589">
        <v>0</v>
      </c>
      <c r="F145" s="545" t="s">
        <v>532</v>
      </c>
      <c r="G145" s="589">
        <v>0.17</v>
      </c>
      <c r="H145" s="591"/>
      <c r="I145" s="558"/>
      <c r="J145" s="589">
        <f t="shared" si="20"/>
        <v>0</v>
      </c>
      <c r="K145" s="590" t="str">
        <f t="shared" si="9"/>
        <v>C</v>
      </c>
      <c r="L145" s="547"/>
      <c r="M145" s="548"/>
      <c r="N145" s="548"/>
      <c r="O145" s="546"/>
      <c r="P145" s="547"/>
      <c r="Q145" s="548"/>
      <c r="R145" s="726"/>
      <c r="S145" s="727"/>
      <c r="T145" s="725"/>
      <c r="U145" s="726"/>
      <c r="V145" s="726"/>
      <c r="W145" s="726"/>
      <c r="X145" s="727"/>
      <c r="Y145" s="725"/>
      <c r="Z145" s="726"/>
      <c r="AA145" s="726"/>
      <c r="AB145" s="546"/>
      <c r="AC145" s="547"/>
      <c r="AD145" s="548"/>
      <c r="AE145" s="548"/>
      <c r="AF145" s="546"/>
      <c r="AG145" s="547"/>
      <c r="AH145" s="548"/>
      <c r="AI145" s="548"/>
      <c r="AJ145" s="546"/>
      <c r="AK145" s="547"/>
      <c r="AL145" s="548"/>
      <c r="AM145" s="548"/>
      <c r="AN145" s="548"/>
      <c r="AO145" s="546"/>
      <c r="AP145" s="547"/>
      <c r="AQ145" s="548"/>
      <c r="AR145" s="548"/>
      <c r="AS145" s="546"/>
      <c r="AT145" s="547"/>
      <c r="AU145" s="548"/>
      <c r="AV145" s="548"/>
      <c r="AW145" s="546"/>
      <c r="AX145" s="547"/>
      <c r="AY145" s="548"/>
      <c r="AZ145" s="548"/>
      <c r="BA145" s="548"/>
      <c r="BB145" s="546"/>
      <c r="BC145" s="547"/>
      <c r="BD145" s="548"/>
      <c r="BE145" s="548"/>
      <c r="BF145" s="546"/>
      <c r="BG145" s="547"/>
      <c r="BH145" s="548"/>
      <c r="BI145" s="548"/>
      <c r="BJ145" s="548"/>
      <c r="BK145" s="546"/>
      <c r="BL145" s="547"/>
      <c r="BM145" s="548"/>
      <c r="BN145" s="548"/>
      <c r="BO145" s="546"/>
      <c r="BP145" s="547"/>
      <c r="BQ145" s="548"/>
      <c r="BR145" s="548"/>
      <c r="BS145" s="546"/>
      <c r="BT145" s="547"/>
      <c r="BU145" s="548"/>
      <c r="BV145" s="548"/>
      <c r="BW145" s="548"/>
      <c r="BX145" s="546"/>
      <c r="BY145" s="547"/>
      <c r="BZ145" s="548"/>
      <c r="CA145" s="560"/>
      <c r="CB145" s="549"/>
    </row>
    <row r="146" spans="1:80" ht="12" outlineLevel="1" thickBot="1">
      <c r="A146" s="594">
        <v>136</v>
      </c>
      <c r="B146" s="556" t="s">
        <v>630</v>
      </c>
      <c r="C146" s="545"/>
      <c r="D146" s="557">
        <f>DureeHL($L146:$CB146)</f>
        <v>10</v>
      </c>
      <c r="E146" s="589">
        <v>2</v>
      </c>
      <c r="F146" s="545" t="s">
        <v>532</v>
      </c>
      <c r="G146" s="589">
        <v>1.94</v>
      </c>
      <c r="H146" s="591"/>
      <c r="I146" s="558"/>
      <c r="J146" s="589">
        <f t="shared" si="20"/>
        <v>271.59999999999997</v>
      </c>
      <c r="K146" s="590" t="str">
        <f t="shared" si="9"/>
        <v/>
      </c>
      <c r="L146" s="733"/>
      <c r="M146" s="548"/>
      <c r="N146" s="548"/>
      <c r="O146" s="546"/>
      <c r="P146" s="733"/>
      <c r="Q146" s="712"/>
      <c r="R146" s="759"/>
      <c r="S146" s="713"/>
      <c r="T146" s="761"/>
      <c r="U146" s="759"/>
      <c r="V146" s="759"/>
      <c r="W146" s="759"/>
      <c r="X146" s="713"/>
      <c r="Y146" s="761"/>
      <c r="Z146" s="759"/>
      <c r="AA146" s="759"/>
      <c r="AB146" s="546"/>
      <c r="AC146" s="733"/>
      <c r="AD146" s="712"/>
      <c r="AE146" s="712"/>
      <c r="AF146" s="546"/>
      <c r="AG146" s="733"/>
      <c r="AH146" s="712"/>
      <c r="AI146" s="712"/>
      <c r="AJ146" s="546"/>
      <c r="AK146" s="733"/>
      <c r="AL146" s="712"/>
      <c r="AM146" s="712"/>
      <c r="AN146" s="712"/>
      <c r="AO146" s="546"/>
      <c r="AP146" s="547"/>
      <c r="AQ146" s="548"/>
      <c r="AR146" s="548"/>
      <c r="AS146" s="546"/>
      <c r="AT146" s="547"/>
      <c r="AU146" s="548"/>
      <c r="AV146" s="548"/>
      <c r="AW146" s="546"/>
      <c r="AX146" s="547"/>
      <c r="AY146" s="548"/>
      <c r="AZ146" s="548"/>
      <c r="BA146" s="548"/>
      <c r="BB146" s="546"/>
      <c r="BC146" s="547"/>
      <c r="BD146" s="548"/>
      <c r="BE146" s="548"/>
      <c r="BF146" s="546"/>
      <c r="BG146" s="547"/>
      <c r="BH146" s="548"/>
      <c r="BI146" s="548"/>
      <c r="BJ146" s="548"/>
      <c r="BK146" s="546"/>
      <c r="BL146" s="547"/>
      <c r="BM146" s="548"/>
      <c r="BN146" s="548"/>
      <c r="BO146" s="546"/>
      <c r="BP146" s="547"/>
      <c r="BQ146" s="548"/>
      <c r="BR146" s="548"/>
      <c r="BS146" s="546"/>
      <c r="BT146" s="547"/>
      <c r="BU146" s="548"/>
      <c r="BV146" s="548"/>
      <c r="BW146" s="548"/>
      <c r="BX146" s="546"/>
      <c r="BY146" s="547"/>
      <c r="BZ146" s="548"/>
      <c r="CA146" s="560"/>
      <c r="CB146" s="549"/>
    </row>
    <row r="147" spans="1:80" ht="12.75" outlineLevel="1" thickTop="1" thickBot="1">
      <c r="A147" s="594">
        <v>137</v>
      </c>
      <c r="B147" s="556" t="s">
        <v>546</v>
      </c>
      <c r="C147" s="545"/>
      <c r="D147" s="557">
        <f>DureeHL($L147:$CB147)</f>
        <v>17</v>
      </c>
      <c r="E147" s="589">
        <v>2</v>
      </c>
      <c r="F147" s="545" t="s">
        <v>532</v>
      </c>
      <c r="G147" s="589">
        <v>1.62</v>
      </c>
      <c r="H147" s="591"/>
      <c r="I147" s="558"/>
      <c r="J147" s="589">
        <f t="shared" si="20"/>
        <v>385.56</v>
      </c>
      <c r="K147" s="590" t="str">
        <f t="shared" si="9"/>
        <v/>
      </c>
      <c r="L147" s="733"/>
      <c r="M147" s="548"/>
      <c r="N147" s="548"/>
      <c r="O147" s="714"/>
      <c r="P147" s="771"/>
      <c r="Q147" s="772"/>
      <c r="R147" s="768"/>
      <c r="S147" s="769"/>
      <c r="T147" s="770"/>
      <c r="U147" s="768"/>
      <c r="V147" s="768"/>
      <c r="W147" s="768"/>
      <c r="X147" s="769"/>
      <c r="Y147" s="770"/>
      <c r="Z147" s="768"/>
      <c r="AA147" s="768"/>
      <c r="AB147" s="714"/>
      <c r="AC147" s="771"/>
      <c r="AD147" s="772"/>
      <c r="AE147" s="772"/>
      <c r="AF147" s="546"/>
      <c r="AG147" s="733"/>
      <c r="AH147" s="712"/>
      <c r="AI147" s="712"/>
      <c r="AJ147" s="546"/>
      <c r="AK147" s="733"/>
      <c r="AL147" s="712"/>
      <c r="AM147" s="712"/>
      <c r="AN147" s="712"/>
      <c r="AO147" s="546"/>
      <c r="AP147" s="547"/>
      <c r="AQ147" s="548"/>
      <c r="AR147" s="548"/>
      <c r="AS147" s="546"/>
      <c r="AT147" s="547"/>
      <c r="AU147" s="548"/>
      <c r="AV147" s="548"/>
      <c r="AW147" s="546"/>
      <c r="AX147" s="547"/>
      <c r="AY147" s="548"/>
      <c r="AZ147" s="548"/>
      <c r="BA147" s="548"/>
      <c r="BB147" s="546"/>
      <c r="BC147" s="547"/>
      <c r="BD147" s="548"/>
      <c r="BE147" s="548"/>
      <c r="BF147" s="546"/>
      <c r="BG147" s="547"/>
      <c r="BH147" s="548"/>
      <c r="BI147" s="548"/>
      <c r="BJ147" s="548"/>
      <c r="BK147" s="546"/>
      <c r="BL147" s="547"/>
      <c r="BM147" s="548"/>
      <c r="BN147" s="548"/>
      <c r="BO147" s="546"/>
      <c r="BP147" s="547"/>
      <c r="BQ147" s="548"/>
      <c r="BR147" s="548"/>
      <c r="BS147" s="546"/>
      <c r="BT147" s="547"/>
      <c r="BU147" s="548"/>
      <c r="BV147" s="548"/>
      <c r="BW147" s="548"/>
      <c r="BX147" s="546"/>
      <c r="BY147" s="547"/>
      <c r="BZ147" s="548"/>
      <c r="CA147" s="560"/>
      <c r="CB147" s="549"/>
    </row>
    <row r="148" spans="1:80" ht="12.75" outlineLevel="1" thickTop="1" thickBot="1">
      <c r="A148" s="594">
        <v>138</v>
      </c>
      <c r="B148" s="556" t="s">
        <v>547</v>
      </c>
      <c r="C148" s="545"/>
      <c r="D148" s="557">
        <f>DureeHL($L148:$CB148)</f>
        <v>17</v>
      </c>
      <c r="E148" s="589">
        <v>1</v>
      </c>
      <c r="F148" s="545" t="s">
        <v>532</v>
      </c>
      <c r="G148" s="589">
        <v>2.72</v>
      </c>
      <c r="H148" s="591"/>
      <c r="I148" s="558"/>
      <c r="J148" s="589">
        <f t="shared" si="20"/>
        <v>323.68</v>
      </c>
      <c r="K148" s="590" t="str">
        <f t="shared" si="9"/>
        <v/>
      </c>
      <c r="L148" s="547"/>
      <c r="M148" s="548"/>
      <c r="N148" s="548"/>
      <c r="O148" s="715"/>
      <c r="P148" s="773"/>
      <c r="Q148" s="774"/>
      <c r="R148" s="774"/>
      <c r="S148" s="715"/>
      <c r="T148" s="773"/>
      <c r="U148" s="774"/>
      <c r="V148" s="774"/>
      <c r="W148" s="774"/>
      <c r="X148" s="715"/>
      <c r="Y148" s="773"/>
      <c r="Z148" s="774"/>
      <c r="AA148" s="774"/>
      <c r="AB148" s="715"/>
      <c r="AC148" s="773"/>
      <c r="AD148" s="774"/>
      <c r="AE148" s="774"/>
      <c r="AF148" s="546"/>
      <c r="AG148" s="733"/>
      <c r="AH148" s="712"/>
      <c r="AI148" s="712"/>
      <c r="AJ148" s="546"/>
      <c r="AK148" s="733"/>
      <c r="AL148" s="712"/>
      <c r="AM148" s="712"/>
      <c r="AN148" s="712"/>
      <c r="AO148" s="546"/>
      <c r="AP148" s="547"/>
      <c r="AQ148" s="548"/>
      <c r="AR148" s="548"/>
      <c r="AS148" s="546"/>
      <c r="AT148" s="547"/>
      <c r="AU148" s="548"/>
      <c r="AV148" s="548"/>
      <c r="AW148" s="546"/>
      <c r="AX148" s="547"/>
      <c r="AY148" s="548"/>
      <c r="AZ148" s="548"/>
      <c r="BA148" s="548"/>
      <c r="BB148" s="546"/>
      <c r="BC148" s="547"/>
      <c r="BD148" s="548"/>
      <c r="BE148" s="548"/>
      <c r="BF148" s="546"/>
      <c r="BG148" s="547"/>
      <c r="BH148" s="548"/>
      <c r="BI148" s="548"/>
      <c r="BJ148" s="548"/>
      <c r="BK148" s="546"/>
      <c r="BL148" s="547"/>
      <c r="BM148" s="548"/>
      <c r="BN148" s="548"/>
      <c r="BO148" s="546"/>
      <c r="BP148" s="547"/>
      <c r="BQ148" s="548"/>
      <c r="BR148" s="548"/>
      <c r="BS148" s="546"/>
      <c r="BT148" s="547"/>
      <c r="BU148" s="548"/>
      <c r="BV148" s="548"/>
      <c r="BW148" s="548"/>
      <c r="BX148" s="546"/>
      <c r="BY148" s="547"/>
      <c r="BZ148" s="548"/>
      <c r="CA148" s="560"/>
      <c r="CB148" s="549"/>
    </row>
    <row r="149" spans="1:80" ht="12.75" outlineLevel="1" thickTop="1" thickBot="1">
      <c r="A149" s="594">
        <v>139</v>
      </c>
      <c r="B149" s="556" t="s">
        <v>579</v>
      </c>
      <c r="C149" s="545"/>
      <c r="D149" s="557">
        <f>DureeHL($L149:$CB149)</f>
        <v>17</v>
      </c>
      <c r="E149" s="589">
        <v>2</v>
      </c>
      <c r="F149" s="545" t="s">
        <v>532</v>
      </c>
      <c r="G149" s="589">
        <v>2.4300000000000002</v>
      </c>
      <c r="H149" s="591"/>
      <c r="I149" s="558"/>
      <c r="J149" s="589">
        <f t="shared" si="20"/>
        <v>578.34</v>
      </c>
      <c r="K149" s="590" t="str">
        <f t="shared" si="9"/>
        <v/>
      </c>
      <c r="L149" s="547"/>
      <c r="M149" s="548"/>
      <c r="N149" s="548"/>
      <c r="O149" s="715"/>
      <c r="P149" s="773"/>
      <c r="Q149" s="774"/>
      <c r="R149" s="774"/>
      <c r="S149" s="715"/>
      <c r="T149" s="773"/>
      <c r="U149" s="774"/>
      <c r="V149" s="774"/>
      <c r="W149" s="774"/>
      <c r="X149" s="715"/>
      <c r="Y149" s="773"/>
      <c r="Z149" s="774"/>
      <c r="AA149" s="774"/>
      <c r="AB149" s="715"/>
      <c r="AC149" s="773"/>
      <c r="AD149" s="774"/>
      <c r="AE149" s="774"/>
      <c r="AF149" s="546"/>
      <c r="AG149" s="733"/>
      <c r="AH149" s="712"/>
      <c r="AI149" s="712"/>
      <c r="AJ149" s="546"/>
      <c r="AK149" s="733"/>
      <c r="AL149" s="712"/>
      <c r="AM149" s="712"/>
      <c r="AN149" s="712"/>
      <c r="AO149" s="546"/>
      <c r="AP149" s="547"/>
      <c r="AQ149" s="548"/>
      <c r="AR149" s="548"/>
      <c r="AS149" s="546"/>
      <c r="AT149" s="547"/>
      <c r="AU149" s="548"/>
      <c r="AV149" s="548"/>
      <c r="AW149" s="546"/>
      <c r="AX149" s="547"/>
      <c r="AY149" s="548"/>
      <c r="AZ149" s="548"/>
      <c r="BA149" s="548"/>
      <c r="BB149" s="546"/>
      <c r="BC149" s="547"/>
      <c r="BD149" s="548"/>
      <c r="BE149" s="548"/>
      <c r="BF149" s="546"/>
      <c r="BG149" s="547"/>
      <c r="BH149" s="548"/>
      <c r="BI149" s="548"/>
      <c r="BJ149" s="548"/>
      <c r="BK149" s="546"/>
      <c r="BL149" s="547"/>
      <c r="BM149" s="548"/>
      <c r="BN149" s="548"/>
      <c r="BO149" s="546"/>
      <c r="BP149" s="547"/>
      <c r="BQ149" s="548"/>
      <c r="BR149" s="548"/>
      <c r="BS149" s="546"/>
      <c r="BT149" s="547"/>
      <c r="BU149" s="548"/>
      <c r="BV149" s="548"/>
      <c r="BW149" s="548"/>
      <c r="BX149" s="546"/>
      <c r="BY149" s="547"/>
      <c r="BZ149" s="548"/>
      <c r="CA149" s="560"/>
      <c r="CB149" s="549"/>
    </row>
    <row r="150" spans="1:80" ht="12" outlineLevel="1" thickTop="1">
      <c r="A150" s="594">
        <v>140</v>
      </c>
      <c r="B150" s="556" t="s">
        <v>580</v>
      </c>
      <c r="C150" s="545"/>
      <c r="D150" s="557" t="str">
        <f>DureeHL($L150:$CB150)</f>
        <v/>
      </c>
      <c r="E150" s="589">
        <v>0</v>
      </c>
      <c r="F150" s="545" t="s">
        <v>532</v>
      </c>
      <c r="G150" s="589">
        <v>3.1619999999999999</v>
      </c>
      <c r="H150" s="591"/>
      <c r="I150" s="558"/>
      <c r="J150" s="589">
        <f t="shared" si="20"/>
        <v>0</v>
      </c>
      <c r="K150" s="590" t="str">
        <f t="shared" si="9"/>
        <v>C</v>
      </c>
      <c r="L150" s="547"/>
      <c r="M150" s="548"/>
      <c r="N150" s="548"/>
      <c r="O150" s="727"/>
      <c r="P150" s="725"/>
      <c r="Q150" s="726"/>
      <c r="R150" s="726"/>
      <c r="S150" s="727"/>
      <c r="T150" s="725"/>
      <c r="U150" s="726"/>
      <c r="V150" s="726"/>
      <c r="W150" s="726"/>
      <c r="X150" s="727"/>
      <c r="Y150" s="725"/>
      <c r="Z150" s="726"/>
      <c r="AA150" s="726"/>
      <c r="AB150" s="727"/>
      <c r="AC150" s="725"/>
      <c r="AD150" s="726"/>
      <c r="AE150" s="726"/>
      <c r="AF150" s="546"/>
      <c r="AG150" s="733"/>
      <c r="AH150" s="712"/>
      <c r="AI150" s="712"/>
      <c r="AJ150" s="546"/>
      <c r="AK150" s="733"/>
      <c r="AL150" s="726"/>
      <c r="AM150" s="726"/>
      <c r="AN150" s="726"/>
      <c r="AO150" s="727"/>
      <c r="AP150" s="547"/>
      <c r="AQ150" s="548"/>
      <c r="AR150" s="548"/>
      <c r="AS150" s="546"/>
      <c r="AT150" s="547"/>
      <c r="AU150" s="548"/>
      <c r="AV150" s="548"/>
      <c r="AW150" s="546"/>
      <c r="AX150" s="547"/>
      <c r="AY150" s="548"/>
      <c r="AZ150" s="548"/>
      <c r="BA150" s="548"/>
      <c r="BB150" s="546"/>
      <c r="BC150" s="547"/>
      <c r="BD150" s="548"/>
      <c r="BE150" s="548"/>
      <c r="BF150" s="546"/>
      <c r="BG150" s="547"/>
      <c r="BH150" s="548"/>
      <c r="BI150" s="548"/>
      <c r="BJ150" s="548"/>
      <c r="BK150" s="546"/>
      <c r="BL150" s="547"/>
      <c r="BM150" s="548"/>
      <c r="BN150" s="548"/>
      <c r="BO150" s="546"/>
      <c r="BP150" s="547"/>
      <c r="BQ150" s="548"/>
      <c r="BR150" s="548"/>
      <c r="BS150" s="546"/>
      <c r="BT150" s="547"/>
      <c r="BU150" s="548"/>
      <c r="BV150" s="548"/>
      <c r="BW150" s="548"/>
      <c r="BX150" s="546"/>
      <c r="BY150" s="547"/>
      <c r="BZ150" s="548"/>
      <c r="CA150" s="560"/>
      <c r="CB150" s="549"/>
    </row>
    <row r="151" spans="1:80" outlineLevel="1">
      <c r="A151" s="594">
        <v>141</v>
      </c>
      <c r="B151" s="556" t="s">
        <v>585</v>
      </c>
      <c r="C151" s="545"/>
      <c r="D151" s="557" t="s">
        <v>622</v>
      </c>
      <c r="E151" s="589">
        <f>8*2.8</f>
        <v>22.4</v>
      </c>
      <c r="F151" s="545" t="s">
        <v>516</v>
      </c>
      <c r="G151" s="589">
        <v>35</v>
      </c>
      <c r="H151" s="595"/>
      <c r="I151" s="558"/>
      <c r="J151" s="589">
        <f t="shared" si="20"/>
        <v>784</v>
      </c>
      <c r="K151" s="590" t="str">
        <f t="shared" si="9"/>
        <v/>
      </c>
      <c r="L151" s="547"/>
      <c r="M151" s="548"/>
      <c r="N151" s="548"/>
      <c r="O151" s="546"/>
      <c r="P151" s="547"/>
      <c r="Q151" s="548"/>
      <c r="R151" s="548"/>
      <c r="S151" s="546"/>
      <c r="T151" s="547"/>
      <c r="U151" s="548"/>
      <c r="V151" s="548"/>
      <c r="W151" s="548"/>
      <c r="X151" s="546"/>
      <c r="Y151" s="547"/>
      <c r="Z151" s="548"/>
      <c r="AA151" s="548"/>
      <c r="AB151" s="546"/>
      <c r="AC151" s="547"/>
      <c r="AD151" s="548"/>
      <c r="AE151" s="548"/>
      <c r="AF151" s="546"/>
      <c r="AG151" s="733"/>
      <c r="AH151" s="712"/>
      <c r="AI151" s="712"/>
      <c r="AJ151" s="546"/>
      <c r="AK151" s="733"/>
      <c r="AL151" s="548"/>
      <c r="AM151" s="548"/>
      <c r="AN151" s="548"/>
      <c r="AO151" s="546"/>
      <c r="AP151" s="547"/>
      <c r="AQ151" s="548"/>
      <c r="AR151" s="548"/>
      <c r="AS151" s="546"/>
      <c r="AT151" s="547"/>
      <c r="AU151" s="548"/>
      <c r="AV151" s="548"/>
      <c r="AW151" s="546"/>
      <c r="AX151" s="547"/>
      <c r="AY151" s="548"/>
      <c r="AZ151" s="548"/>
      <c r="BA151" s="548"/>
      <c r="BB151" s="546"/>
      <c r="BC151" s="547"/>
      <c r="BD151" s="548"/>
      <c r="BE151" s="548"/>
      <c r="BF151" s="546"/>
      <c r="BG151" s="547"/>
      <c r="BH151" s="548"/>
      <c r="BI151" s="548"/>
      <c r="BJ151" s="548"/>
      <c r="BK151" s="546"/>
      <c r="BL151" s="547"/>
      <c r="BM151" s="548"/>
      <c r="BN151" s="548"/>
      <c r="BO151" s="546"/>
      <c r="BP151" s="547"/>
      <c r="BQ151" s="548"/>
      <c r="BR151" s="548"/>
      <c r="BS151" s="546"/>
      <c r="BT151" s="547"/>
      <c r="BU151" s="548"/>
      <c r="BV151" s="548"/>
      <c r="BW151" s="548"/>
      <c r="BX151" s="546"/>
      <c r="BY151" s="547"/>
      <c r="BZ151" s="548"/>
      <c r="CA151" s="560"/>
      <c r="CB151" s="549"/>
    </row>
    <row r="152" spans="1:80" outlineLevel="1">
      <c r="A152" s="594">
        <v>142</v>
      </c>
      <c r="B152" s="556" t="s">
        <v>584</v>
      </c>
      <c r="C152" s="545"/>
      <c r="D152" s="557" t="s">
        <v>622</v>
      </c>
      <c r="E152" s="589">
        <v>0</v>
      </c>
      <c r="F152" s="545" t="s">
        <v>516</v>
      </c>
      <c r="G152" s="589">
        <v>40</v>
      </c>
      <c r="H152" s="595"/>
      <c r="I152" s="558"/>
      <c r="J152" s="589">
        <f t="shared" si="20"/>
        <v>0</v>
      </c>
      <c r="K152" s="590" t="str">
        <f t="shared" si="9"/>
        <v>C</v>
      </c>
      <c r="L152" s="547"/>
      <c r="M152" s="548"/>
      <c r="N152" s="548"/>
      <c r="O152" s="546"/>
      <c r="P152" s="547"/>
      <c r="Q152" s="548"/>
      <c r="R152" s="548"/>
      <c r="S152" s="546"/>
      <c r="T152" s="547"/>
      <c r="U152" s="548"/>
      <c r="V152" s="548"/>
      <c r="W152" s="548"/>
      <c r="X152" s="546"/>
      <c r="Y152" s="547"/>
      <c r="Z152" s="548"/>
      <c r="AA152" s="548"/>
      <c r="AB152" s="546"/>
      <c r="AC152" s="547"/>
      <c r="AD152" s="548"/>
      <c r="AE152" s="548"/>
      <c r="AF152" s="546"/>
      <c r="AG152" s="733"/>
      <c r="AH152" s="712"/>
      <c r="AI152" s="712"/>
      <c r="AJ152" s="546"/>
      <c r="AK152" s="733"/>
      <c r="AL152" s="548"/>
      <c r="AM152" s="548"/>
      <c r="AN152" s="548"/>
      <c r="AO152" s="546"/>
      <c r="AP152" s="547"/>
      <c r="AQ152" s="548"/>
      <c r="AR152" s="548"/>
      <c r="AS152" s="546"/>
      <c r="AT152" s="547"/>
      <c r="AU152" s="548"/>
      <c r="AV152" s="548"/>
      <c r="AW152" s="546"/>
      <c r="AX152" s="547"/>
      <c r="AY152" s="548"/>
      <c r="AZ152" s="548"/>
      <c r="BA152" s="548"/>
      <c r="BB152" s="546"/>
      <c r="BC152" s="547"/>
      <c r="BD152" s="548"/>
      <c r="BE152" s="548"/>
      <c r="BF152" s="546"/>
      <c r="BG152" s="547"/>
      <c r="BH152" s="548"/>
      <c r="BI152" s="548"/>
      <c r="BJ152" s="548"/>
      <c r="BK152" s="546"/>
      <c r="BL152" s="547"/>
      <c r="BM152" s="548"/>
      <c r="BN152" s="548"/>
      <c r="BO152" s="546"/>
      <c r="BP152" s="547"/>
      <c r="BQ152" s="548"/>
      <c r="BR152" s="548"/>
      <c r="BS152" s="546"/>
      <c r="BT152" s="547"/>
      <c r="BU152" s="548"/>
      <c r="BV152" s="548"/>
      <c r="BW152" s="548"/>
      <c r="BX152" s="546"/>
      <c r="BY152" s="547"/>
      <c r="BZ152" s="548"/>
      <c r="CA152" s="560"/>
      <c r="CB152" s="549"/>
    </row>
    <row r="153" spans="1:80" outlineLevel="1">
      <c r="A153" s="594">
        <v>143</v>
      </c>
      <c r="B153" s="556" t="s">
        <v>586</v>
      </c>
      <c r="C153" s="545"/>
      <c r="D153" s="557" t="s">
        <v>622</v>
      </c>
      <c r="E153" s="589">
        <v>0</v>
      </c>
      <c r="F153" s="545" t="s">
        <v>516</v>
      </c>
      <c r="G153" s="589">
        <v>30</v>
      </c>
      <c r="H153" s="595"/>
      <c r="I153" s="558"/>
      <c r="J153" s="589">
        <f t="shared" si="20"/>
        <v>0</v>
      </c>
      <c r="K153" s="590" t="str">
        <f t="shared" si="9"/>
        <v>C</v>
      </c>
      <c r="L153" s="547"/>
      <c r="M153" s="548"/>
      <c r="N153" s="548"/>
      <c r="O153" s="546"/>
      <c r="P153" s="547"/>
      <c r="Q153" s="548"/>
      <c r="R153" s="548"/>
      <c r="S153" s="546"/>
      <c r="T153" s="547"/>
      <c r="U153" s="548"/>
      <c r="V153" s="548"/>
      <c r="W153" s="548"/>
      <c r="X153" s="546"/>
      <c r="Y153" s="547"/>
      <c r="Z153" s="548"/>
      <c r="AA153" s="548"/>
      <c r="AB153" s="546"/>
      <c r="AC153" s="547"/>
      <c r="AD153" s="548"/>
      <c r="AE153" s="548"/>
      <c r="AF153" s="546"/>
      <c r="AG153" s="733"/>
      <c r="AH153" s="712"/>
      <c r="AI153" s="712"/>
      <c r="AJ153" s="546"/>
      <c r="AK153" s="733"/>
      <c r="AL153" s="548"/>
      <c r="AM153" s="548"/>
      <c r="AN153" s="548"/>
      <c r="AO153" s="546"/>
      <c r="AP153" s="547"/>
      <c r="AQ153" s="548"/>
      <c r="AR153" s="548"/>
      <c r="AS153" s="546"/>
      <c r="AT153" s="547"/>
      <c r="AU153" s="548"/>
      <c r="AV153" s="548"/>
      <c r="AW153" s="546"/>
      <c r="AX153" s="547"/>
      <c r="AY153" s="548"/>
      <c r="AZ153" s="548"/>
      <c r="BA153" s="548"/>
      <c r="BB153" s="546"/>
      <c r="BC153" s="547"/>
      <c r="BD153" s="548"/>
      <c r="BE153" s="548"/>
      <c r="BF153" s="546"/>
      <c r="BG153" s="547"/>
      <c r="BH153" s="548"/>
      <c r="BI153" s="548"/>
      <c r="BJ153" s="548"/>
      <c r="BK153" s="546"/>
      <c r="BL153" s="547"/>
      <c r="BM153" s="548"/>
      <c r="BN153" s="548"/>
      <c r="BO153" s="546"/>
      <c r="BP153" s="547"/>
      <c r="BQ153" s="548"/>
      <c r="BR153" s="548"/>
      <c r="BS153" s="546"/>
      <c r="BT153" s="547"/>
      <c r="BU153" s="548"/>
      <c r="BV153" s="548"/>
      <c r="BW153" s="548"/>
      <c r="BX153" s="546"/>
      <c r="BY153" s="547"/>
      <c r="BZ153" s="548"/>
      <c r="CA153" s="560"/>
      <c r="CB153" s="549"/>
    </row>
    <row r="154" spans="1:80" outlineLevel="1">
      <c r="A154" s="515">
        <v>144</v>
      </c>
      <c r="B154" s="596" t="s">
        <v>588</v>
      </c>
      <c r="C154" s="545"/>
      <c r="D154" s="557" t="s">
        <v>622</v>
      </c>
      <c r="E154" s="545"/>
      <c r="F154" s="545" t="s">
        <v>533</v>
      </c>
      <c r="G154" s="589">
        <v>13</v>
      </c>
      <c r="H154" s="558"/>
      <c r="I154" s="558"/>
      <c r="J154" s="589">
        <f t="shared" si="20"/>
        <v>0</v>
      </c>
      <c r="K154" s="590" t="str">
        <f t="shared" si="9"/>
        <v>C</v>
      </c>
      <c r="L154" s="547"/>
      <c r="M154" s="548"/>
      <c r="N154" s="548"/>
      <c r="O154" s="546"/>
      <c r="P154" s="547"/>
      <c r="Q154" s="548"/>
      <c r="R154" s="548"/>
      <c r="S154" s="546"/>
      <c r="T154" s="547"/>
      <c r="U154" s="548"/>
      <c r="V154" s="548"/>
      <c r="W154" s="548"/>
      <c r="X154" s="546"/>
      <c r="Y154" s="547"/>
      <c r="Z154" s="548"/>
      <c r="AA154" s="548"/>
      <c r="AB154" s="546"/>
      <c r="AC154" s="547"/>
      <c r="AD154" s="548"/>
      <c r="AE154" s="548"/>
      <c r="AF154" s="546"/>
      <c r="AG154" s="547"/>
      <c r="AH154" s="548"/>
      <c r="AI154" s="548"/>
      <c r="AJ154" s="546"/>
      <c r="AK154" s="547"/>
      <c r="AL154" s="548"/>
      <c r="AM154" s="548"/>
      <c r="AN154" s="548"/>
      <c r="AO154" s="546"/>
      <c r="AP154" s="547"/>
      <c r="AQ154" s="548"/>
      <c r="AR154" s="548"/>
      <c r="AS154" s="546"/>
      <c r="AT154" s="547"/>
      <c r="AU154" s="548"/>
      <c r="AV154" s="548"/>
      <c r="AW154" s="546"/>
      <c r="AX154" s="547"/>
      <c r="AY154" s="548"/>
      <c r="AZ154" s="548"/>
      <c r="BA154" s="548"/>
      <c r="BB154" s="546"/>
      <c r="BC154" s="547"/>
      <c r="BD154" s="548"/>
      <c r="BE154" s="548"/>
      <c r="BF154" s="546"/>
      <c r="BG154" s="547"/>
      <c r="BH154" s="548"/>
      <c r="BI154" s="548"/>
      <c r="BJ154" s="548"/>
      <c r="BK154" s="546"/>
      <c r="BL154" s="547"/>
      <c r="BM154" s="548"/>
      <c r="BN154" s="548"/>
      <c r="BO154" s="546"/>
      <c r="BP154" s="547"/>
      <c r="BQ154" s="548"/>
      <c r="BR154" s="548"/>
      <c r="BS154" s="546"/>
      <c r="BT154" s="547"/>
      <c r="BU154" s="548"/>
      <c r="BV154" s="548"/>
      <c r="BW154" s="548"/>
      <c r="BX154" s="546"/>
      <c r="BY154" s="547"/>
      <c r="BZ154" s="548"/>
      <c r="CA154" s="560"/>
      <c r="CB154" s="549"/>
    </row>
    <row r="155" spans="1:80" outlineLevel="1">
      <c r="A155" s="515">
        <v>145</v>
      </c>
      <c r="B155" s="596" t="s">
        <v>626</v>
      </c>
      <c r="C155" s="545"/>
      <c r="D155" s="557" t="s">
        <v>622</v>
      </c>
      <c r="E155" s="545"/>
      <c r="F155" s="545" t="s">
        <v>533</v>
      </c>
      <c r="G155" s="589">
        <v>7</v>
      </c>
      <c r="H155" s="558"/>
      <c r="I155" s="558"/>
      <c r="J155" s="589">
        <f t="shared" si="20"/>
        <v>0</v>
      </c>
      <c r="K155" s="590" t="str">
        <f t="shared" si="9"/>
        <v>C</v>
      </c>
      <c r="L155" s="547"/>
      <c r="M155" s="548"/>
      <c r="N155" s="548"/>
      <c r="O155" s="546"/>
      <c r="P155" s="547"/>
      <c r="Q155" s="548"/>
      <c r="R155" s="548"/>
      <c r="S155" s="546"/>
      <c r="T155" s="547"/>
      <c r="U155" s="548"/>
      <c r="V155" s="548"/>
      <c r="W155" s="548"/>
      <c r="X155" s="546"/>
      <c r="Y155" s="547"/>
      <c r="Z155" s="548"/>
      <c r="AA155" s="548"/>
      <c r="AB155" s="546"/>
      <c r="AC155" s="547"/>
      <c r="AD155" s="548"/>
      <c r="AE155" s="548"/>
      <c r="AF155" s="546"/>
      <c r="AG155" s="547"/>
      <c r="AH155" s="548"/>
      <c r="AI155" s="548"/>
      <c r="AJ155" s="546"/>
      <c r="AK155" s="547"/>
      <c r="AL155" s="548"/>
      <c r="AM155" s="548"/>
      <c r="AN155" s="548"/>
      <c r="AO155" s="546"/>
      <c r="AP155" s="547"/>
      <c r="AQ155" s="548"/>
      <c r="AR155" s="548"/>
      <c r="AS155" s="546"/>
      <c r="AT155" s="547"/>
      <c r="AU155" s="548"/>
      <c r="AV155" s="548"/>
      <c r="AW155" s="546"/>
      <c r="AX155" s="547"/>
      <c r="AY155" s="548"/>
      <c r="AZ155" s="548"/>
      <c r="BA155" s="548"/>
      <c r="BB155" s="546"/>
      <c r="BC155" s="547"/>
      <c r="BD155" s="548"/>
      <c r="BE155" s="548"/>
      <c r="BF155" s="546"/>
      <c r="BG155" s="547"/>
      <c r="BH155" s="548"/>
      <c r="BI155" s="548"/>
      <c r="BJ155" s="548"/>
      <c r="BK155" s="546"/>
      <c r="BL155" s="547"/>
      <c r="BM155" s="548"/>
      <c r="BN155" s="548"/>
      <c r="BO155" s="546"/>
      <c r="BP155" s="547"/>
      <c r="BQ155" s="548"/>
      <c r="BR155" s="548"/>
      <c r="BS155" s="546"/>
      <c r="BT155" s="547"/>
      <c r="BU155" s="548"/>
      <c r="BV155" s="548"/>
      <c r="BW155" s="548"/>
      <c r="BX155" s="546"/>
      <c r="BY155" s="547"/>
      <c r="BZ155" s="548"/>
      <c r="CA155" s="560"/>
      <c r="CB155" s="549"/>
    </row>
    <row r="156" spans="1:80" outlineLevel="1">
      <c r="A156" s="515">
        <v>146</v>
      </c>
      <c r="B156" s="596" t="s">
        <v>501</v>
      </c>
      <c r="C156" s="545"/>
      <c r="D156" s="557" t="s">
        <v>622</v>
      </c>
      <c r="E156" s="545"/>
      <c r="F156" s="545" t="s">
        <v>535</v>
      </c>
      <c r="G156" s="589">
        <v>17</v>
      </c>
      <c r="H156" s="558"/>
      <c r="I156" s="558"/>
      <c r="J156" s="589">
        <f>IF(D156="Achat",1,IF(D156="",0,D156*7))*E156*G156</f>
        <v>0</v>
      </c>
      <c r="K156" s="590" t="str">
        <f t="shared" si="9"/>
        <v>C</v>
      </c>
      <c r="L156" s="547"/>
      <c r="M156" s="548"/>
      <c r="N156" s="548"/>
      <c r="O156" s="546"/>
      <c r="P156" s="547"/>
      <c r="Q156" s="548"/>
      <c r="R156" s="548"/>
      <c r="S156" s="546"/>
      <c r="T156" s="547"/>
      <c r="U156" s="548"/>
      <c r="V156" s="548"/>
      <c r="W156" s="548"/>
      <c r="X156" s="546"/>
      <c r="Y156" s="547"/>
      <c r="Z156" s="548"/>
      <c r="AA156" s="548"/>
      <c r="AB156" s="546"/>
      <c r="AC156" s="547"/>
      <c r="AD156" s="548"/>
      <c r="AE156" s="548"/>
      <c r="AF156" s="546"/>
      <c r="AG156" s="547"/>
      <c r="AH156" s="548"/>
      <c r="AI156" s="548"/>
      <c r="AJ156" s="546"/>
      <c r="AK156" s="547"/>
      <c r="AL156" s="548"/>
      <c r="AM156" s="548"/>
      <c r="AN156" s="548"/>
      <c r="AO156" s="546"/>
      <c r="AP156" s="547"/>
      <c r="AQ156" s="548"/>
      <c r="AR156" s="548"/>
      <c r="AS156" s="546"/>
      <c r="AT156" s="547"/>
      <c r="AU156" s="548"/>
      <c r="AV156" s="548"/>
      <c r="AW156" s="546"/>
      <c r="AX156" s="547"/>
      <c r="AY156" s="548"/>
      <c r="AZ156" s="548"/>
      <c r="BA156" s="548"/>
      <c r="BB156" s="546"/>
      <c r="BC156" s="547"/>
      <c r="BD156" s="548"/>
      <c r="BE156" s="548"/>
      <c r="BF156" s="546"/>
      <c r="BG156" s="547"/>
      <c r="BH156" s="548"/>
      <c r="BI156" s="548"/>
      <c r="BJ156" s="548"/>
      <c r="BK156" s="546"/>
      <c r="BL156" s="547"/>
      <c r="BM156" s="548"/>
      <c r="BN156" s="548"/>
      <c r="BO156" s="546"/>
      <c r="BP156" s="547"/>
      <c r="BQ156" s="548"/>
      <c r="BR156" s="548"/>
      <c r="BS156" s="546"/>
      <c r="BT156" s="547"/>
      <c r="BU156" s="548"/>
      <c r="BV156" s="548"/>
      <c r="BW156" s="548"/>
      <c r="BX156" s="546"/>
      <c r="BY156" s="547"/>
      <c r="BZ156" s="548"/>
      <c r="CA156" s="560"/>
      <c r="CB156" s="549"/>
    </row>
    <row r="157" spans="1:80" outlineLevel="1">
      <c r="A157" s="515">
        <v>147</v>
      </c>
      <c r="B157" s="596" t="s">
        <v>502</v>
      </c>
      <c r="C157" s="545"/>
      <c r="D157" s="557" t="s">
        <v>622</v>
      </c>
      <c r="E157" s="545"/>
      <c r="F157" s="545" t="s">
        <v>503</v>
      </c>
      <c r="G157" s="589">
        <v>1500</v>
      </c>
      <c r="H157" s="558"/>
      <c r="I157" s="558"/>
      <c r="J157" s="589">
        <f>IF(D157="Achat",1,IF(D157="",0,D157*7))*E157*G157</f>
        <v>0</v>
      </c>
      <c r="K157" s="590" t="str">
        <f t="shared" si="9"/>
        <v>C</v>
      </c>
      <c r="L157" s="547"/>
      <c r="M157" s="548"/>
      <c r="N157" s="548"/>
      <c r="O157" s="546"/>
      <c r="P157" s="547"/>
      <c r="Q157" s="548"/>
      <c r="R157" s="548"/>
      <c r="S157" s="546"/>
      <c r="T157" s="547"/>
      <c r="U157" s="548"/>
      <c r="V157" s="548"/>
      <c r="W157" s="548"/>
      <c r="X157" s="546"/>
      <c r="Y157" s="547"/>
      <c r="Z157" s="548"/>
      <c r="AA157" s="548"/>
      <c r="AB157" s="546"/>
      <c r="AC157" s="547"/>
      <c r="AD157" s="548"/>
      <c r="AE157" s="548"/>
      <c r="AF157" s="546"/>
      <c r="AG157" s="547"/>
      <c r="AH157" s="548"/>
      <c r="AI157" s="548"/>
      <c r="AJ157" s="546"/>
      <c r="AK157" s="547"/>
      <c r="AL157" s="548"/>
      <c r="AM157" s="548"/>
      <c r="AN157" s="548"/>
      <c r="AO157" s="546"/>
      <c r="AP157" s="547"/>
      <c r="AQ157" s="548"/>
      <c r="AR157" s="548"/>
      <c r="AS157" s="546"/>
      <c r="AT157" s="547"/>
      <c r="AU157" s="548"/>
      <c r="AV157" s="548"/>
      <c r="AW157" s="546"/>
      <c r="AX157" s="547"/>
      <c r="AY157" s="548"/>
      <c r="AZ157" s="548"/>
      <c r="BA157" s="548"/>
      <c r="BB157" s="546"/>
      <c r="BC157" s="547"/>
      <c r="BD157" s="548"/>
      <c r="BE157" s="548"/>
      <c r="BF157" s="546"/>
      <c r="BG157" s="547"/>
      <c r="BH157" s="548"/>
      <c r="BI157" s="548"/>
      <c r="BJ157" s="548"/>
      <c r="BK157" s="546"/>
      <c r="BL157" s="547"/>
      <c r="BM157" s="548"/>
      <c r="BN157" s="548"/>
      <c r="BO157" s="546"/>
      <c r="BP157" s="547"/>
      <c r="BQ157" s="548"/>
      <c r="BR157" s="548"/>
      <c r="BS157" s="546"/>
      <c r="BT157" s="547"/>
      <c r="BU157" s="548"/>
      <c r="BV157" s="548"/>
      <c r="BW157" s="548"/>
      <c r="BX157" s="546"/>
      <c r="BY157" s="547"/>
      <c r="BZ157" s="548"/>
      <c r="CA157" s="560"/>
      <c r="CB157" s="549"/>
    </row>
    <row r="158" spans="1:80" outlineLevel="1">
      <c r="A158" s="515">
        <v>148</v>
      </c>
      <c r="B158" s="596" t="s">
        <v>504</v>
      </c>
      <c r="C158" s="545"/>
      <c r="D158" s="557" t="s">
        <v>622</v>
      </c>
      <c r="E158" s="545"/>
      <c r="F158" s="545" t="s">
        <v>506</v>
      </c>
      <c r="G158" s="589">
        <v>15</v>
      </c>
      <c r="H158" s="558"/>
      <c r="I158" s="558"/>
      <c r="J158" s="589">
        <f>IF(D158="Achat",1,IF(D158="",0,D158*7))*E158*G158</f>
        <v>0</v>
      </c>
      <c r="K158" s="590" t="str">
        <f t="shared" si="9"/>
        <v>C</v>
      </c>
      <c r="L158" s="547"/>
      <c r="M158" s="548"/>
      <c r="N158" s="548"/>
      <c r="O158" s="546"/>
      <c r="P158" s="547"/>
      <c r="Q158" s="548"/>
      <c r="R158" s="548"/>
      <c r="S158" s="546"/>
      <c r="T158" s="547"/>
      <c r="U158" s="548"/>
      <c r="V158" s="548"/>
      <c r="W158" s="548"/>
      <c r="X158" s="546"/>
      <c r="Y158" s="547"/>
      <c r="Z158" s="548"/>
      <c r="AA158" s="548"/>
      <c r="AB158" s="546"/>
      <c r="AC158" s="547"/>
      <c r="AD158" s="548"/>
      <c r="AE158" s="548"/>
      <c r="AF158" s="546"/>
      <c r="AG158" s="547"/>
      <c r="AH158" s="548"/>
      <c r="AI158" s="548"/>
      <c r="AJ158" s="546"/>
      <c r="AK158" s="547"/>
      <c r="AL158" s="548"/>
      <c r="AM158" s="548"/>
      <c r="AN158" s="548"/>
      <c r="AO158" s="546"/>
      <c r="AP158" s="547"/>
      <c r="AQ158" s="548"/>
      <c r="AR158" s="548"/>
      <c r="AS158" s="546"/>
      <c r="AT158" s="547"/>
      <c r="AU158" s="548"/>
      <c r="AV158" s="548"/>
      <c r="AW158" s="546"/>
      <c r="AX158" s="547"/>
      <c r="AY158" s="548"/>
      <c r="AZ158" s="548"/>
      <c r="BA158" s="548"/>
      <c r="BB158" s="546"/>
      <c r="BC158" s="547"/>
      <c r="BD158" s="548"/>
      <c r="BE158" s="548"/>
      <c r="BF158" s="546"/>
      <c r="BG158" s="547"/>
      <c r="BH158" s="548"/>
      <c r="BI158" s="548"/>
      <c r="BJ158" s="548"/>
      <c r="BK158" s="546"/>
      <c r="BL158" s="547"/>
      <c r="BM158" s="548"/>
      <c r="BN158" s="548"/>
      <c r="BO158" s="546"/>
      <c r="BP158" s="547"/>
      <c r="BQ158" s="548"/>
      <c r="BR158" s="548"/>
      <c r="BS158" s="546"/>
      <c r="BT158" s="547"/>
      <c r="BU158" s="548"/>
      <c r="BV158" s="548"/>
      <c r="BW158" s="548"/>
      <c r="BX158" s="546"/>
      <c r="BY158" s="547"/>
      <c r="BZ158" s="548"/>
      <c r="CA158" s="560"/>
      <c r="CB158" s="549"/>
    </row>
    <row r="159" spans="1:80" outlineLevel="1">
      <c r="A159" s="515">
        <v>149</v>
      </c>
      <c r="B159" s="596" t="s">
        <v>456</v>
      </c>
      <c r="C159" s="545"/>
      <c r="D159" s="557" t="s">
        <v>622</v>
      </c>
      <c r="E159" s="545"/>
      <c r="F159" s="545" t="s">
        <v>532</v>
      </c>
      <c r="G159" s="589">
        <v>200</v>
      </c>
      <c r="H159" s="558"/>
      <c r="I159" s="558"/>
      <c r="J159" s="589">
        <f t="shared" si="20"/>
        <v>0</v>
      </c>
      <c r="K159" s="590" t="str">
        <f t="shared" si="9"/>
        <v>C</v>
      </c>
      <c r="L159" s="547"/>
      <c r="M159" s="548"/>
      <c r="N159" s="548"/>
      <c r="O159" s="546"/>
      <c r="P159" s="547"/>
      <c r="Q159" s="548"/>
      <c r="R159" s="548"/>
      <c r="S159" s="546"/>
      <c r="T159" s="547"/>
      <c r="U159" s="548"/>
      <c r="V159" s="548"/>
      <c r="W159" s="548"/>
      <c r="X159" s="546"/>
      <c r="Y159" s="547"/>
      <c r="Z159" s="548"/>
      <c r="AA159" s="548"/>
      <c r="AB159" s="546"/>
      <c r="AC159" s="547"/>
      <c r="AD159" s="548"/>
      <c r="AE159" s="548"/>
      <c r="AF159" s="546"/>
      <c r="AG159" s="547"/>
      <c r="AH159" s="548"/>
      <c r="AI159" s="548"/>
      <c r="AJ159" s="546"/>
      <c r="AK159" s="547"/>
      <c r="AL159" s="548"/>
      <c r="AM159" s="548"/>
      <c r="AN159" s="548"/>
      <c r="AO159" s="546"/>
      <c r="AP159" s="547"/>
      <c r="AQ159" s="548"/>
      <c r="AR159" s="548"/>
      <c r="AS159" s="546"/>
      <c r="AT159" s="547"/>
      <c r="AU159" s="548"/>
      <c r="AV159" s="548"/>
      <c r="AW159" s="546"/>
      <c r="AX159" s="547"/>
      <c r="AY159" s="548"/>
      <c r="AZ159" s="548"/>
      <c r="BA159" s="548"/>
      <c r="BB159" s="546"/>
      <c r="BC159" s="547"/>
      <c r="BD159" s="548"/>
      <c r="BE159" s="548"/>
      <c r="BF159" s="546"/>
      <c r="BG159" s="547"/>
      <c r="BH159" s="548"/>
      <c r="BI159" s="548"/>
      <c r="BJ159" s="548"/>
      <c r="BK159" s="546"/>
      <c r="BL159" s="547"/>
      <c r="BM159" s="548"/>
      <c r="BN159" s="548"/>
      <c r="BO159" s="546"/>
      <c r="BP159" s="547"/>
      <c r="BQ159" s="548"/>
      <c r="BR159" s="548"/>
      <c r="BS159" s="546"/>
      <c r="BT159" s="547"/>
      <c r="BU159" s="548"/>
      <c r="BV159" s="548"/>
      <c r="BW159" s="548"/>
      <c r="BX159" s="546"/>
      <c r="BY159" s="547"/>
      <c r="BZ159" s="548"/>
      <c r="CA159" s="560"/>
      <c r="CB159" s="549"/>
    </row>
    <row r="160" spans="1:80" outlineLevel="1">
      <c r="A160" s="515">
        <v>150</v>
      </c>
      <c r="B160" s="596" t="s">
        <v>455</v>
      </c>
      <c r="C160" s="545"/>
      <c r="D160" s="557" t="s">
        <v>622</v>
      </c>
      <c r="E160" s="545"/>
      <c r="F160" s="545" t="s">
        <v>533</v>
      </c>
      <c r="G160" s="589">
        <v>55</v>
      </c>
      <c r="H160" s="558"/>
      <c r="I160" s="558"/>
      <c r="J160" s="589">
        <f t="shared" si="20"/>
        <v>0</v>
      </c>
      <c r="K160" s="590" t="str">
        <f t="shared" si="9"/>
        <v>C</v>
      </c>
      <c r="L160" s="547"/>
      <c r="M160" s="548"/>
      <c r="N160" s="548"/>
      <c r="O160" s="546"/>
      <c r="P160" s="547"/>
      <c r="Q160" s="548"/>
      <c r="R160" s="548"/>
      <c r="S160" s="546"/>
      <c r="T160" s="547"/>
      <c r="U160" s="548"/>
      <c r="V160" s="548"/>
      <c r="W160" s="548"/>
      <c r="X160" s="546"/>
      <c r="Y160" s="547"/>
      <c r="Z160" s="548"/>
      <c r="AA160" s="548"/>
      <c r="AB160" s="546"/>
      <c r="AC160" s="547"/>
      <c r="AD160" s="548"/>
      <c r="AE160" s="548"/>
      <c r="AF160" s="546"/>
      <c r="AG160" s="547"/>
      <c r="AH160" s="548"/>
      <c r="AI160" s="548"/>
      <c r="AJ160" s="546"/>
      <c r="AK160" s="547"/>
      <c r="AL160" s="548"/>
      <c r="AM160" s="548"/>
      <c r="AN160" s="548"/>
      <c r="AO160" s="546"/>
      <c r="AP160" s="547"/>
      <c r="AQ160" s="548"/>
      <c r="AR160" s="548"/>
      <c r="AS160" s="546"/>
      <c r="AT160" s="547"/>
      <c r="AU160" s="548"/>
      <c r="AV160" s="548"/>
      <c r="AW160" s="546"/>
      <c r="AX160" s="547"/>
      <c r="AY160" s="548"/>
      <c r="AZ160" s="548"/>
      <c r="BA160" s="548"/>
      <c r="BB160" s="546"/>
      <c r="BC160" s="547"/>
      <c r="BD160" s="548"/>
      <c r="BE160" s="548"/>
      <c r="BF160" s="546"/>
      <c r="BG160" s="547"/>
      <c r="BH160" s="548"/>
      <c r="BI160" s="548"/>
      <c r="BJ160" s="548"/>
      <c r="BK160" s="546"/>
      <c r="BL160" s="547"/>
      <c r="BM160" s="548"/>
      <c r="BN160" s="548"/>
      <c r="BO160" s="546"/>
      <c r="BP160" s="547"/>
      <c r="BQ160" s="548"/>
      <c r="BR160" s="548"/>
      <c r="BS160" s="546"/>
      <c r="BT160" s="547"/>
      <c r="BU160" s="548"/>
      <c r="BV160" s="548"/>
      <c r="BW160" s="548"/>
      <c r="BX160" s="546"/>
      <c r="BY160" s="547"/>
      <c r="BZ160" s="548"/>
      <c r="CA160" s="560"/>
      <c r="CB160" s="549"/>
    </row>
    <row r="161" spans="1:80" outlineLevel="1">
      <c r="A161" s="515">
        <v>151</v>
      </c>
      <c r="B161" s="596" t="s">
        <v>589</v>
      </c>
      <c r="C161" s="545"/>
      <c r="D161" s="557" t="s">
        <v>622</v>
      </c>
      <c r="E161" s="545"/>
      <c r="F161" s="545" t="s">
        <v>516</v>
      </c>
      <c r="G161" s="589">
        <v>15</v>
      </c>
      <c r="H161" s="558"/>
      <c r="I161" s="558"/>
      <c r="J161" s="589">
        <f t="shared" si="20"/>
        <v>0</v>
      </c>
      <c r="K161" s="590" t="str">
        <f t="shared" si="9"/>
        <v>C</v>
      </c>
      <c r="L161" s="547"/>
      <c r="M161" s="548"/>
      <c r="N161" s="548"/>
      <c r="O161" s="546"/>
      <c r="P161" s="547"/>
      <c r="Q161" s="548"/>
      <c r="R161" s="548"/>
      <c r="S161" s="546"/>
      <c r="T161" s="547"/>
      <c r="U161" s="548"/>
      <c r="V161" s="548"/>
      <c r="W161" s="548"/>
      <c r="X161" s="546"/>
      <c r="Y161" s="547"/>
      <c r="Z161" s="548"/>
      <c r="AA161" s="548"/>
      <c r="AB161" s="546"/>
      <c r="AC161" s="547"/>
      <c r="AD161" s="548"/>
      <c r="AE161" s="548"/>
      <c r="AF161" s="546"/>
      <c r="AG161" s="547"/>
      <c r="AH161" s="548"/>
      <c r="AI161" s="548"/>
      <c r="AJ161" s="546"/>
      <c r="AK161" s="547"/>
      <c r="AL161" s="548"/>
      <c r="AM161" s="548"/>
      <c r="AN161" s="548"/>
      <c r="AO161" s="546"/>
      <c r="AP161" s="547"/>
      <c r="AQ161" s="548"/>
      <c r="AR161" s="548"/>
      <c r="AS161" s="546"/>
      <c r="AT161" s="547"/>
      <c r="AU161" s="548"/>
      <c r="AV161" s="548"/>
      <c r="AW161" s="546"/>
      <c r="AX161" s="547"/>
      <c r="AY161" s="548"/>
      <c r="AZ161" s="548"/>
      <c r="BA161" s="548"/>
      <c r="BB161" s="546"/>
      <c r="BC161" s="547"/>
      <c r="BD161" s="548"/>
      <c r="BE161" s="548"/>
      <c r="BF161" s="546"/>
      <c r="BG161" s="547"/>
      <c r="BH161" s="548"/>
      <c r="BI161" s="548"/>
      <c r="BJ161" s="548"/>
      <c r="BK161" s="546"/>
      <c r="BL161" s="547"/>
      <c r="BM161" s="548"/>
      <c r="BN161" s="548"/>
      <c r="BO161" s="546"/>
      <c r="BP161" s="547"/>
      <c r="BQ161" s="548"/>
      <c r="BR161" s="548"/>
      <c r="BS161" s="546"/>
      <c r="BT161" s="547"/>
      <c r="BU161" s="548"/>
      <c r="BV161" s="548"/>
      <c r="BW161" s="548"/>
      <c r="BX161" s="546"/>
      <c r="BY161" s="547"/>
      <c r="BZ161" s="548"/>
      <c r="CA161" s="560"/>
      <c r="CB161" s="549"/>
    </row>
    <row r="162" spans="1:80" outlineLevel="1">
      <c r="A162" s="515">
        <v>152</v>
      </c>
      <c r="B162" s="596" t="s">
        <v>507</v>
      </c>
      <c r="C162" s="545"/>
      <c r="D162" s="557" t="s">
        <v>622</v>
      </c>
      <c r="E162" s="545"/>
      <c r="F162" s="545" t="s">
        <v>516</v>
      </c>
      <c r="G162" s="589">
        <v>15</v>
      </c>
      <c r="H162" s="558"/>
      <c r="I162" s="558"/>
      <c r="J162" s="589">
        <f>IF(D162="Achat",1,IF(D162="",0,D162*7))*E162*G162</f>
        <v>0</v>
      </c>
      <c r="K162" s="590" t="str">
        <f t="shared" si="9"/>
        <v>C</v>
      </c>
      <c r="L162" s="547"/>
      <c r="M162" s="548"/>
      <c r="N162" s="548"/>
      <c r="O162" s="546"/>
      <c r="P162" s="547"/>
      <c r="Q162" s="548"/>
      <c r="R162" s="548"/>
      <c r="S162" s="546"/>
      <c r="T162" s="547"/>
      <c r="U162" s="548"/>
      <c r="V162" s="548"/>
      <c r="W162" s="548"/>
      <c r="X162" s="546"/>
      <c r="Y162" s="547"/>
      <c r="Z162" s="548"/>
      <c r="AA162" s="548"/>
      <c r="AB162" s="546"/>
      <c r="AC162" s="547"/>
      <c r="AD162" s="548"/>
      <c r="AE162" s="548"/>
      <c r="AF162" s="546"/>
      <c r="AG162" s="547"/>
      <c r="AH162" s="548"/>
      <c r="AI162" s="548"/>
      <c r="AJ162" s="546"/>
      <c r="AK162" s="547"/>
      <c r="AL162" s="548"/>
      <c r="AM162" s="548"/>
      <c r="AN162" s="548"/>
      <c r="AO162" s="546"/>
      <c r="AP162" s="547"/>
      <c r="AQ162" s="548"/>
      <c r="AR162" s="548"/>
      <c r="AS162" s="546"/>
      <c r="AT162" s="547"/>
      <c r="AU162" s="548"/>
      <c r="AV162" s="548"/>
      <c r="AW162" s="546"/>
      <c r="AX162" s="547"/>
      <c r="AY162" s="548"/>
      <c r="AZ162" s="548"/>
      <c r="BA162" s="548"/>
      <c r="BB162" s="546"/>
      <c r="BC162" s="547"/>
      <c r="BD162" s="548"/>
      <c r="BE162" s="548"/>
      <c r="BF162" s="546"/>
      <c r="BG162" s="547"/>
      <c r="BH162" s="548"/>
      <c r="BI162" s="548"/>
      <c r="BJ162" s="548"/>
      <c r="BK162" s="546"/>
      <c r="BL162" s="547"/>
      <c r="BM162" s="548"/>
      <c r="BN162" s="548"/>
      <c r="BO162" s="546"/>
      <c r="BP162" s="547"/>
      <c r="BQ162" s="548"/>
      <c r="BR162" s="548"/>
      <c r="BS162" s="546"/>
      <c r="BT162" s="547"/>
      <c r="BU162" s="548"/>
      <c r="BV162" s="548"/>
      <c r="BW162" s="548"/>
      <c r="BX162" s="546"/>
      <c r="BY162" s="547"/>
      <c r="BZ162" s="548"/>
      <c r="CA162" s="560"/>
      <c r="CB162" s="549"/>
    </row>
    <row r="163" spans="1:80" outlineLevel="1">
      <c r="A163" s="515">
        <v>153</v>
      </c>
      <c r="B163" s="596" t="s">
        <v>508</v>
      </c>
      <c r="C163" s="545"/>
      <c r="D163" s="557" t="s">
        <v>622</v>
      </c>
      <c r="E163" s="545"/>
      <c r="F163" s="545" t="s">
        <v>516</v>
      </c>
      <c r="G163" s="589">
        <v>15</v>
      </c>
      <c r="H163" s="558"/>
      <c r="I163" s="558"/>
      <c r="J163" s="589">
        <f t="shared" si="20"/>
        <v>0</v>
      </c>
      <c r="K163" s="590" t="str">
        <f t="shared" si="9"/>
        <v>C</v>
      </c>
      <c r="L163" s="547"/>
      <c r="M163" s="548"/>
      <c r="N163" s="548"/>
      <c r="O163" s="546"/>
      <c r="P163" s="547"/>
      <c r="Q163" s="548"/>
      <c r="R163" s="548"/>
      <c r="S163" s="546"/>
      <c r="T163" s="547"/>
      <c r="U163" s="548"/>
      <c r="V163" s="548"/>
      <c r="W163" s="548"/>
      <c r="X163" s="546"/>
      <c r="Y163" s="547"/>
      <c r="Z163" s="548"/>
      <c r="AA163" s="548"/>
      <c r="AB163" s="546"/>
      <c r="AC163" s="547"/>
      <c r="AD163" s="548"/>
      <c r="AE163" s="548"/>
      <c r="AF163" s="546"/>
      <c r="AG163" s="547"/>
      <c r="AH163" s="548"/>
      <c r="AI163" s="548"/>
      <c r="AJ163" s="546"/>
      <c r="AK163" s="547"/>
      <c r="AL163" s="548"/>
      <c r="AM163" s="548"/>
      <c r="AN163" s="548"/>
      <c r="AO163" s="546"/>
      <c r="AP163" s="547"/>
      <c r="AQ163" s="548"/>
      <c r="AR163" s="548"/>
      <c r="AS163" s="546"/>
      <c r="AT163" s="547"/>
      <c r="AU163" s="548"/>
      <c r="AV163" s="548"/>
      <c r="AW163" s="546"/>
      <c r="AX163" s="547"/>
      <c r="AY163" s="548"/>
      <c r="AZ163" s="548"/>
      <c r="BA163" s="548"/>
      <c r="BB163" s="546"/>
      <c r="BC163" s="547"/>
      <c r="BD163" s="548"/>
      <c r="BE163" s="548"/>
      <c r="BF163" s="546"/>
      <c r="BG163" s="547"/>
      <c r="BH163" s="548"/>
      <c r="BI163" s="548"/>
      <c r="BJ163" s="548"/>
      <c r="BK163" s="546"/>
      <c r="BL163" s="547"/>
      <c r="BM163" s="548"/>
      <c r="BN163" s="548"/>
      <c r="BO163" s="546"/>
      <c r="BP163" s="547"/>
      <c r="BQ163" s="548"/>
      <c r="BR163" s="548"/>
      <c r="BS163" s="546"/>
      <c r="BT163" s="547"/>
      <c r="BU163" s="548"/>
      <c r="BV163" s="548"/>
      <c r="BW163" s="548"/>
      <c r="BX163" s="546"/>
      <c r="BY163" s="547"/>
      <c r="BZ163" s="548"/>
      <c r="CA163" s="560"/>
      <c r="CB163" s="549"/>
    </row>
    <row r="164" spans="1:80" outlineLevel="1">
      <c r="A164" s="515">
        <v>154</v>
      </c>
      <c r="B164" s="596" t="s">
        <v>509</v>
      </c>
      <c r="C164" s="545"/>
      <c r="D164" s="557" t="s">
        <v>622</v>
      </c>
      <c r="E164" s="545"/>
      <c r="F164" s="545" t="s">
        <v>516</v>
      </c>
      <c r="G164" s="589">
        <v>15</v>
      </c>
      <c r="H164" s="558"/>
      <c r="I164" s="558"/>
      <c r="J164" s="589">
        <f>IF(D164="Achat",1,IF(D164="",0,D164*7))*E164*G164</f>
        <v>0</v>
      </c>
      <c r="K164" s="590" t="str">
        <f t="shared" si="9"/>
        <v>C</v>
      </c>
      <c r="L164" s="547"/>
      <c r="M164" s="548"/>
      <c r="N164" s="548"/>
      <c r="O164" s="546"/>
      <c r="P164" s="547"/>
      <c r="Q164" s="548"/>
      <c r="R164" s="548"/>
      <c r="S164" s="546"/>
      <c r="T164" s="547"/>
      <c r="U164" s="548"/>
      <c r="V164" s="548"/>
      <c r="W164" s="548"/>
      <c r="X164" s="546"/>
      <c r="Y164" s="547"/>
      <c r="Z164" s="548"/>
      <c r="AA164" s="548"/>
      <c r="AB164" s="546"/>
      <c r="AC164" s="547"/>
      <c r="AD164" s="548"/>
      <c r="AE164" s="548"/>
      <c r="AF164" s="546"/>
      <c r="AG164" s="547"/>
      <c r="AH164" s="548"/>
      <c r="AI164" s="548"/>
      <c r="AJ164" s="546"/>
      <c r="AK164" s="547"/>
      <c r="AL164" s="548"/>
      <c r="AM164" s="548"/>
      <c r="AN164" s="548"/>
      <c r="AO164" s="546"/>
      <c r="AP164" s="547"/>
      <c r="AQ164" s="548"/>
      <c r="AR164" s="548"/>
      <c r="AS164" s="546"/>
      <c r="AT164" s="547"/>
      <c r="AU164" s="548"/>
      <c r="AV164" s="548"/>
      <c r="AW164" s="546"/>
      <c r="AX164" s="547"/>
      <c r="AY164" s="548"/>
      <c r="AZ164" s="548"/>
      <c r="BA164" s="548"/>
      <c r="BB164" s="546"/>
      <c r="BC164" s="547"/>
      <c r="BD164" s="548"/>
      <c r="BE164" s="548"/>
      <c r="BF164" s="546"/>
      <c r="BG164" s="547"/>
      <c r="BH164" s="548"/>
      <c r="BI164" s="548"/>
      <c r="BJ164" s="548"/>
      <c r="BK164" s="546"/>
      <c r="BL164" s="547"/>
      <c r="BM164" s="548"/>
      <c r="BN164" s="548"/>
      <c r="BO164" s="546"/>
      <c r="BP164" s="547"/>
      <c r="BQ164" s="548"/>
      <c r="BR164" s="548"/>
      <c r="BS164" s="546"/>
      <c r="BT164" s="547"/>
      <c r="BU164" s="548"/>
      <c r="BV164" s="548"/>
      <c r="BW164" s="548"/>
      <c r="BX164" s="546"/>
      <c r="BY164" s="547"/>
      <c r="BZ164" s="548"/>
      <c r="CA164" s="560"/>
      <c r="CB164" s="549"/>
    </row>
    <row r="165" spans="1:80" outlineLevel="1">
      <c r="A165" s="515">
        <v>155</v>
      </c>
      <c r="B165" s="596" t="s">
        <v>589</v>
      </c>
      <c r="C165" s="545"/>
      <c r="D165" s="557" t="s">
        <v>622</v>
      </c>
      <c r="E165" s="545"/>
      <c r="F165" s="545" t="s">
        <v>516</v>
      </c>
      <c r="G165" s="589"/>
      <c r="H165" s="558"/>
      <c r="I165" s="558"/>
      <c r="J165" s="589">
        <f t="shared" si="20"/>
        <v>0</v>
      </c>
      <c r="K165" s="590" t="str">
        <f t="shared" si="9"/>
        <v>C</v>
      </c>
      <c r="L165" s="547"/>
      <c r="M165" s="548"/>
      <c r="N165" s="548"/>
      <c r="O165" s="546"/>
      <c r="P165" s="547"/>
      <c r="Q165" s="548"/>
      <c r="R165" s="548"/>
      <c r="S165" s="546"/>
      <c r="T165" s="547"/>
      <c r="U165" s="548"/>
      <c r="V165" s="548"/>
      <c r="W165" s="548"/>
      <c r="X165" s="546"/>
      <c r="Y165" s="547"/>
      <c r="Z165" s="548"/>
      <c r="AA165" s="548"/>
      <c r="AB165" s="546"/>
      <c r="AC165" s="547"/>
      <c r="AD165" s="548"/>
      <c r="AE165" s="548"/>
      <c r="AF165" s="546"/>
      <c r="AG165" s="547"/>
      <c r="AH165" s="548"/>
      <c r="AI165" s="548"/>
      <c r="AJ165" s="546"/>
      <c r="AK165" s="547"/>
      <c r="AL165" s="548"/>
      <c r="AM165" s="548"/>
      <c r="AN165" s="548"/>
      <c r="AO165" s="546"/>
      <c r="AP165" s="547"/>
      <c r="AQ165" s="548"/>
      <c r="AR165" s="548"/>
      <c r="AS165" s="546"/>
      <c r="AT165" s="547"/>
      <c r="AU165" s="548"/>
      <c r="AV165" s="548"/>
      <c r="AW165" s="546"/>
      <c r="AX165" s="547"/>
      <c r="AY165" s="548"/>
      <c r="AZ165" s="548"/>
      <c r="BA165" s="548"/>
      <c r="BB165" s="546"/>
      <c r="BC165" s="547"/>
      <c r="BD165" s="548"/>
      <c r="BE165" s="548"/>
      <c r="BF165" s="546"/>
      <c r="BG165" s="547"/>
      <c r="BH165" s="548"/>
      <c r="BI165" s="548"/>
      <c r="BJ165" s="548"/>
      <c r="BK165" s="546"/>
      <c r="BL165" s="547"/>
      <c r="BM165" s="548"/>
      <c r="BN165" s="548"/>
      <c r="BO165" s="546"/>
      <c r="BP165" s="547"/>
      <c r="BQ165" s="548"/>
      <c r="BR165" s="548"/>
      <c r="BS165" s="546"/>
      <c r="BT165" s="547"/>
      <c r="BU165" s="548"/>
      <c r="BV165" s="548"/>
      <c r="BW165" s="548"/>
      <c r="BX165" s="546"/>
      <c r="BY165" s="547"/>
      <c r="BZ165" s="548"/>
      <c r="CA165" s="560"/>
      <c r="CB165" s="549"/>
    </row>
    <row r="166" spans="1:80" outlineLevel="1">
      <c r="A166" s="515">
        <v>156</v>
      </c>
      <c r="B166" s="593"/>
      <c r="C166" s="545"/>
      <c r="D166" s="557"/>
      <c r="E166" s="545"/>
      <c r="F166" s="545"/>
      <c r="G166" s="589"/>
      <c r="H166" s="558"/>
      <c r="I166" s="558"/>
      <c r="J166" s="589" t="s">
        <v>624</v>
      </c>
      <c r="K166" s="590" t="str">
        <f t="shared" si="9"/>
        <v/>
      </c>
      <c r="L166" s="547"/>
      <c r="M166" s="548"/>
      <c r="N166" s="548"/>
      <c r="O166" s="546"/>
      <c r="P166" s="547"/>
      <c r="Q166" s="548"/>
      <c r="R166" s="548"/>
      <c r="S166" s="546"/>
      <c r="T166" s="547"/>
      <c r="U166" s="548"/>
      <c r="V166" s="548"/>
      <c r="W166" s="548"/>
      <c r="X166" s="546"/>
      <c r="Y166" s="547"/>
      <c r="Z166" s="548"/>
      <c r="AA166" s="548"/>
      <c r="AB166" s="546"/>
      <c r="AC166" s="547"/>
      <c r="AD166" s="548"/>
      <c r="AE166" s="548"/>
      <c r="AF166" s="546"/>
      <c r="AG166" s="547"/>
      <c r="AH166" s="548"/>
      <c r="AI166" s="548"/>
      <c r="AJ166" s="546"/>
      <c r="AK166" s="547"/>
      <c r="AL166" s="548"/>
      <c r="AM166" s="548"/>
      <c r="AN166" s="548"/>
      <c r="AO166" s="546"/>
      <c r="AP166" s="547"/>
      <c r="AQ166" s="548"/>
      <c r="AR166" s="548"/>
      <c r="AS166" s="546"/>
      <c r="AT166" s="547"/>
      <c r="AU166" s="548"/>
      <c r="AV166" s="548"/>
      <c r="AW166" s="546"/>
      <c r="AX166" s="547"/>
      <c r="AY166" s="548"/>
      <c r="AZ166" s="548"/>
      <c r="BA166" s="548"/>
      <c r="BB166" s="546"/>
      <c r="BC166" s="547"/>
      <c r="BD166" s="548"/>
      <c r="BE166" s="548"/>
      <c r="BF166" s="546"/>
      <c r="BG166" s="547"/>
      <c r="BH166" s="548"/>
      <c r="BI166" s="548"/>
      <c r="BJ166" s="548"/>
      <c r="BK166" s="546"/>
      <c r="BL166" s="547"/>
      <c r="BM166" s="548"/>
      <c r="BN166" s="548"/>
      <c r="BO166" s="546"/>
      <c r="BP166" s="547"/>
      <c r="BQ166" s="548"/>
      <c r="BR166" s="548"/>
      <c r="BS166" s="546"/>
      <c r="BT166" s="547"/>
      <c r="BU166" s="548"/>
      <c r="BV166" s="548"/>
      <c r="BW166" s="548"/>
      <c r="BX166" s="546"/>
      <c r="BY166" s="547"/>
      <c r="BZ166" s="548"/>
      <c r="CA166" s="560"/>
      <c r="CB166" s="549"/>
    </row>
    <row r="167" spans="1:80">
      <c r="A167" s="569">
        <v>157</v>
      </c>
      <c r="B167" s="570" t="s">
        <v>602</v>
      </c>
      <c r="C167" s="571"/>
      <c r="D167" s="572"/>
      <c r="E167" s="572"/>
      <c r="F167" s="572"/>
      <c r="G167" s="572"/>
      <c r="H167" s="573"/>
      <c r="I167" s="574" t="s">
        <v>594</v>
      </c>
      <c r="J167" s="575">
        <f>SUBTOTAL(9,J169:J202)</f>
        <v>9202.44</v>
      </c>
      <c r="K167" s="576" t="str">
        <f t="shared" si="9"/>
        <v/>
      </c>
      <c r="L167" s="547"/>
      <c r="M167" s="548"/>
      <c r="N167" s="548"/>
      <c r="O167" s="546"/>
      <c r="P167" s="547"/>
      <c r="Q167" s="548"/>
      <c r="R167" s="548"/>
      <c r="S167" s="546"/>
      <c r="T167" s="547"/>
      <c r="U167" s="548"/>
      <c r="V167" s="548"/>
      <c r="W167" s="548"/>
      <c r="X167" s="546"/>
      <c r="Y167" s="547"/>
      <c r="Z167" s="548"/>
      <c r="AA167" s="548"/>
      <c r="AB167" s="546"/>
      <c r="AC167" s="547"/>
      <c r="AD167" s="548"/>
      <c r="AE167" s="548"/>
      <c r="AF167" s="546"/>
      <c r="AG167" s="547"/>
      <c r="AH167" s="548"/>
      <c r="AI167" s="548"/>
      <c r="AJ167" s="546"/>
      <c r="AK167" s="547"/>
      <c r="AL167" s="548"/>
      <c r="AM167" s="548"/>
      <c r="AN167" s="548"/>
      <c r="AO167" s="546"/>
      <c r="AP167" s="547"/>
      <c r="AQ167" s="548"/>
      <c r="AR167" s="548"/>
      <c r="AS167" s="546"/>
      <c r="AT167" s="547"/>
      <c r="AU167" s="548"/>
      <c r="AV167" s="548"/>
      <c r="AW167" s="546"/>
      <c r="AX167" s="547"/>
      <c r="AY167" s="548"/>
      <c r="AZ167" s="548"/>
      <c r="BA167" s="548"/>
      <c r="BB167" s="546"/>
      <c r="BC167" s="547"/>
      <c r="BD167" s="548"/>
      <c r="BE167" s="548"/>
      <c r="BF167" s="546"/>
      <c r="BG167" s="547"/>
      <c r="BH167" s="548"/>
      <c r="BI167" s="548"/>
      <c r="BJ167" s="548"/>
      <c r="BK167" s="546"/>
      <c r="BL167" s="547"/>
      <c r="BM167" s="548"/>
      <c r="BN167" s="548"/>
      <c r="BO167" s="546"/>
      <c r="BP167" s="547"/>
      <c r="BQ167" s="548"/>
      <c r="BR167" s="548"/>
      <c r="BS167" s="546"/>
      <c r="BT167" s="547"/>
      <c r="BU167" s="548"/>
      <c r="BV167" s="548"/>
      <c r="BW167" s="548"/>
      <c r="BX167" s="546"/>
      <c r="BY167" s="547"/>
      <c r="BZ167" s="548"/>
      <c r="CA167" s="560"/>
      <c r="CB167" s="549"/>
    </row>
    <row r="168" spans="1:80">
      <c r="A168" s="569">
        <v>158</v>
      </c>
      <c r="B168" s="577" t="s">
        <v>603</v>
      </c>
      <c r="C168" s="578"/>
      <c r="D168" s="578" t="s">
        <v>618</v>
      </c>
      <c r="E168" s="578" t="s">
        <v>523</v>
      </c>
      <c r="F168" s="578" t="s">
        <v>524</v>
      </c>
      <c r="G168" s="578" t="s">
        <v>596</v>
      </c>
      <c r="H168" s="579"/>
      <c r="I168" s="580"/>
      <c r="J168" s="580" t="s">
        <v>597</v>
      </c>
      <c r="K168" s="581" t="str">
        <f>IF(J167=0,"C","")</f>
        <v/>
      </c>
      <c r="L168" s="547"/>
      <c r="M168" s="548"/>
      <c r="N168" s="548"/>
      <c r="O168" s="546"/>
      <c r="P168" s="547"/>
      <c r="Q168" s="548"/>
      <c r="R168" s="548"/>
      <c r="S168" s="546"/>
      <c r="T168" s="547"/>
      <c r="U168" s="548"/>
      <c r="V168" s="548"/>
      <c r="W168" s="548"/>
      <c r="X168" s="546"/>
      <c r="Y168" s="547"/>
      <c r="Z168" s="548"/>
      <c r="AA168" s="548"/>
      <c r="AB168" s="546"/>
      <c r="AC168" s="547"/>
      <c r="AD168" s="548"/>
      <c r="AE168" s="548"/>
      <c r="AF168" s="546"/>
      <c r="AG168" s="547"/>
      <c r="AH168" s="548"/>
      <c r="AI168" s="548"/>
      <c r="AJ168" s="546"/>
      <c r="AK168" s="547"/>
      <c r="AL168" s="548"/>
      <c r="AM168" s="548"/>
      <c r="AN168" s="548"/>
      <c r="AO168" s="546"/>
      <c r="AP168" s="547"/>
      <c r="AQ168" s="548"/>
      <c r="AR168" s="548"/>
      <c r="AS168" s="546"/>
      <c r="AT168" s="547"/>
      <c r="AU168" s="548"/>
      <c r="AV168" s="548"/>
      <c r="AW168" s="546"/>
      <c r="AX168" s="547"/>
      <c r="AY168" s="548"/>
      <c r="AZ168" s="548"/>
      <c r="BA168" s="548"/>
      <c r="BB168" s="546"/>
      <c r="BC168" s="547"/>
      <c r="BD168" s="548"/>
      <c r="BE168" s="548"/>
      <c r="BF168" s="546"/>
      <c r="BG168" s="547"/>
      <c r="BH168" s="548"/>
      <c r="BI168" s="548"/>
      <c r="BJ168" s="548"/>
      <c r="BK168" s="546"/>
      <c r="BL168" s="547"/>
      <c r="BM168" s="548"/>
      <c r="BN168" s="548"/>
      <c r="BO168" s="546"/>
      <c r="BP168" s="547"/>
      <c r="BQ168" s="548"/>
      <c r="BR168" s="548"/>
      <c r="BS168" s="546"/>
      <c r="BT168" s="547"/>
      <c r="BU168" s="548"/>
      <c r="BV168" s="548"/>
      <c r="BW168" s="548"/>
      <c r="BX168" s="546"/>
      <c r="BY168" s="547"/>
      <c r="BZ168" s="548"/>
      <c r="CA168" s="560"/>
      <c r="CB168" s="549"/>
    </row>
    <row r="169" spans="1:80">
      <c r="A169" s="582">
        <v>159</v>
      </c>
      <c r="B169" s="583" t="s">
        <v>510</v>
      </c>
      <c r="C169" s="584"/>
      <c r="D169" s="584"/>
      <c r="E169" s="584"/>
      <c r="F169" s="584"/>
      <c r="G169" s="584"/>
      <c r="H169" s="585"/>
      <c r="I169" s="586" t="s">
        <v>594</v>
      </c>
      <c r="J169" s="587">
        <f>SUBTOTAL(9,J170:J181)</f>
        <v>6325.4400000000005</v>
      </c>
      <c r="K169" s="588" t="str">
        <f t="shared" si="9"/>
        <v/>
      </c>
      <c r="L169" s="547"/>
      <c r="M169" s="548"/>
      <c r="N169" s="548"/>
      <c r="O169" s="546"/>
      <c r="P169" s="547"/>
      <c r="Q169" s="548"/>
      <c r="R169" s="548"/>
      <c r="S169" s="546"/>
      <c r="T169" s="547"/>
      <c r="U169" s="548"/>
      <c r="V169" s="548"/>
      <c r="W169" s="548"/>
      <c r="X169" s="546"/>
      <c r="Y169" s="547"/>
      <c r="Z169" s="548"/>
      <c r="AA169" s="548"/>
      <c r="AB169" s="546"/>
      <c r="AC169" s="547"/>
      <c r="AD169" s="548"/>
      <c r="AE169" s="548"/>
      <c r="AF169" s="546"/>
      <c r="AG169" s="547"/>
      <c r="AH169" s="548"/>
      <c r="AI169" s="548"/>
      <c r="AJ169" s="546"/>
      <c r="AK169" s="547"/>
      <c r="AL169" s="548"/>
      <c r="AM169" s="548"/>
      <c r="AN169" s="548"/>
      <c r="AO169" s="546"/>
      <c r="AP169" s="547"/>
      <c r="AQ169" s="548"/>
      <c r="AR169" s="548"/>
      <c r="AS169" s="546"/>
      <c r="AT169" s="547"/>
      <c r="AU169" s="548"/>
      <c r="AV169" s="548"/>
      <c r="AW169" s="546"/>
      <c r="AX169" s="547"/>
      <c r="AY169" s="548"/>
      <c r="AZ169" s="548"/>
      <c r="BA169" s="548"/>
      <c r="BB169" s="546"/>
      <c r="BC169" s="547"/>
      <c r="BD169" s="548"/>
      <c r="BE169" s="548"/>
      <c r="BF169" s="546"/>
      <c r="BG169" s="547"/>
      <c r="BH169" s="548"/>
      <c r="BI169" s="548"/>
      <c r="BJ169" s="548"/>
      <c r="BK169" s="546"/>
      <c r="BL169" s="547"/>
      <c r="BM169" s="548"/>
      <c r="BN169" s="548"/>
      <c r="BO169" s="546"/>
      <c r="BP169" s="547"/>
      <c r="BQ169" s="548"/>
      <c r="BR169" s="548"/>
      <c r="BS169" s="546"/>
      <c r="BT169" s="547"/>
      <c r="BU169" s="548"/>
      <c r="BV169" s="548"/>
      <c r="BW169" s="548"/>
      <c r="BX169" s="546"/>
      <c r="BY169" s="547"/>
      <c r="BZ169" s="548"/>
      <c r="CA169" s="560"/>
      <c r="CB169" s="549"/>
    </row>
    <row r="170" spans="1:80" outlineLevel="1">
      <c r="A170" s="515">
        <v>160</v>
      </c>
      <c r="B170" s="556"/>
      <c r="C170" s="545"/>
      <c r="D170" s="557"/>
      <c r="E170" s="545"/>
      <c r="F170" s="545"/>
      <c r="G170" s="589"/>
      <c r="H170" s="558"/>
      <c r="I170" s="558"/>
      <c r="J170" s="589" t="s">
        <v>624</v>
      </c>
      <c r="K170" s="590" t="str">
        <f t="shared" si="9"/>
        <v/>
      </c>
      <c r="L170" s="547"/>
      <c r="M170" s="548"/>
      <c r="N170" s="548"/>
      <c r="O170" s="546"/>
      <c r="P170" s="547"/>
      <c r="Q170" s="548"/>
      <c r="R170" s="548"/>
      <c r="S170" s="546"/>
      <c r="T170" s="547"/>
      <c r="U170" s="548"/>
      <c r="V170" s="548"/>
      <c r="W170" s="548"/>
      <c r="X170" s="546"/>
      <c r="Y170" s="547"/>
      <c r="Z170" s="548"/>
      <c r="AA170" s="548"/>
      <c r="AB170" s="546"/>
      <c r="AC170" s="547"/>
      <c r="AD170" s="548"/>
      <c r="AE170" s="548"/>
      <c r="AF170" s="546"/>
      <c r="AG170" s="547"/>
      <c r="AH170" s="548"/>
      <c r="AI170" s="548"/>
      <c r="AJ170" s="546"/>
      <c r="AK170" s="547"/>
      <c r="AL170" s="548"/>
      <c r="AM170" s="548"/>
      <c r="AN170" s="548"/>
      <c r="AO170" s="546"/>
      <c r="AP170" s="547"/>
      <c r="AQ170" s="548"/>
      <c r="AR170" s="548"/>
      <c r="AS170" s="546"/>
      <c r="AT170" s="547"/>
      <c r="AU170" s="548"/>
      <c r="AV170" s="548"/>
      <c r="AW170" s="546"/>
      <c r="AX170" s="547"/>
      <c r="AY170" s="548"/>
      <c r="AZ170" s="548"/>
      <c r="BA170" s="548"/>
      <c r="BB170" s="546"/>
      <c r="BC170" s="547"/>
      <c r="BD170" s="548"/>
      <c r="BE170" s="548"/>
      <c r="BF170" s="546"/>
      <c r="BG170" s="547"/>
      <c r="BH170" s="548"/>
      <c r="BI170" s="548"/>
      <c r="BJ170" s="548"/>
      <c r="BK170" s="546"/>
      <c r="BL170" s="547"/>
      <c r="BM170" s="548"/>
      <c r="BN170" s="548"/>
      <c r="BO170" s="546"/>
      <c r="BP170" s="547"/>
      <c r="BQ170" s="548"/>
      <c r="BR170" s="548"/>
      <c r="BS170" s="546"/>
      <c r="BT170" s="547"/>
      <c r="BU170" s="548"/>
      <c r="BV170" s="548"/>
      <c r="BW170" s="548"/>
      <c r="BX170" s="546"/>
      <c r="BY170" s="547"/>
      <c r="BZ170" s="548"/>
      <c r="CA170" s="560"/>
      <c r="CB170" s="549"/>
    </row>
    <row r="171" spans="1:80" ht="12" outlineLevel="1" thickBot="1">
      <c r="A171" s="515">
        <v>161</v>
      </c>
      <c r="B171" s="556" t="s">
        <v>548</v>
      </c>
      <c r="C171" s="545"/>
      <c r="D171" s="557">
        <f>DureeHL($L171:$CB171)</f>
        <v>23</v>
      </c>
      <c r="E171" s="545">
        <v>250</v>
      </c>
      <c r="F171" s="545" t="s">
        <v>532</v>
      </c>
      <c r="G171" s="589">
        <v>0.05</v>
      </c>
      <c r="H171" s="558"/>
      <c r="I171" s="558"/>
      <c r="J171" s="589">
        <f t="shared" ref="J171:J177" si="21">IF(D171="Achat",1,IF(D171="",0,D171*7))*E171*G171</f>
        <v>2012.5</v>
      </c>
      <c r="K171" s="590" t="str">
        <f t="shared" si="9"/>
        <v/>
      </c>
      <c r="L171" s="547"/>
      <c r="M171" s="548"/>
      <c r="N171" s="548"/>
      <c r="O171" s="546"/>
      <c r="P171" s="547"/>
      <c r="Q171" s="548"/>
      <c r="R171" s="548"/>
      <c r="S171" s="546"/>
      <c r="T171" s="547"/>
      <c r="U171" s="548"/>
      <c r="V171" s="716"/>
      <c r="W171" s="716"/>
      <c r="X171" s="717"/>
      <c r="Y171" s="718"/>
      <c r="Z171" s="716"/>
      <c r="AA171" s="716"/>
      <c r="AB171" s="717"/>
      <c r="AC171" s="718"/>
      <c r="AD171" s="716"/>
      <c r="AE171" s="716"/>
      <c r="AF171" s="717"/>
      <c r="AG171" s="718"/>
      <c r="AH171" s="716"/>
      <c r="AI171" s="716"/>
      <c r="AJ171" s="717"/>
      <c r="AK171" s="718"/>
      <c r="AL171" s="716"/>
      <c r="AM171" s="716"/>
      <c r="AN171" s="716"/>
      <c r="AO171" s="717"/>
      <c r="AP171" s="718"/>
      <c r="AQ171" s="716"/>
      <c r="AR171" s="716"/>
      <c r="AS171" s="546"/>
      <c r="AT171" s="547"/>
      <c r="AU171" s="548"/>
      <c r="AV171" s="548"/>
      <c r="AW171" s="546"/>
      <c r="AX171" s="547"/>
      <c r="AY171" s="548"/>
      <c r="AZ171" s="548"/>
      <c r="BA171" s="548"/>
      <c r="BB171" s="546"/>
      <c r="BC171" s="547"/>
      <c r="BD171" s="548"/>
      <c r="BE171" s="548"/>
      <c r="BF171" s="546"/>
      <c r="BG171" s="547"/>
      <c r="BH171" s="548"/>
      <c r="BI171" s="548"/>
      <c r="BJ171" s="548"/>
      <c r="BK171" s="546"/>
      <c r="BL171" s="547"/>
      <c r="BM171" s="548"/>
      <c r="BN171" s="548"/>
      <c r="BO171" s="546"/>
      <c r="BP171" s="547"/>
      <c r="BQ171" s="548"/>
      <c r="BR171" s="548"/>
      <c r="BS171" s="546"/>
      <c r="BT171" s="547"/>
      <c r="BU171" s="548"/>
      <c r="BV171" s="548"/>
      <c r="BW171" s="548"/>
      <c r="BX171" s="546"/>
      <c r="BY171" s="547"/>
      <c r="BZ171" s="548"/>
      <c r="CA171" s="560"/>
      <c r="CB171" s="549"/>
    </row>
    <row r="172" spans="1:80" ht="12" outlineLevel="1" thickTop="1">
      <c r="A172" s="515">
        <v>162</v>
      </c>
      <c r="B172" s="556" t="s">
        <v>604</v>
      </c>
      <c r="C172" s="545"/>
      <c r="D172" s="557">
        <f>D$171</f>
        <v>23</v>
      </c>
      <c r="E172" s="545">
        <v>120</v>
      </c>
      <c r="F172" s="545" t="s">
        <v>532</v>
      </c>
      <c r="G172" s="589">
        <v>0.02</v>
      </c>
      <c r="H172" s="558"/>
      <c r="I172" s="558"/>
      <c r="J172" s="589">
        <f t="shared" si="21"/>
        <v>386.40000000000003</v>
      </c>
      <c r="K172" s="590" t="str">
        <f t="shared" si="9"/>
        <v/>
      </c>
      <c r="L172" s="547"/>
      <c r="M172" s="548"/>
      <c r="N172" s="548"/>
      <c r="O172" s="546"/>
      <c r="P172" s="547"/>
      <c r="Q172" s="548"/>
      <c r="R172" s="548"/>
      <c r="S172" s="546"/>
      <c r="T172" s="547"/>
      <c r="U172" s="548"/>
      <c r="V172" s="710"/>
      <c r="W172" s="710"/>
      <c r="X172" s="719"/>
      <c r="Y172" s="708"/>
      <c r="Z172" s="710"/>
      <c r="AA172" s="710"/>
      <c r="AB172" s="719"/>
      <c r="AC172" s="708"/>
      <c r="AD172" s="710"/>
      <c r="AE172" s="710"/>
      <c r="AF172" s="719"/>
      <c r="AG172" s="708"/>
      <c r="AH172" s="710"/>
      <c r="AI172" s="710"/>
      <c r="AJ172" s="719"/>
      <c r="AK172" s="708"/>
      <c r="AL172" s="710"/>
      <c r="AM172" s="710"/>
      <c r="AN172" s="710"/>
      <c r="AO172" s="719"/>
      <c r="AP172" s="708"/>
      <c r="AQ172" s="710"/>
      <c r="AR172" s="710"/>
      <c r="AS172" s="546"/>
      <c r="AT172" s="547"/>
      <c r="AU172" s="548"/>
      <c r="AV172" s="548"/>
      <c r="AW172" s="546"/>
      <c r="AX172" s="547"/>
      <c r="AY172" s="548"/>
      <c r="AZ172" s="548"/>
      <c r="BA172" s="548"/>
      <c r="BB172" s="546"/>
      <c r="BC172" s="547"/>
      <c r="BD172" s="548"/>
      <c r="BE172" s="548"/>
      <c r="BF172" s="546"/>
      <c r="BG172" s="547"/>
      <c r="BH172" s="548"/>
      <c r="BI172" s="548"/>
      <c r="BJ172" s="548"/>
      <c r="BK172" s="546"/>
      <c r="BL172" s="547"/>
      <c r="BM172" s="548"/>
      <c r="BN172" s="548"/>
      <c r="BO172" s="546"/>
      <c r="BP172" s="547"/>
      <c r="BQ172" s="548"/>
      <c r="BR172" s="548"/>
      <c r="BS172" s="546"/>
      <c r="BT172" s="547"/>
      <c r="BU172" s="548"/>
      <c r="BV172" s="548"/>
      <c r="BW172" s="548"/>
      <c r="BX172" s="546"/>
      <c r="BY172" s="547"/>
      <c r="BZ172" s="548"/>
      <c r="CA172" s="560"/>
      <c r="CB172" s="549"/>
    </row>
    <row r="173" spans="1:80" outlineLevel="1">
      <c r="A173" s="515">
        <v>163</v>
      </c>
      <c r="B173" s="556" t="s">
        <v>551</v>
      </c>
      <c r="C173" s="545"/>
      <c r="D173" s="557">
        <f>D$171</f>
        <v>23</v>
      </c>
      <c r="E173" s="545">
        <v>50</v>
      </c>
      <c r="F173" s="545" t="s">
        <v>532</v>
      </c>
      <c r="G173" s="589">
        <v>0.05</v>
      </c>
      <c r="H173" s="558"/>
      <c r="I173" s="558"/>
      <c r="J173" s="589">
        <f t="shared" si="21"/>
        <v>402.5</v>
      </c>
      <c r="K173" s="590" t="str">
        <f t="shared" si="9"/>
        <v/>
      </c>
      <c r="L173" s="547"/>
      <c r="M173" s="548"/>
      <c r="N173" s="548"/>
      <c r="O173" s="546"/>
      <c r="P173" s="547"/>
      <c r="Q173" s="548"/>
      <c r="R173" s="548"/>
      <c r="S173" s="546"/>
      <c r="T173" s="547"/>
      <c r="U173" s="548"/>
      <c r="V173" s="548"/>
      <c r="W173" s="548"/>
      <c r="X173" s="546"/>
      <c r="Y173" s="547"/>
      <c r="Z173" s="548"/>
      <c r="AA173" s="548"/>
      <c r="AB173" s="546"/>
      <c r="AC173" s="547"/>
      <c r="AD173" s="548"/>
      <c r="AE173" s="548"/>
      <c r="AF173" s="546"/>
      <c r="AG173" s="547"/>
      <c r="AH173" s="548"/>
      <c r="AI173" s="548"/>
      <c r="AJ173" s="546"/>
      <c r="AK173" s="547"/>
      <c r="AL173" s="548"/>
      <c r="AM173" s="548"/>
      <c r="AN173" s="548"/>
      <c r="AO173" s="546"/>
      <c r="AP173" s="547"/>
      <c r="AQ173" s="548"/>
      <c r="AR173" s="548"/>
      <c r="AS173" s="546"/>
      <c r="AT173" s="547"/>
      <c r="AU173" s="548"/>
      <c r="AV173" s="548"/>
      <c r="AW173" s="546"/>
      <c r="AX173" s="547"/>
      <c r="AY173" s="548"/>
      <c r="AZ173" s="548"/>
      <c r="BA173" s="548"/>
      <c r="BB173" s="546"/>
      <c r="BC173" s="547"/>
      <c r="BD173" s="548"/>
      <c r="BE173" s="548"/>
      <c r="BF173" s="546"/>
      <c r="BG173" s="547"/>
      <c r="BH173" s="548"/>
      <c r="BI173" s="548"/>
      <c r="BJ173" s="548"/>
      <c r="BK173" s="546"/>
      <c r="BL173" s="547"/>
      <c r="BM173" s="548"/>
      <c r="BN173" s="548"/>
      <c r="BO173" s="546"/>
      <c r="BP173" s="547"/>
      <c r="BQ173" s="548"/>
      <c r="BR173" s="548"/>
      <c r="BS173" s="546"/>
      <c r="BT173" s="547"/>
      <c r="BU173" s="548"/>
      <c r="BV173" s="548"/>
      <c r="BW173" s="548"/>
      <c r="BX173" s="546"/>
      <c r="BY173" s="547"/>
      <c r="BZ173" s="548"/>
      <c r="CA173" s="560"/>
      <c r="CB173" s="549"/>
    </row>
    <row r="174" spans="1:80" outlineLevel="1">
      <c r="A174" s="515">
        <v>164</v>
      </c>
      <c r="B174" s="556" t="s">
        <v>544</v>
      </c>
      <c r="C174" s="545"/>
      <c r="D174" s="557">
        <f>D$171</f>
        <v>23</v>
      </c>
      <c r="E174" s="545">
        <v>22</v>
      </c>
      <c r="F174" s="545" t="s">
        <v>532</v>
      </c>
      <c r="G174" s="589">
        <v>0.08</v>
      </c>
      <c r="H174" s="558"/>
      <c r="I174" s="558"/>
      <c r="J174" s="589">
        <f t="shared" si="21"/>
        <v>283.36</v>
      </c>
      <c r="K174" s="590" t="str">
        <f t="shared" si="9"/>
        <v/>
      </c>
      <c r="L174" s="547"/>
      <c r="M174" s="548"/>
      <c r="N174" s="548"/>
      <c r="O174" s="546"/>
      <c r="P174" s="547"/>
      <c r="Q174" s="548"/>
      <c r="R174" s="548"/>
      <c r="S174" s="546"/>
      <c r="T174" s="547"/>
      <c r="U174" s="548"/>
      <c r="V174" s="548"/>
      <c r="W174" s="548"/>
      <c r="X174" s="546"/>
      <c r="Y174" s="547"/>
      <c r="Z174" s="548"/>
      <c r="AA174" s="548"/>
      <c r="AB174" s="546"/>
      <c r="AC174" s="547"/>
      <c r="AD174" s="548"/>
      <c r="AE174" s="548"/>
      <c r="AF174" s="546"/>
      <c r="AG174" s="547"/>
      <c r="AH174" s="548"/>
      <c r="AI174" s="548"/>
      <c r="AJ174" s="546"/>
      <c r="AK174" s="547"/>
      <c r="AL174" s="548"/>
      <c r="AM174" s="548"/>
      <c r="AN174" s="548"/>
      <c r="AO174" s="546"/>
      <c r="AP174" s="547"/>
      <c r="AQ174" s="548"/>
      <c r="AR174" s="548"/>
      <c r="AS174" s="546"/>
      <c r="AT174" s="547"/>
      <c r="AU174" s="548"/>
      <c r="AV174" s="548"/>
      <c r="AW174" s="546"/>
      <c r="AX174" s="547"/>
      <c r="AY174" s="548"/>
      <c r="AZ174" s="548"/>
      <c r="BA174" s="548"/>
      <c r="BB174" s="546"/>
      <c r="BC174" s="547"/>
      <c r="BD174" s="548"/>
      <c r="BE174" s="548"/>
      <c r="BF174" s="546"/>
      <c r="BG174" s="547"/>
      <c r="BH174" s="548"/>
      <c r="BI174" s="548"/>
      <c r="BJ174" s="548"/>
      <c r="BK174" s="546"/>
      <c r="BL174" s="547"/>
      <c r="BM174" s="548"/>
      <c r="BN174" s="548"/>
      <c r="BO174" s="546"/>
      <c r="BP174" s="547"/>
      <c r="BQ174" s="548"/>
      <c r="BR174" s="548"/>
      <c r="BS174" s="546"/>
      <c r="BT174" s="547"/>
      <c r="BU174" s="548"/>
      <c r="BV174" s="548"/>
      <c r="BW174" s="548"/>
      <c r="BX174" s="546"/>
      <c r="BY174" s="547"/>
      <c r="BZ174" s="548"/>
      <c r="CA174" s="560"/>
      <c r="CB174" s="549"/>
    </row>
    <row r="175" spans="1:80" outlineLevel="1">
      <c r="A175" s="515">
        <v>165</v>
      </c>
      <c r="B175" s="556" t="s">
        <v>545</v>
      </c>
      <c r="C175" s="545"/>
      <c r="D175" s="557">
        <f>D$171</f>
        <v>23</v>
      </c>
      <c r="E175" s="545">
        <v>44</v>
      </c>
      <c r="F175" s="545" t="s">
        <v>532</v>
      </c>
      <c r="G175" s="589">
        <v>0.12</v>
      </c>
      <c r="H175" s="558"/>
      <c r="I175" s="558"/>
      <c r="J175" s="589">
        <f t="shared" si="21"/>
        <v>850.07999999999993</v>
      </c>
      <c r="K175" s="590" t="str">
        <f t="shared" si="9"/>
        <v/>
      </c>
      <c r="L175" s="547"/>
      <c r="M175" s="548"/>
      <c r="N175" s="548"/>
      <c r="O175" s="546"/>
      <c r="P175" s="547"/>
      <c r="Q175" s="548"/>
      <c r="R175" s="548"/>
      <c r="S175" s="546"/>
      <c r="T175" s="547"/>
      <c r="U175" s="548"/>
      <c r="V175" s="548"/>
      <c r="W175" s="548"/>
      <c r="X175" s="546"/>
      <c r="Y175" s="547"/>
      <c r="Z175" s="548"/>
      <c r="AA175" s="548"/>
      <c r="AB175" s="546"/>
      <c r="AC175" s="547"/>
      <c r="AD175" s="548"/>
      <c r="AE175" s="548"/>
      <c r="AF175" s="546"/>
      <c r="AG175" s="547"/>
      <c r="AH175" s="548"/>
      <c r="AI175" s="548"/>
      <c r="AJ175" s="546"/>
      <c r="AK175" s="547"/>
      <c r="AL175" s="548"/>
      <c r="AM175" s="548"/>
      <c r="AN175" s="548"/>
      <c r="AO175" s="546"/>
      <c r="AP175" s="547"/>
      <c r="AQ175" s="548"/>
      <c r="AR175" s="548"/>
      <c r="AS175" s="546"/>
      <c r="AT175" s="547"/>
      <c r="AU175" s="548"/>
      <c r="AV175" s="548"/>
      <c r="AW175" s="546"/>
      <c r="AX175" s="547"/>
      <c r="AY175" s="548"/>
      <c r="AZ175" s="548"/>
      <c r="BA175" s="548"/>
      <c r="BB175" s="546"/>
      <c r="BC175" s="547"/>
      <c r="BD175" s="548"/>
      <c r="BE175" s="548"/>
      <c r="BF175" s="546"/>
      <c r="BG175" s="547"/>
      <c r="BH175" s="548"/>
      <c r="BI175" s="548"/>
      <c r="BJ175" s="548"/>
      <c r="BK175" s="546"/>
      <c r="BL175" s="547"/>
      <c r="BM175" s="548"/>
      <c r="BN175" s="548"/>
      <c r="BO175" s="546"/>
      <c r="BP175" s="547"/>
      <c r="BQ175" s="548"/>
      <c r="BR175" s="548"/>
      <c r="BS175" s="546"/>
      <c r="BT175" s="547"/>
      <c r="BU175" s="548"/>
      <c r="BV175" s="548"/>
      <c r="BW175" s="548"/>
      <c r="BX175" s="546"/>
      <c r="BY175" s="547"/>
      <c r="BZ175" s="548"/>
      <c r="CA175" s="560"/>
      <c r="CB175" s="549"/>
    </row>
    <row r="176" spans="1:80" outlineLevel="1">
      <c r="A176" s="515">
        <v>166</v>
      </c>
      <c r="B176" s="556" t="s">
        <v>605</v>
      </c>
      <c r="C176" s="545"/>
      <c r="D176" s="557">
        <f>D$171</f>
        <v>23</v>
      </c>
      <c r="E176" s="545">
        <v>10</v>
      </c>
      <c r="F176" s="545" t="s">
        <v>532</v>
      </c>
      <c r="G176" s="589">
        <v>0.46</v>
      </c>
      <c r="H176" s="558"/>
      <c r="I176" s="558"/>
      <c r="J176" s="589">
        <f t="shared" si="21"/>
        <v>740.6</v>
      </c>
      <c r="K176" s="590" t="str">
        <f t="shared" si="9"/>
        <v/>
      </c>
      <c r="L176" s="547"/>
      <c r="M176" s="548"/>
      <c r="N176" s="548"/>
      <c r="O176" s="546"/>
      <c r="P176" s="547"/>
      <c r="Q176" s="548"/>
      <c r="R176" s="548"/>
      <c r="S176" s="546"/>
      <c r="T176" s="547"/>
      <c r="U176" s="548"/>
      <c r="V176" s="548"/>
      <c r="W176" s="548"/>
      <c r="X176" s="546"/>
      <c r="Y176" s="547"/>
      <c r="Z176" s="548"/>
      <c r="AA176" s="548"/>
      <c r="AB176" s="546"/>
      <c r="AC176" s="547"/>
      <c r="AD176" s="548"/>
      <c r="AE176" s="548"/>
      <c r="AF176" s="546"/>
      <c r="AG176" s="547"/>
      <c r="AH176" s="548"/>
      <c r="AI176" s="548"/>
      <c r="AJ176" s="546"/>
      <c r="AK176" s="547"/>
      <c r="AL176" s="548"/>
      <c r="AM176" s="548"/>
      <c r="AN176" s="548"/>
      <c r="AO176" s="546"/>
      <c r="AP176" s="547"/>
      <c r="AQ176" s="548"/>
      <c r="AR176" s="548"/>
      <c r="AS176" s="546"/>
      <c r="AT176" s="547"/>
      <c r="AU176" s="548"/>
      <c r="AV176" s="548"/>
      <c r="AW176" s="546"/>
      <c r="AX176" s="547"/>
      <c r="AY176" s="548"/>
      <c r="AZ176" s="548"/>
      <c r="BA176" s="548"/>
      <c r="BB176" s="546"/>
      <c r="BC176" s="547"/>
      <c r="BD176" s="548"/>
      <c r="BE176" s="548"/>
      <c r="BF176" s="546"/>
      <c r="BG176" s="547"/>
      <c r="BH176" s="548"/>
      <c r="BI176" s="548"/>
      <c r="BJ176" s="548"/>
      <c r="BK176" s="546"/>
      <c r="BL176" s="547"/>
      <c r="BM176" s="548"/>
      <c r="BN176" s="548"/>
      <c r="BO176" s="546"/>
      <c r="BP176" s="547"/>
      <c r="BQ176" s="548"/>
      <c r="BR176" s="548"/>
      <c r="BS176" s="546"/>
      <c r="BT176" s="547"/>
      <c r="BU176" s="548"/>
      <c r="BV176" s="548"/>
      <c r="BW176" s="548"/>
      <c r="BX176" s="546"/>
      <c r="BY176" s="547"/>
      <c r="BZ176" s="548"/>
      <c r="CA176" s="560"/>
      <c r="CB176" s="549"/>
    </row>
    <row r="177" spans="1:80" outlineLevel="1">
      <c r="A177" s="515">
        <v>167</v>
      </c>
      <c r="B177" s="556" t="s">
        <v>549</v>
      </c>
      <c r="C177" s="545"/>
      <c r="D177" s="557" t="str">
        <f>DureeHL($L177:$CB177)</f>
        <v/>
      </c>
      <c r="E177" s="545"/>
      <c r="F177" s="545" t="s">
        <v>532</v>
      </c>
      <c r="G177" s="589">
        <v>0.08</v>
      </c>
      <c r="H177" s="558"/>
      <c r="I177" s="558"/>
      <c r="J177" s="589">
        <f t="shared" si="21"/>
        <v>0</v>
      </c>
      <c r="K177" s="590" t="str">
        <f t="shared" si="9"/>
        <v>C</v>
      </c>
      <c r="L177" s="547"/>
      <c r="M177" s="548"/>
      <c r="N177" s="548"/>
      <c r="O177" s="546"/>
      <c r="P177" s="547"/>
      <c r="Q177" s="548"/>
      <c r="R177" s="548"/>
      <c r="S177" s="546"/>
      <c r="T177" s="547"/>
      <c r="U177" s="548"/>
      <c r="V177" s="548"/>
      <c r="W177" s="548"/>
      <c r="X177" s="546"/>
      <c r="Y177" s="547"/>
      <c r="Z177" s="548"/>
      <c r="AA177" s="548"/>
      <c r="AB177" s="546"/>
      <c r="AC177" s="547"/>
      <c r="AD177" s="548"/>
      <c r="AE177" s="548"/>
      <c r="AF177" s="546"/>
      <c r="AG177" s="547"/>
      <c r="AH177" s="548"/>
      <c r="AI177" s="548"/>
      <c r="AJ177" s="546"/>
      <c r="AK177" s="547"/>
      <c r="AL177" s="548"/>
      <c r="AM177" s="548"/>
      <c r="AN177" s="548"/>
      <c r="AO177" s="546"/>
      <c r="AP177" s="547"/>
      <c r="AQ177" s="548"/>
      <c r="AR177" s="548"/>
      <c r="AS177" s="546"/>
      <c r="AT177" s="547"/>
      <c r="AU177" s="548"/>
      <c r="AV177" s="548"/>
      <c r="AW177" s="546"/>
      <c r="AX177" s="547"/>
      <c r="AY177" s="548"/>
      <c r="AZ177" s="548"/>
      <c r="BA177" s="548"/>
      <c r="BB177" s="546"/>
      <c r="BC177" s="547"/>
      <c r="BD177" s="548"/>
      <c r="BE177" s="548"/>
      <c r="BF177" s="546"/>
      <c r="BG177" s="547"/>
      <c r="BH177" s="548"/>
      <c r="BI177" s="548"/>
      <c r="BJ177" s="548"/>
      <c r="BK177" s="546"/>
      <c r="BL177" s="547"/>
      <c r="BM177" s="548"/>
      <c r="BN177" s="548"/>
      <c r="BO177" s="546"/>
      <c r="BP177" s="547"/>
      <c r="BQ177" s="548"/>
      <c r="BR177" s="548"/>
      <c r="BS177" s="546"/>
      <c r="BT177" s="547"/>
      <c r="BU177" s="548"/>
      <c r="BV177" s="548"/>
      <c r="BW177" s="548"/>
      <c r="BX177" s="546"/>
      <c r="BY177" s="547"/>
      <c r="BZ177" s="548"/>
      <c r="CA177" s="560"/>
      <c r="CB177" s="549"/>
    </row>
    <row r="178" spans="1:80" outlineLevel="1">
      <c r="A178" s="515">
        <v>168</v>
      </c>
      <c r="B178" s="556"/>
      <c r="C178" s="545"/>
      <c r="D178" s="557"/>
      <c r="E178" s="545"/>
      <c r="F178" s="545"/>
      <c r="G178" s="589"/>
      <c r="H178" s="558"/>
      <c r="I178" s="558"/>
      <c r="J178" s="589" t="s">
        <v>624</v>
      </c>
      <c r="K178" s="590" t="str">
        <f t="shared" si="9"/>
        <v/>
      </c>
      <c r="L178" s="547"/>
      <c r="M178" s="548"/>
      <c r="N178" s="548"/>
      <c r="O178" s="546"/>
      <c r="P178" s="547"/>
      <c r="Q178" s="548"/>
      <c r="R178" s="548"/>
      <c r="S178" s="546"/>
      <c r="T178" s="547"/>
      <c r="U178" s="548"/>
      <c r="V178" s="548"/>
      <c r="W178" s="548"/>
      <c r="X178" s="546"/>
      <c r="Y178" s="547"/>
      <c r="Z178" s="548"/>
      <c r="AA178" s="548"/>
      <c r="AB178" s="546"/>
      <c r="AC178" s="547"/>
      <c r="AD178" s="548"/>
      <c r="AE178" s="548"/>
      <c r="AF178" s="546"/>
      <c r="AG178" s="547"/>
      <c r="AH178" s="548"/>
      <c r="AI178" s="548"/>
      <c r="AJ178" s="546"/>
      <c r="AK178" s="547"/>
      <c r="AL178" s="548"/>
      <c r="AM178" s="548"/>
      <c r="AN178" s="548"/>
      <c r="AO178" s="546"/>
      <c r="AP178" s="547"/>
      <c r="AQ178" s="548"/>
      <c r="AR178" s="548"/>
      <c r="AS178" s="546"/>
      <c r="AT178" s="547"/>
      <c r="AU178" s="548"/>
      <c r="AV178" s="548"/>
      <c r="AW178" s="546"/>
      <c r="AX178" s="547"/>
      <c r="AY178" s="548"/>
      <c r="AZ178" s="548"/>
      <c r="BA178" s="548"/>
      <c r="BB178" s="546"/>
      <c r="BC178" s="547"/>
      <c r="BD178" s="548"/>
      <c r="BE178" s="548"/>
      <c r="BF178" s="546"/>
      <c r="BG178" s="547"/>
      <c r="BH178" s="548"/>
      <c r="BI178" s="548"/>
      <c r="BJ178" s="548"/>
      <c r="BK178" s="546"/>
      <c r="BL178" s="547"/>
      <c r="BM178" s="548"/>
      <c r="BN178" s="548"/>
      <c r="BO178" s="546"/>
      <c r="BP178" s="547"/>
      <c r="BQ178" s="548"/>
      <c r="BR178" s="548"/>
      <c r="BS178" s="546"/>
      <c r="BT178" s="547"/>
      <c r="BU178" s="548"/>
      <c r="BV178" s="548"/>
      <c r="BW178" s="548"/>
      <c r="BX178" s="546"/>
      <c r="BY178" s="547"/>
      <c r="BZ178" s="548"/>
      <c r="CA178" s="560"/>
      <c r="CB178" s="549"/>
    </row>
    <row r="179" spans="1:80" outlineLevel="1">
      <c r="A179" s="515">
        <v>169</v>
      </c>
      <c r="B179" s="556" t="s">
        <v>587</v>
      </c>
      <c r="C179" s="545"/>
      <c r="D179" s="557" t="s">
        <v>622</v>
      </c>
      <c r="E179" s="545">
        <v>5</v>
      </c>
      <c r="F179" s="545" t="s">
        <v>535</v>
      </c>
      <c r="G179" s="589">
        <v>200</v>
      </c>
      <c r="H179" s="558"/>
      <c r="I179" s="558"/>
      <c r="J179" s="589">
        <f>IF(D179="Achat",1,IF(D179="",0,D179*7))*E179*G179</f>
        <v>1000</v>
      </c>
      <c r="K179" s="590" t="str">
        <f t="shared" si="9"/>
        <v/>
      </c>
      <c r="L179" s="547"/>
      <c r="M179" s="548"/>
      <c r="N179" s="548"/>
      <c r="O179" s="546"/>
      <c r="P179" s="547"/>
      <c r="Q179" s="548"/>
      <c r="R179" s="548"/>
      <c r="S179" s="546"/>
      <c r="T179" s="547"/>
      <c r="U179" s="548"/>
      <c r="V179" s="548"/>
      <c r="W179" s="548"/>
      <c r="X179" s="546"/>
      <c r="Y179" s="547"/>
      <c r="Z179" s="548"/>
      <c r="AA179" s="548"/>
      <c r="AB179" s="546"/>
      <c r="AC179" s="547"/>
      <c r="AD179" s="548"/>
      <c r="AE179" s="548"/>
      <c r="AF179" s="546"/>
      <c r="AG179" s="547"/>
      <c r="AH179" s="548"/>
      <c r="AI179" s="548"/>
      <c r="AJ179" s="546"/>
      <c r="AK179" s="547"/>
      <c r="AL179" s="548"/>
      <c r="AM179" s="548"/>
      <c r="AN179" s="548"/>
      <c r="AO179" s="546"/>
      <c r="AP179" s="547"/>
      <c r="AQ179" s="548"/>
      <c r="AR179" s="548"/>
      <c r="AS179" s="546"/>
      <c r="AT179" s="547"/>
      <c r="AU179" s="548"/>
      <c r="AV179" s="548"/>
      <c r="AW179" s="546"/>
      <c r="AX179" s="547"/>
      <c r="AY179" s="548"/>
      <c r="AZ179" s="548"/>
      <c r="BA179" s="548"/>
      <c r="BB179" s="546"/>
      <c r="BC179" s="547"/>
      <c r="BD179" s="548"/>
      <c r="BE179" s="548"/>
      <c r="BF179" s="546"/>
      <c r="BG179" s="547"/>
      <c r="BH179" s="548"/>
      <c r="BI179" s="548"/>
      <c r="BJ179" s="548"/>
      <c r="BK179" s="546"/>
      <c r="BL179" s="547"/>
      <c r="BM179" s="548"/>
      <c r="BN179" s="548"/>
      <c r="BO179" s="546"/>
      <c r="BP179" s="547"/>
      <c r="BQ179" s="548"/>
      <c r="BR179" s="548"/>
      <c r="BS179" s="546"/>
      <c r="BT179" s="547"/>
      <c r="BU179" s="548"/>
      <c r="BV179" s="548"/>
      <c r="BW179" s="548"/>
      <c r="BX179" s="546"/>
      <c r="BY179" s="547"/>
      <c r="BZ179" s="548"/>
      <c r="CA179" s="560"/>
      <c r="CB179" s="549"/>
    </row>
    <row r="180" spans="1:80" outlineLevel="1">
      <c r="A180" s="515">
        <v>170</v>
      </c>
      <c r="B180" s="556" t="s">
        <v>588</v>
      </c>
      <c r="C180" s="545"/>
      <c r="D180" s="557" t="s">
        <v>622</v>
      </c>
      <c r="E180" s="545">
        <v>50</v>
      </c>
      <c r="F180" s="545" t="s">
        <v>533</v>
      </c>
      <c r="G180" s="589">
        <v>13</v>
      </c>
      <c r="H180" s="558"/>
      <c r="I180" s="558"/>
      <c r="J180" s="589">
        <f>IF(D180="Achat",1,IF(D180="",0,D180*7))*E180*G180</f>
        <v>650</v>
      </c>
      <c r="K180" s="590" t="str">
        <f t="shared" si="9"/>
        <v/>
      </c>
      <c r="L180" s="547"/>
      <c r="M180" s="548"/>
      <c r="N180" s="548"/>
      <c r="O180" s="546"/>
      <c r="P180" s="547"/>
      <c r="Q180" s="548"/>
      <c r="R180" s="548"/>
      <c r="S180" s="546"/>
      <c r="T180" s="547"/>
      <c r="U180" s="548"/>
      <c r="V180" s="548"/>
      <c r="W180" s="548"/>
      <c r="X180" s="546"/>
      <c r="Y180" s="547"/>
      <c r="Z180" s="548"/>
      <c r="AA180" s="548"/>
      <c r="AB180" s="546"/>
      <c r="AC180" s="547"/>
      <c r="AD180" s="548"/>
      <c r="AE180" s="548"/>
      <c r="AF180" s="546"/>
      <c r="AG180" s="547"/>
      <c r="AH180" s="548"/>
      <c r="AI180" s="548"/>
      <c r="AJ180" s="546"/>
      <c r="AK180" s="547"/>
      <c r="AL180" s="548"/>
      <c r="AM180" s="548"/>
      <c r="AN180" s="548"/>
      <c r="AO180" s="546"/>
      <c r="AP180" s="547"/>
      <c r="AQ180" s="548"/>
      <c r="AR180" s="548"/>
      <c r="AS180" s="546"/>
      <c r="AT180" s="547"/>
      <c r="AU180" s="548"/>
      <c r="AV180" s="548"/>
      <c r="AW180" s="546"/>
      <c r="AX180" s="547"/>
      <c r="AY180" s="548"/>
      <c r="AZ180" s="548"/>
      <c r="BA180" s="548"/>
      <c r="BB180" s="546"/>
      <c r="BC180" s="547"/>
      <c r="BD180" s="548"/>
      <c r="BE180" s="548"/>
      <c r="BF180" s="546"/>
      <c r="BG180" s="547"/>
      <c r="BH180" s="548"/>
      <c r="BI180" s="548"/>
      <c r="BJ180" s="548"/>
      <c r="BK180" s="546"/>
      <c r="BL180" s="547"/>
      <c r="BM180" s="548"/>
      <c r="BN180" s="548"/>
      <c r="BO180" s="546"/>
      <c r="BP180" s="547"/>
      <c r="BQ180" s="548"/>
      <c r="BR180" s="548"/>
      <c r="BS180" s="546"/>
      <c r="BT180" s="547"/>
      <c r="BU180" s="548"/>
      <c r="BV180" s="548"/>
      <c r="BW180" s="548"/>
      <c r="BX180" s="546"/>
      <c r="BY180" s="547"/>
      <c r="BZ180" s="548"/>
      <c r="CA180" s="560"/>
      <c r="CB180" s="549"/>
    </row>
    <row r="181" spans="1:80" outlineLevel="1">
      <c r="A181" s="515">
        <v>171</v>
      </c>
      <c r="B181" s="597"/>
      <c r="C181" s="545"/>
      <c r="D181" s="598"/>
      <c r="E181" s="545"/>
      <c r="F181" s="545"/>
      <c r="G181" s="589"/>
      <c r="H181" s="558"/>
      <c r="I181" s="558"/>
      <c r="J181" s="589" t="s">
        <v>624</v>
      </c>
      <c r="K181" s="590" t="str">
        <f t="shared" si="9"/>
        <v/>
      </c>
      <c r="L181" s="547"/>
      <c r="M181" s="548"/>
      <c r="N181" s="548"/>
      <c r="O181" s="546"/>
      <c r="P181" s="547"/>
      <c r="Q181" s="548"/>
      <c r="R181" s="548"/>
      <c r="S181" s="546"/>
      <c r="T181" s="547"/>
      <c r="U181" s="548"/>
      <c r="V181" s="548"/>
      <c r="W181" s="548"/>
      <c r="X181" s="546"/>
      <c r="Y181" s="547"/>
      <c r="Z181" s="548"/>
      <c r="AA181" s="548"/>
      <c r="AB181" s="546"/>
      <c r="AC181" s="547"/>
      <c r="AD181" s="548"/>
      <c r="AE181" s="548"/>
      <c r="AF181" s="546"/>
      <c r="AG181" s="547"/>
      <c r="AH181" s="548"/>
      <c r="AI181" s="548"/>
      <c r="AJ181" s="546"/>
      <c r="AK181" s="547"/>
      <c r="AL181" s="548"/>
      <c r="AM181" s="548"/>
      <c r="AN181" s="548"/>
      <c r="AO181" s="546"/>
      <c r="AP181" s="547"/>
      <c r="AQ181" s="548"/>
      <c r="AR181" s="548"/>
      <c r="AS181" s="546"/>
      <c r="AT181" s="547"/>
      <c r="AU181" s="548"/>
      <c r="AV181" s="548"/>
      <c r="AW181" s="546"/>
      <c r="AX181" s="547"/>
      <c r="AY181" s="548"/>
      <c r="AZ181" s="548"/>
      <c r="BA181" s="548"/>
      <c r="BB181" s="546"/>
      <c r="BC181" s="547"/>
      <c r="BD181" s="548"/>
      <c r="BE181" s="548"/>
      <c r="BF181" s="546"/>
      <c r="BG181" s="547"/>
      <c r="BH181" s="548"/>
      <c r="BI181" s="548"/>
      <c r="BJ181" s="548"/>
      <c r="BK181" s="546"/>
      <c r="BL181" s="547"/>
      <c r="BM181" s="548"/>
      <c r="BN181" s="548"/>
      <c r="BO181" s="546"/>
      <c r="BP181" s="547"/>
      <c r="BQ181" s="548"/>
      <c r="BR181" s="548"/>
      <c r="BS181" s="546"/>
      <c r="BT181" s="547"/>
      <c r="BU181" s="548"/>
      <c r="BV181" s="548"/>
      <c r="BW181" s="548"/>
      <c r="BX181" s="546"/>
      <c r="BY181" s="547"/>
      <c r="BZ181" s="548"/>
      <c r="CA181" s="560"/>
      <c r="CB181" s="549"/>
    </row>
    <row r="182" spans="1:80">
      <c r="A182" s="582">
        <v>172</v>
      </c>
      <c r="B182" s="583" t="s">
        <v>511</v>
      </c>
      <c r="C182" s="584"/>
      <c r="D182" s="584"/>
      <c r="E182" s="584"/>
      <c r="F182" s="584"/>
      <c r="G182" s="584"/>
      <c r="H182" s="585"/>
      <c r="I182" s="586" t="s">
        <v>594</v>
      </c>
      <c r="J182" s="587">
        <f>SUBTOTAL(9,J183:J192)</f>
        <v>2877</v>
      </c>
      <c r="K182" s="588" t="str">
        <f t="shared" si="9"/>
        <v/>
      </c>
      <c r="L182" s="547"/>
      <c r="M182" s="548"/>
      <c r="N182" s="548"/>
      <c r="O182" s="546"/>
      <c r="P182" s="547"/>
      <c r="Q182" s="548"/>
      <c r="R182" s="548"/>
      <c r="S182" s="546"/>
      <c r="T182" s="547"/>
      <c r="U182" s="548"/>
      <c r="V182" s="548"/>
      <c r="W182" s="548"/>
      <c r="X182" s="546"/>
      <c r="Y182" s="547"/>
      <c r="Z182" s="548"/>
      <c r="AA182" s="548"/>
      <c r="AB182" s="546"/>
      <c r="AC182" s="547"/>
      <c r="AD182" s="548"/>
      <c r="AE182" s="548"/>
      <c r="AF182" s="546"/>
      <c r="AG182" s="547"/>
      <c r="AH182" s="548"/>
      <c r="AI182" s="548"/>
      <c r="AJ182" s="546"/>
      <c r="AK182" s="547"/>
      <c r="AL182" s="548"/>
      <c r="AM182" s="548"/>
      <c r="AN182" s="548"/>
      <c r="AO182" s="546"/>
      <c r="AP182" s="547"/>
      <c r="AQ182" s="548"/>
      <c r="AR182" s="548"/>
      <c r="AS182" s="546"/>
      <c r="AT182" s="547"/>
      <c r="AU182" s="548"/>
      <c r="AV182" s="548"/>
      <c r="AW182" s="546"/>
      <c r="AX182" s="547"/>
      <c r="AY182" s="548"/>
      <c r="AZ182" s="548"/>
      <c r="BA182" s="548"/>
      <c r="BB182" s="546"/>
      <c r="BC182" s="547"/>
      <c r="BD182" s="548"/>
      <c r="BE182" s="548"/>
      <c r="BF182" s="546"/>
      <c r="BG182" s="547"/>
      <c r="BH182" s="548"/>
      <c r="BI182" s="548"/>
      <c r="BJ182" s="548"/>
      <c r="BK182" s="546"/>
      <c r="BL182" s="547"/>
      <c r="BM182" s="548"/>
      <c r="BN182" s="548"/>
      <c r="BO182" s="546"/>
      <c r="BP182" s="547"/>
      <c r="BQ182" s="548"/>
      <c r="BR182" s="548"/>
      <c r="BS182" s="546"/>
      <c r="BT182" s="547"/>
      <c r="BU182" s="548"/>
      <c r="BV182" s="548"/>
      <c r="BW182" s="548"/>
      <c r="BX182" s="546"/>
      <c r="BY182" s="547"/>
      <c r="BZ182" s="548"/>
      <c r="CA182" s="560"/>
      <c r="CB182" s="549"/>
    </row>
    <row r="183" spans="1:80" outlineLevel="1">
      <c r="A183" s="515">
        <v>173</v>
      </c>
      <c r="B183" s="593"/>
      <c r="C183" s="545"/>
      <c r="D183" s="557"/>
      <c r="E183" s="545"/>
      <c r="F183" s="545"/>
      <c r="G183" s="589"/>
      <c r="H183" s="558"/>
      <c r="I183" s="558"/>
      <c r="J183" s="589" t="s">
        <v>624</v>
      </c>
      <c r="K183" s="590" t="str">
        <f t="shared" si="9"/>
        <v/>
      </c>
      <c r="L183" s="547"/>
      <c r="M183" s="548"/>
      <c r="N183" s="548"/>
      <c r="O183" s="546"/>
      <c r="P183" s="547"/>
      <c r="Q183" s="548"/>
      <c r="R183" s="548"/>
      <c r="S183" s="546"/>
      <c r="T183" s="547"/>
      <c r="U183" s="548"/>
      <c r="V183" s="548"/>
      <c r="W183" s="548"/>
      <c r="X183" s="546"/>
      <c r="Y183" s="547"/>
      <c r="Z183" s="548"/>
      <c r="AA183" s="548"/>
      <c r="AB183" s="546"/>
      <c r="AC183" s="547"/>
      <c r="AD183" s="548"/>
      <c r="AE183" s="548"/>
      <c r="AF183" s="546"/>
      <c r="AG183" s="547"/>
      <c r="AH183" s="548"/>
      <c r="AI183" s="548"/>
      <c r="AJ183" s="546"/>
      <c r="AK183" s="547"/>
      <c r="AL183" s="548"/>
      <c r="AM183" s="548"/>
      <c r="AN183" s="548"/>
      <c r="AO183" s="546"/>
      <c r="AP183" s="547"/>
      <c r="AQ183" s="548"/>
      <c r="AR183" s="548"/>
      <c r="AS183" s="546"/>
      <c r="AT183" s="547"/>
      <c r="AU183" s="548"/>
      <c r="AV183" s="548"/>
      <c r="AW183" s="546"/>
      <c r="AX183" s="547"/>
      <c r="AY183" s="548"/>
      <c r="AZ183" s="548"/>
      <c r="BA183" s="548"/>
      <c r="BB183" s="546"/>
      <c r="BC183" s="547"/>
      <c r="BD183" s="548"/>
      <c r="BE183" s="548"/>
      <c r="BF183" s="546"/>
      <c r="BG183" s="547"/>
      <c r="BH183" s="548"/>
      <c r="BI183" s="548"/>
      <c r="BJ183" s="548"/>
      <c r="BK183" s="546"/>
      <c r="BL183" s="547"/>
      <c r="BM183" s="548"/>
      <c r="BN183" s="548"/>
      <c r="BO183" s="546"/>
      <c r="BP183" s="547"/>
      <c r="BQ183" s="548"/>
      <c r="BR183" s="548"/>
      <c r="BS183" s="546"/>
      <c r="BT183" s="547"/>
      <c r="BU183" s="548"/>
      <c r="BV183" s="548"/>
      <c r="BW183" s="548"/>
      <c r="BX183" s="546"/>
      <c r="BY183" s="547"/>
      <c r="BZ183" s="548"/>
      <c r="CA183" s="560"/>
      <c r="CB183" s="549"/>
    </row>
    <row r="184" spans="1:80" ht="12" outlineLevel="1" thickBot="1">
      <c r="A184" s="515">
        <v>174</v>
      </c>
      <c r="B184" s="556" t="s">
        <v>447</v>
      </c>
      <c r="C184" s="545"/>
      <c r="D184" s="557">
        <f>DureeHL($L184:$CB184)</f>
        <v>15</v>
      </c>
      <c r="E184" s="545">
        <v>40</v>
      </c>
      <c r="F184" s="545" t="s">
        <v>532</v>
      </c>
      <c r="G184" s="589">
        <v>0.52500000000000002</v>
      </c>
      <c r="H184" s="558"/>
      <c r="I184" s="558"/>
      <c r="J184" s="589">
        <f t="shared" ref="J184:J191" si="22">IF(D184="Achat",1,IF(D184="",0,D184*7))*E184*G184</f>
        <v>2205</v>
      </c>
      <c r="K184" s="590" t="str">
        <f t="shared" si="9"/>
        <v/>
      </c>
      <c r="L184" s="547"/>
      <c r="M184" s="548"/>
      <c r="N184" s="548"/>
      <c r="O184" s="546"/>
      <c r="P184" s="547"/>
      <c r="Q184" s="548"/>
      <c r="R184" s="548"/>
      <c r="S184" s="546"/>
      <c r="T184" s="547"/>
      <c r="U184" s="548"/>
      <c r="V184" s="548"/>
      <c r="W184" s="548"/>
      <c r="X184" s="546"/>
      <c r="Y184" s="547"/>
      <c r="Z184" s="548"/>
      <c r="AA184" s="716"/>
      <c r="AB184" s="717"/>
      <c r="AC184" s="718"/>
      <c r="AD184" s="716"/>
      <c r="AE184" s="716"/>
      <c r="AF184" s="717"/>
      <c r="AG184" s="718"/>
      <c r="AH184" s="716"/>
      <c r="AI184" s="716"/>
      <c r="AJ184" s="717"/>
      <c r="AK184" s="718"/>
      <c r="AL184" s="716"/>
      <c r="AM184" s="716"/>
      <c r="AN184" s="716"/>
      <c r="AO184" s="717"/>
      <c r="AP184" s="547"/>
      <c r="AQ184" s="548"/>
      <c r="AR184" s="548"/>
      <c r="AS184" s="546"/>
      <c r="AT184" s="547"/>
      <c r="AU184" s="548"/>
      <c r="AV184" s="548"/>
      <c r="AW184" s="546"/>
      <c r="AX184" s="547"/>
      <c r="AY184" s="548"/>
      <c r="AZ184" s="548"/>
      <c r="BA184" s="548"/>
      <c r="BB184" s="546"/>
      <c r="BC184" s="547"/>
      <c r="BD184" s="548"/>
      <c r="BE184" s="548"/>
      <c r="BF184" s="546"/>
      <c r="BG184" s="547"/>
      <c r="BH184" s="548"/>
      <c r="BI184" s="548"/>
      <c r="BJ184" s="548"/>
      <c r="BK184" s="546"/>
      <c r="BL184" s="547"/>
      <c r="BM184" s="548"/>
      <c r="BN184" s="548"/>
      <c r="BO184" s="546"/>
      <c r="BP184" s="547"/>
      <c r="BQ184" s="548"/>
      <c r="BR184" s="548"/>
      <c r="BS184" s="546"/>
      <c r="BT184" s="547"/>
      <c r="BU184" s="548"/>
      <c r="BV184" s="548"/>
      <c r="BW184" s="548"/>
      <c r="BX184" s="546"/>
      <c r="BY184" s="547"/>
      <c r="BZ184" s="548"/>
      <c r="CA184" s="560"/>
      <c r="CB184" s="549"/>
    </row>
    <row r="185" spans="1:80" ht="12" outlineLevel="1" thickTop="1">
      <c r="A185" s="515">
        <v>175</v>
      </c>
      <c r="B185" s="556" t="s">
        <v>457</v>
      </c>
      <c r="C185" s="545"/>
      <c r="D185" s="557" t="str">
        <f>DureeHL($L185:$CB185)</f>
        <v/>
      </c>
      <c r="E185" s="545">
        <v>30</v>
      </c>
      <c r="F185" s="545" t="s">
        <v>532</v>
      </c>
      <c r="G185" s="589">
        <v>0.52500000000000002</v>
      </c>
      <c r="H185" s="558"/>
      <c r="I185" s="558"/>
      <c r="J185" s="589">
        <f t="shared" si="22"/>
        <v>0</v>
      </c>
      <c r="K185" s="590" t="str">
        <f t="shared" si="9"/>
        <v>C</v>
      </c>
      <c r="L185" s="547"/>
      <c r="M185" s="548"/>
      <c r="N185" s="548"/>
      <c r="O185" s="546"/>
      <c r="P185" s="547"/>
      <c r="Q185" s="548"/>
      <c r="R185" s="548"/>
      <c r="S185" s="546"/>
      <c r="T185" s="547"/>
      <c r="U185" s="548"/>
      <c r="V185" s="548"/>
      <c r="W185" s="548"/>
      <c r="X185" s="546"/>
      <c r="Y185" s="547"/>
      <c r="Z185" s="548"/>
      <c r="AA185" s="710"/>
      <c r="AB185" s="719"/>
      <c r="AC185" s="708"/>
      <c r="AD185" s="710"/>
      <c r="AE185" s="710"/>
      <c r="AF185" s="719"/>
      <c r="AG185" s="708"/>
      <c r="AH185" s="710"/>
      <c r="AI185" s="710"/>
      <c r="AJ185" s="719"/>
      <c r="AK185" s="708"/>
      <c r="AL185" s="710"/>
      <c r="AM185" s="710"/>
      <c r="AN185" s="710"/>
      <c r="AO185" s="719"/>
      <c r="AP185" s="547"/>
      <c r="AQ185" s="548"/>
      <c r="AR185" s="548"/>
      <c r="AS185" s="546"/>
      <c r="AT185" s="547"/>
      <c r="AU185" s="548"/>
      <c r="AV185" s="548"/>
      <c r="AW185" s="546"/>
      <c r="AX185" s="547"/>
      <c r="AY185" s="548"/>
      <c r="AZ185" s="548"/>
      <c r="BA185" s="548"/>
      <c r="BB185" s="546"/>
      <c r="BC185" s="547"/>
      <c r="BD185" s="548"/>
      <c r="BE185" s="548"/>
      <c r="BF185" s="546"/>
      <c r="BG185" s="547"/>
      <c r="BH185" s="548"/>
      <c r="BI185" s="548"/>
      <c r="BJ185" s="548"/>
      <c r="BK185" s="546"/>
      <c r="BL185" s="547"/>
      <c r="BM185" s="548"/>
      <c r="BN185" s="548"/>
      <c r="BO185" s="546"/>
      <c r="BP185" s="547"/>
      <c r="BQ185" s="548"/>
      <c r="BR185" s="548"/>
      <c r="BS185" s="546"/>
      <c r="BT185" s="547"/>
      <c r="BU185" s="548"/>
      <c r="BV185" s="548"/>
      <c r="BW185" s="548"/>
      <c r="BX185" s="546"/>
      <c r="BY185" s="547"/>
      <c r="BZ185" s="548"/>
      <c r="CA185" s="560"/>
      <c r="CB185" s="549"/>
    </row>
    <row r="186" spans="1:80" outlineLevel="1">
      <c r="A186" s="515">
        <v>176</v>
      </c>
      <c r="B186" s="556" t="s">
        <v>448</v>
      </c>
      <c r="C186" s="545"/>
      <c r="D186" s="557">
        <f t="shared" ref="D186:D191" si="23">D$184</f>
        <v>15</v>
      </c>
      <c r="E186" s="545">
        <v>0</v>
      </c>
      <c r="F186" s="545" t="s">
        <v>532</v>
      </c>
      <c r="G186" s="589">
        <v>0.28000000000000003</v>
      </c>
      <c r="H186" s="558"/>
      <c r="I186" s="558"/>
      <c r="J186" s="589">
        <f t="shared" si="22"/>
        <v>0</v>
      </c>
      <c r="K186" s="590" t="str">
        <f t="shared" si="9"/>
        <v>C</v>
      </c>
      <c r="L186" s="547"/>
      <c r="M186" s="548"/>
      <c r="N186" s="548"/>
      <c r="O186" s="546"/>
      <c r="P186" s="547"/>
      <c r="Q186" s="548"/>
      <c r="R186" s="548"/>
      <c r="S186" s="546"/>
      <c r="T186" s="547"/>
      <c r="U186" s="548"/>
      <c r="V186" s="548"/>
      <c r="W186" s="548"/>
      <c r="X186" s="546"/>
      <c r="Y186" s="547"/>
      <c r="Z186" s="548"/>
      <c r="AA186" s="548"/>
      <c r="AB186" s="546"/>
      <c r="AC186" s="547"/>
      <c r="AD186" s="548"/>
      <c r="AE186" s="548"/>
      <c r="AF186" s="546"/>
      <c r="AG186" s="547"/>
      <c r="AH186" s="548"/>
      <c r="AI186" s="548"/>
      <c r="AJ186" s="546"/>
      <c r="AK186" s="547"/>
      <c r="AL186" s="548"/>
      <c r="AM186" s="548"/>
      <c r="AN186" s="548"/>
      <c r="AO186" s="546"/>
      <c r="AP186" s="547"/>
      <c r="AQ186" s="548"/>
      <c r="AR186" s="548"/>
      <c r="AS186" s="546"/>
      <c r="AT186" s="547"/>
      <c r="AU186" s="548"/>
      <c r="AV186" s="548"/>
      <c r="AW186" s="546"/>
      <c r="AX186" s="547"/>
      <c r="AY186" s="548"/>
      <c r="AZ186" s="548"/>
      <c r="BA186" s="548"/>
      <c r="BB186" s="546"/>
      <c r="BC186" s="547"/>
      <c r="BD186" s="548"/>
      <c r="BE186" s="548"/>
      <c r="BF186" s="546"/>
      <c r="BG186" s="547"/>
      <c r="BH186" s="548"/>
      <c r="BI186" s="548"/>
      <c r="BJ186" s="548"/>
      <c r="BK186" s="546"/>
      <c r="BL186" s="547"/>
      <c r="BM186" s="548"/>
      <c r="BN186" s="548"/>
      <c r="BO186" s="546"/>
      <c r="BP186" s="547"/>
      <c r="BQ186" s="548"/>
      <c r="BR186" s="548"/>
      <c r="BS186" s="546"/>
      <c r="BT186" s="547"/>
      <c r="BU186" s="548"/>
      <c r="BV186" s="548"/>
      <c r="BW186" s="548"/>
      <c r="BX186" s="546"/>
      <c r="BY186" s="547"/>
      <c r="BZ186" s="548"/>
      <c r="CA186" s="560"/>
      <c r="CB186" s="549"/>
    </row>
    <row r="187" spans="1:80" outlineLevel="1">
      <c r="A187" s="515">
        <v>177</v>
      </c>
      <c r="B187" s="556" t="s">
        <v>449</v>
      </c>
      <c r="C187" s="545"/>
      <c r="D187" s="557">
        <f t="shared" si="23"/>
        <v>15</v>
      </c>
      <c r="E187" s="545">
        <v>0</v>
      </c>
      <c r="F187" s="545" t="s">
        <v>532</v>
      </c>
      <c r="G187" s="589">
        <v>0.51</v>
      </c>
      <c r="H187" s="558"/>
      <c r="I187" s="558"/>
      <c r="J187" s="589">
        <f t="shared" si="22"/>
        <v>0</v>
      </c>
      <c r="K187" s="590" t="str">
        <f t="shared" si="9"/>
        <v>C</v>
      </c>
      <c r="L187" s="547"/>
      <c r="M187" s="548"/>
      <c r="N187" s="548"/>
      <c r="O187" s="546"/>
      <c r="P187" s="547"/>
      <c r="Q187" s="548"/>
      <c r="R187" s="548"/>
      <c r="S187" s="546"/>
      <c r="T187" s="547"/>
      <c r="U187" s="548"/>
      <c r="V187" s="548"/>
      <c r="W187" s="548"/>
      <c r="X187" s="546"/>
      <c r="Y187" s="547"/>
      <c r="Z187" s="548"/>
      <c r="AA187" s="548"/>
      <c r="AB187" s="546"/>
      <c r="AC187" s="547"/>
      <c r="AD187" s="548"/>
      <c r="AE187" s="548"/>
      <c r="AF187" s="546"/>
      <c r="AG187" s="547"/>
      <c r="AH187" s="548"/>
      <c r="AI187" s="548"/>
      <c r="AJ187" s="546"/>
      <c r="AK187" s="547"/>
      <c r="AL187" s="548"/>
      <c r="AM187" s="548"/>
      <c r="AN187" s="548"/>
      <c r="AO187" s="546"/>
      <c r="AP187" s="547"/>
      <c r="AQ187" s="548"/>
      <c r="AR187" s="548"/>
      <c r="AS187" s="546"/>
      <c r="AT187" s="547"/>
      <c r="AU187" s="548"/>
      <c r="AV187" s="548"/>
      <c r="AW187" s="546"/>
      <c r="AX187" s="547"/>
      <c r="AY187" s="548"/>
      <c r="AZ187" s="548"/>
      <c r="BA187" s="548"/>
      <c r="BB187" s="546"/>
      <c r="BC187" s="547"/>
      <c r="BD187" s="548"/>
      <c r="BE187" s="548"/>
      <c r="BF187" s="546"/>
      <c r="BG187" s="547"/>
      <c r="BH187" s="548"/>
      <c r="BI187" s="548"/>
      <c r="BJ187" s="548"/>
      <c r="BK187" s="546"/>
      <c r="BL187" s="547"/>
      <c r="BM187" s="548"/>
      <c r="BN187" s="548"/>
      <c r="BO187" s="546"/>
      <c r="BP187" s="547"/>
      <c r="BQ187" s="548"/>
      <c r="BR187" s="548"/>
      <c r="BS187" s="546"/>
      <c r="BT187" s="547"/>
      <c r="BU187" s="548"/>
      <c r="BV187" s="548"/>
      <c r="BW187" s="548"/>
      <c r="BX187" s="546"/>
      <c r="BY187" s="547"/>
      <c r="BZ187" s="548"/>
      <c r="CA187" s="560"/>
      <c r="CB187" s="549"/>
    </row>
    <row r="188" spans="1:80" outlineLevel="1">
      <c r="A188" s="515">
        <v>178</v>
      </c>
      <c r="B188" s="556" t="s">
        <v>449</v>
      </c>
      <c r="C188" s="545"/>
      <c r="D188" s="557">
        <f t="shared" si="23"/>
        <v>15</v>
      </c>
      <c r="E188" s="545">
        <v>0</v>
      </c>
      <c r="F188" s="545" t="s">
        <v>532</v>
      </c>
      <c r="G188" s="589">
        <v>0.51</v>
      </c>
      <c r="H188" s="558"/>
      <c r="I188" s="558"/>
      <c r="J188" s="589">
        <f t="shared" si="22"/>
        <v>0</v>
      </c>
      <c r="K188" s="590" t="str">
        <f t="shared" si="9"/>
        <v>C</v>
      </c>
      <c r="L188" s="547"/>
      <c r="M188" s="548"/>
      <c r="N188" s="548"/>
      <c r="O188" s="546"/>
      <c r="P188" s="547"/>
      <c r="Q188" s="548"/>
      <c r="R188" s="548"/>
      <c r="S188" s="546"/>
      <c r="T188" s="547"/>
      <c r="U188" s="548"/>
      <c r="V188" s="548"/>
      <c r="W188" s="548"/>
      <c r="X188" s="546"/>
      <c r="Y188" s="547"/>
      <c r="Z188" s="548"/>
      <c r="AA188" s="548"/>
      <c r="AB188" s="546"/>
      <c r="AC188" s="547"/>
      <c r="AD188" s="548"/>
      <c r="AE188" s="548"/>
      <c r="AF188" s="546"/>
      <c r="AG188" s="547"/>
      <c r="AH188" s="548"/>
      <c r="AI188" s="548"/>
      <c r="AJ188" s="546"/>
      <c r="AK188" s="547"/>
      <c r="AL188" s="548"/>
      <c r="AM188" s="548"/>
      <c r="AN188" s="548"/>
      <c r="AO188" s="546"/>
      <c r="AP188" s="547"/>
      <c r="AQ188" s="548"/>
      <c r="AR188" s="548"/>
      <c r="AS188" s="546"/>
      <c r="AT188" s="547"/>
      <c r="AU188" s="548"/>
      <c r="AV188" s="548"/>
      <c r="AW188" s="546"/>
      <c r="AX188" s="547"/>
      <c r="AY188" s="548"/>
      <c r="AZ188" s="548"/>
      <c r="BA188" s="548"/>
      <c r="BB188" s="546"/>
      <c r="BC188" s="547"/>
      <c r="BD188" s="548"/>
      <c r="BE188" s="548"/>
      <c r="BF188" s="546"/>
      <c r="BG188" s="547"/>
      <c r="BH188" s="548"/>
      <c r="BI188" s="548"/>
      <c r="BJ188" s="548"/>
      <c r="BK188" s="546"/>
      <c r="BL188" s="547"/>
      <c r="BM188" s="548"/>
      <c r="BN188" s="548"/>
      <c r="BO188" s="546"/>
      <c r="BP188" s="547"/>
      <c r="BQ188" s="548"/>
      <c r="BR188" s="548"/>
      <c r="BS188" s="546"/>
      <c r="BT188" s="547"/>
      <c r="BU188" s="548"/>
      <c r="BV188" s="548"/>
      <c r="BW188" s="548"/>
      <c r="BX188" s="546"/>
      <c r="BY188" s="547"/>
      <c r="BZ188" s="548"/>
      <c r="CA188" s="560"/>
      <c r="CB188" s="549"/>
    </row>
    <row r="189" spans="1:80" outlineLevel="1">
      <c r="A189" s="515">
        <v>179</v>
      </c>
      <c r="B189" s="556" t="s">
        <v>334</v>
      </c>
      <c r="C189" s="545"/>
      <c r="D189" s="557">
        <f t="shared" si="23"/>
        <v>15</v>
      </c>
      <c r="E189" s="545">
        <v>0</v>
      </c>
      <c r="F189" s="545" t="s">
        <v>532</v>
      </c>
      <c r="G189" s="589">
        <v>0.09</v>
      </c>
      <c r="H189" s="558"/>
      <c r="I189" s="558"/>
      <c r="J189" s="589">
        <f t="shared" si="22"/>
        <v>0</v>
      </c>
      <c r="K189" s="590" t="str">
        <f t="shared" si="9"/>
        <v>C</v>
      </c>
      <c r="L189" s="547"/>
      <c r="M189" s="548"/>
      <c r="N189" s="548"/>
      <c r="O189" s="546"/>
      <c r="P189" s="547"/>
      <c r="Q189" s="548"/>
      <c r="R189" s="548"/>
      <c r="S189" s="546"/>
      <c r="T189" s="547"/>
      <c r="U189" s="548"/>
      <c r="V189" s="548"/>
      <c r="W189" s="548"/>
      <c r="X189" s="546"/>
      <c r="Y189" s="547"/>
      <c r="Z189" s="548"/>
      <c r="AA189" s="548"/>
      <c r="AB189" s="546"/>
      <c r="AC189" s="547"/>
      <c r="AD189" s="548"/>
      <c r="AE189" s="548"/>
      <c r="AF189" s="546"/>
      <c r="AG189" s="547"/>
      <c r="AH189" s="548"/>
      <c r="AI189" s="548"/>
      <c r="AJ189" s="546"/>
      <c r="AK189" s="547"/>
      <c r="AL189" s="548"/>
      <c r="AM189" s="548"/>
      <c r="AN189" s="548"/>
      <c r="AO189" s="546"/>
      <c r="AP189" s="547"/>
      <c r="AQ189" s="548"/>
      <c r="AR189" s="548"/>
      <c r="AS189" s="546"/>
      <c r="AT189" s="547"/>
      <c r="AU189" s="548"/>
      <c r="AV189" s="548"/>
      <c r="AW189" s="546"/>
      <c r="AX189" s="547"/>
      <c r="AY189" s="548"/>
      <c r="AZ189" s="548"/>
      <c r="BA189" s="548"/>
      <c r="BB189" s="546"/>
      <c r="BC189" s="547"/>
      <c r="BD189" s="548"/>
      <c r="BE189" s="548"/>
      <c r="BF189" s="546"/>
      <c r="BG189" s="547"/>
      <c r="BH189" s="548"/>
      <c r="BI189" s="548"/>
      <c r="BJ189" s="548"/>
      <c r="BK189" s="546"/>
      <c r="BL189" s="547"/>
      <c r="BM189" s="548"/>
      <c r="BN189" s="548"/>
      <c r="BO189" s="546"/>
      <c r="BP189" s="547"/>
      <c r="BQ189" s="548"/>
      <c r="BR189" s="548"/>
      <c r="BS189" s="546"/>
      <c r="BT189" s="547"/>
      <c r="BU189" s="548"/>
      <c r="BV189" s="548"/>
      <c r="BW189" s="548"/>
      <c r="BX189" s="546"/>
      <c r="BY189" s="547"/>
      <c r="BZ189" s="548"/>
      <c r="CA189" s="560"/>
      <c r="CB189" s="549"/>
    </row>
    <row r="190" spans="1:80" outlineLevel="1">
      <c r="A190" s="515">
        <v>180</v>
      </c>
      <c r="B190" s="556" t="s">
        <v>544</v>
      </c>
      <c r="C190" s="545"/>
      <c r="D190" s="557">
        <f t="shared" si="23"/>
        <v>15</v>
      </c>
      <c r="E190" s="545">
        <v>80</v>
      </c>
      <c r="F190" s="545" t="s">
        <v>532</v>
      </c>
      <c r="G190" s="589">
        <v>0.08</v>
      </c>
      <c r="H190" s="558"/>
      <c r="I190" s="558"/>
      <c r="J190" s="589">
        <f t="shared" si="22"/>
        <v>672</v>
      </c>
      <c r="K190" s="590" t="str">
        <f t="shared" si="9"/>
        <v/>
      </c>
      <c r="L190" s="547"/>
      <c r="M190" s="548"/>
      <c r="N190" s="548"/>
      <c r="O190" s="546"/>
      <c r="P190" s="547"/>
      <c r="Q190" s="548"/>
      <c r="R190" s="548"/>
      <c r="S190" s="546"/>
      <c r="T190" s="547"/>
      <c r="U190" s="548"/>
      <c r="V190" s="548"/>
      <c r="W190" s="548"/>
      <c r="X190" s="546"/>
      <c r="Y190" s="547"/>
      <c r="Z190" s="548"/>
      <c r="AA190" s="548"/>
      <c r="AB190" s="546"/>
      <c r="AC190" s="547"/>
      <c r="AD190" s="548"/>
      <c r="AE190" s="548"/>
      <c r="AF190" s="546"/>
      <c r="AG190" s="547"/>
      <c r="AH190" s="548"/>
      <c r="AI190" s="548"/>
      <c r="AJ190" s="546"/>
      <c r="AK190" s="547"/>
      <c r="AL190" s="548"/>
      <c r="AM190" s="548"/>
      <c r="AN190" s="548"/>
      <c r="AO190" s="546"/>
      <c r="AP190" s="547"/>
      <c r="AQ190" s="548"/>
      <c r="AR190" s="548"/>
      <c r="AS190" s="546"/>
      <c r="AT190" s="547"/>
      <c r="AU190" s="548"/>
      <c r="AV190" s="548"/>
      <c r="AW190" s="546"/>
      <c r="AX190" s="547"/>
      <c r="AY190" s="548"/>
      <c r="AZ190" s="548"/>
      <c r="BA190" s="548"/>
      <c r="BB190" s="546"/>
      <c r="BC190" s="547"/>
      <c r="BD190" s="548"/>
      <c r="BE190" s="548"/>
      <c r="BF190" s="546"/>
      <c r="BG190" s="547"/>
      <c r="BH190" s="548"/>
      <c r="BI190" s="548"/>
      <c r="BJ190" s="548"/>
      <c r="BK190" s="546"/>
      <c r="BL190" s="547"/>
      <c r="BM190" s="548"/>
      <c r="BN190" s="548"/>
      <c r="BO190" s="546"/>
      <c r="BP190" s="547"/>
      <c r="BQ190" s="548"/>
      <c r="BR190" s="548"/>
      <c r="BS190" s="546"/>
      <c r="BT190" s="547"/>
      <c r="BU190" s="548"/>
      <c r="BV190" s="548"/>
      <c r="BW190" s="548"/>
      <c r="BX190" s="546"/>
      <c r="BY190" s="547"/>
      <c r="BZ190" s="548"/>
      <c r="CA190" s="560"/>
      <c r="CB190" s="549"/>
    </row>
    <row r="191" spans="1:80" outlineLevel="1">
      <c r="A191" s="515">
        <v>181</v>
      </c>
      <c r="B191" s="556" t="s">
        <v>545</v>
      </c>
      <c r="C191" s="545"/>
      <c r="D191" s="557">
        <f t="shared" si="23"/>
        <v>15</v>
      </c>
      <c r="E191" s="545">
        <v>0</v>
      </c>
      <c r="F191" s="545" t="s">
        <v>532</v>
      </c>
      <c r="G191" s="589">
        <v>0.12</v>
      </c>
      <c r="H191" s="558"/>
      <c r="I191" s="558"/>
      <c r="J191" s="589">
        <f t="shared" si="22"/>
        <v>0</v>
      </c>
      <c r="K191" s="590" t="str">
        <f t="shared" si="9"/>
        <v>C</v>
      </c>
      <c r="L191" s="547"/>
      <c r="M191" s="548"/>
      <c r="N191" s="548"/>
      <c r="O191" s="546"/>
      <c r="P191" s="547"/>
      <c r="Q191" s="548"/>
      <c r="R191" s="548"/>
      <c r="S191" s="546"/>
      <c r="T191" s="547"/>
      <c r="U191" s="548"/>
      <c r="V191" s="548"/>
      <c r="W191" s="548"/>
      <c r="X191" s="546"/>
      <c r="Y191" s="547"/>
      <c r="Z191" s="548"/>
      <c r="AA191" s="548"/>
      <c r="AB191" s="546"/>
      <c r="AC191" s="547"/>
      <c r="AD191" s="548"/>
      <c r="AE191" s="548"/>
      <c r="AF191" s="546"/>
      <c r="AG191" s="547"/>
      <c r="AH191" s="548"/>
      <c r="AI191" s="548"/>
      <c r="AJ191" s="546"/>
      <c r="AK191" s="547"/>
      <c r="AL191" s="548"/>
      <c r="AM191" s="548"/>
      <c r="AN191" s="548"/>
      <c r="AO191" s="546"/>
      <c r="AP191" s="547"/>
      <c r="AQ191" s="548"/>
      <c r="AR191" s="548"/>
      <c r="AS191" s="546"/>
      <c r="AT191" s="547"/>
      <c r="AU191" s="548"/>
      <c r="AV191" s="548"/>
      <c r="AW191" s="546"/>
      <c r="AX191" s="547"/>
      <c r="AY191" s="548"/>
      <c r="AZ191" s="548"/>
      <c r="BA191" s="548"/>
      <c r="BB191" s="546"/>
      <c r="BC191" s="547"/>
      <c r="BD191" s="548"/>
      <c r="BE191" s="548"/>
      <c r="BF191" s="546"/>
      <c r="BG191" s="547"/>
      <c r="BH191" s="548"/>
      <c r="BI191" s="548"/>
      <c r="BJ191" s="548"/>
      <c r="BK191" s="546"/>
      <c r="BL191" s="547"/>
      <c r="BM191" s="548"/>
      <c r="BN191" s="548"/>
      <c r="BO191" s="546"/>
      <c r="BP191" s="547"/>
      <c r="BQ191" s="548"/>
      <c r="BR191" s="548"/>
      <c r="BS191" s="546"/>
      <c r="BT191" s="547"/>
      <c r="BU191" s="548"/>
      <c r="BV191" s="548"/>
      <c r="BW191" s="548"/>
      <c r="BX191" s="546"/>
      <c r="BY191" s="547"/>
      <c r="BZ191" s="548"/>
      <c r="CA191" s="560"/>
      <c r="CB191" s="549"/>
    </row>
    <row r="192" spans="1:80" outlineLevel="1">
      <c r="A192" s="515">
        <v>182</v>
      </c>
      <c r="B192" s="593"/>
      <c r="C192" s="545"/>
      <c r="D192" s="557"/>
      <c r="E192" s="545"/>
      <c r="F192" s="545"/>
      <c r="G192" s="589"/>
      <c r="H192" s="558"/>
      <c r="I192" s="558"/>
      <c r="J192" s="589" t="s">
        <v>624</v>
      </c>
      <c r="K192" s="590" t="str">
        <f t="shared" si="9"/>
        <v/>
      </c>
      <c r="L192" s="547"/>
      <c r="M192" s="548"/>
      <c r="N192" s="548"/>
      <c r="O192" s="546"/>
      <c r="P192" s="547"/>
      <c r="Q192" s="548"/>
      <c r="R192" s="548"/>
      <c r="S192" s="546"/>
      <c r="T192" s="547"/>
      <c r="U192" s="548"/>
      <c r="V192" s="548"/>
      <c r="W192" s="548"/>
      <c r="X192" s="546"/>
      <c r="Y192" s="547"/>
      <c r="Z192" s="548"/>
      <c r="AA192" s="548"/>
      <c r="AB192" s="546"/>
      <c r="AC192" s="547"/>
      <c r="AD192" s="548"/>
      <c r="AE192" s="548"/>
      <c r="AF192" s="546"/>
      <c r="AG192" s="547"/>
      <c r="AH192" s="548"/>
      <c r="AI192" s="548"/>
      <c r="AJ192" s="546"/>
      <c r="AK192" s="547"/>
      <c r="AL192" s="548"/>
      <c r="AM192" s="548"/>
      <c r="AN192" s="548"/>
      <c r="AO192" s="546"/>
      <c r="AP192" s="547"/>
      <c r="AQ192" s="548"/>
      <c r="AR192" s="548"/>
      <c r="AS192" s="546"/>
      <c r="AT192" s="547"/>
      <c r="AU192" s="548"/>
      <c r="AV192" s="548"/>
      <c r="AW192" s="546"/>
      <c r="AX192" s="547"/>
      <c r="AY192" s="548"/>
      <c r="AZ192" s="548"/>
      <c r="BA192" s="548"/>
      <c r="BB192" s="546"/>
      <c r="BC192" s="547"/>
      <c r="BD192" s="548"/>
      <c r="BE192" s="548"/>
      <c r="BF192" s="546"/>
      <c r="BG192" s="547"/>
      <c r="BH192" s="548"/>
      <c r="BI192" s="548"/>
      <c r="BJ192" s="548"/>
      <c r="BK192" s="546"/>
      <c r="BL192" s="547"/>
      <c r="BM192" s="548"/>
      <c r="BN192" s="548"/>
      <c r="BO192" s="546"/>
      <c r="BP192" s="547"/>
      <c r="BQ192" s="548"/>
      <c r="BR192" s="548"/>
      <c r="BS192" s="546"/>
      <c r="BT192" s="547"/>
      <c r="BU192" s="548"/>
      <c r="BV192" s="548"/>
      <c r="BW192" s="548"/>
      <c r="BX192" s="546"/>
      <c r="BY192" s="547"/>
      <c r="BZ192" s="548"/>
      <c r="CA192" s="560"/>
      <c r="CB192" s="549"/>
    </row>
    <row r="193" spans="1:80">
      <c r="A193" s="582">
        <v>183</v>
      </c>
      <c r="B193" s="583" t="s">
        <v>450</v>
      </c>
      <c r="C193" s="584"/>
      <c r="D193" s="584"/>
      <c r="E193" s="584"/>
      <c r="F193" s="584"/>
      <c r="G193" s="584"/>
      <c r="H193" s="585"/>
      <c r="I193" s="586" t="s">
        <v>594</v>
      </c>
      <c r="J193" s="587">
        <f>SUBTOTAL(9,J194:J202)</f>
        <v>0</v>
      </c>
      <c r="K193" s="588" t="str">
        <f t="shared" si="9"/>
        <v>C</v>
      </c>
      <c r="L193" s="547"/>
      <c r="M193" s="548"/>
      <c r="N193" s="548"/>
      <c r="O193" s="546"/>
      <c r="P193" s="547"/>
      <c r="Q193" s="548"/>
      <c r="R193" s="548"/>
      <c r="S193" s="546"/>
      <c r="T193" s="547"/>
      <c r="U193" s="548"/>
      <c r="V193" s="548"/>
      <c r="W193" s="548"/>
      <c r="X193" s="546"/>
      <c r="Y193" s="547"/>
      <c r="Z193" s="548"/>
      <c r="AA193" s="548"/>
      <c r="AB193" s="546"/>
      <c r="AC193" s="547"/>
      <c r="AD193" s="548"/>
      <c r="AE193" s="548"/>
      <c r="AF193" s="546"/>
      <c r="AG193" s="547"/>
      <c r="AH193" s="548"/>
      <c r="AI193" s="548"/>
      <c r="AJ193" s="546"/>
      <c r="AK193" s="547"/>
      <c r="AL193" s="548"/>
      <c r="AM193" s="548"/>
      <c r="AN193" s="548"/>
      <c r="AO193" s="546"/>
      <c r="AP193" s="547"/>
      <c r="AQ193" s="548"/>
      <c r="AR193" s="548"/>
      <c r="AS193" s="546"/>
      <c r="AT193" s="547"/>
      <c r="AU193" s="548"/>
      <c r="AV193" s="548"/>
      <c r="AW193" s="546"/>
      <c r="AX193" s="547"/>
      <c r="AY193" s="548"/>
      <c r="AZ193" s="548"/>
      <c r="BA193" s="548"/>
      <c r="BB193" s="546"/>
      <c r="BC193" s="547"/>
      <c r="BD193" s="548"/>
      <c r="BE193" s="548"/>
      <c r="BF193" s="546"/>
      <c r="BG193" s="547"/>
      <c r="BH193" s="548"/>
      <c r="BI193" s="548"/>
      <c r="BJ193" s="548"/>
      <c r="BK193" s="546"/>
      <c r="BL193" s="547"/>
      <c r="BM193" s="548"/>
      <c r="BN193" s="548"/>
      <c r="BO193" s="546"/>
      <c r="BP193" s="547"/>
      <c r="BQ193" s="548"/>
      <c r="BR193" s="548"/>
      <c r="BS193" s="546"/>
      <c r="BT193" s="547"/>
      <c r="BU193" s="548"/>
      <c r="BV193" s="548"/>
      <c r="BW193" s="548"/>
      <c r="BX193" s="546"/>
      <c r="BY193" s="547"/>
      <c r="BZ193" s="548"/>
      <c r="CA193" s="560"/>
      <c r="CB193" s="549"/>
    </row>
    <row r="194" spans="1:80" outlineLevel="1">
      <c r="A194" s="515">
        <v>184</v>
      </c>
      <c r="B194" s="593"/>
      <c r="C194" s="545"/>
      <c r="D194" s="557"/>
      <c r="E194" s="545"/>
      <c r="F194" s="545"/>
      <c r="G194" s="589"/>
      <c r="H194" s="558"/>
      <c r="I194" s="558"/>
      <c r="J194" s="589" t="s">
        <v>624</v>
      </c>
      <c r="K194" s="590" t="str">
        <f t="shared" si="9"/>
        <v/>
      </c>
      <c r="L194" s="547"/>
      <c r="M194" s="548"/>
      <c r="N194" s="548"/>
      <c r="O194" s="546"/>
      <c r="P194" s="547"/>
      <c r="Q194" s="548"/>
      <c r="R194" s="548"/>
      <c r="S194" s="546"/>
      <c r="T194" s="547"/>
      <c r="U194" s="548"/>
      <c r="V194" s="548"/>
      <c r="W194" s="548"/>
      <c r="X194" s="546"/>
      <c r="Y194" s="547"/>
      <c r="Z194" s="548"/>
      <c r="AA194" s="548"/>
      <c r="AB194" s="546"/>
      <c r="AC194" s="547"/>
      <c r="AD194" s="548"/>
      <c r="AE194" s="548"/>
      <c r="AF194" s="546"/>
      <c r="AG194" s="547"/>
      <c r="AH194" s="548"/>
      <c r="AI194" s="548"/>
      <c r="AJ194" s="546"/>
      <c r="AK194" s="547"/>
      <c r="AL194" s="548"/>
      <c r="AM194" s="548"/>
      <c r="AN194" s="548"/>
      <c r="AO194" s="546"/>
      <c r="AP194" s="547"/>
      <c r="AQ194" s="548"/>
      <c r="AR194" s="548"/>
      <c r="AS194" s="546"/>
      <c r="AT194" s="547"/>
      <c r="AU194" s="548"/>
      <c r="AV194" s="548"/>
      <c r="AW194" s="546"/>
      <c r="AX194" s="547"/>
      <c r="AY194" s="548"/>
      <c r="AZ194" s="548"/>
      <c r="BA194" s="548"/>
      <c r="BB194" s="546"/>
      <c r="BC194" s="547"/>
      <c r="BD194" s="548"/>
      <c r="BE194" s="548"/>
      <c r="BF194" s="546"/>
      <c r="BG194" s="547"/>
      <c r="BH194" s="548"/>
      <c r="BI194" s="548"/>
      <c r="BJ194" s="548"/>
      <c r="BK194" s="546"/>
      <c r="BL194" s="547"/>
      <c r="BM194" s="548"/>
      <c r="BN194" s="548"/>
      <c r="BO194" s="546"/>
      <c r="BP194" s="547"/>
      <c r="BQ194" s="548"/>
      <c r="BR194" s="548"/>
      <c r="BS194" s="546"/>
      <c r="BT194" s="547"/>
      <c r="BU194" s="548"/>
      <c r="BV194" s="548"/>
      <c r="BW194" s="548"/>
      <c r="BX194" s="546"/>
      <c r="BY194" s="547"/>
      <c r="BZ194" s="548"/>
      <c r="CA194" s="560"/>
      <c r="CB194" s="549"/>
    </row>
    <row r="195" spans="1:80" outlineLevel="1">
      <c r="A195" s="515">
        <v>185</v>
      </c>
      <c r="B195" s="556" t="s">
        <v>447</v>
      </c>
      <c r="C195" s="545"/>
      <c r="D195" s="557" t="str">
        <f>DureeHL($L195:$CB195)</f>
        <v/>
      </c>
      <c r="E195" s="545">
        <v>40</v>
      </c>
      <c r="F195" s="545" t="s">
        <v>532</v>
      </c>
      <c r="G195" s="589">
        <v>0.52500000000000002</v>
      </c>
      <c r="H195" s="558"/>
      <c r="I195" s="558"/>
      <c r="J195" s="589">
        <f t="shared" ref="J195:J201" si="24">IF(D195="Achat",1,IF(D195="",0,D195*7))*E195*G195</f>
        <v>0</v>
      </c>
      <c r="K195" s="590" t="str">
        <f t="shared" si="9"/>
        <v>C</v>
      </c>
      <c r="L195" s="547"/>
      <c r="M195" s="548"/>
      <c r="N195" s="548"/>
      <c r="O195" s="546"/>
      <c r="P195" s="547"/>
      <c r="Q195" s="548"/>
      <c r="R195" s="548"/>
      <c r="S195" s="546"/>
      <c r="T195" s="547"/>
      <c r="U195" s="548"/>
      <c r="V195" s="548"/>
      <c r="W195" s="548"/>
      <c r="X195" s="546"/>
      <c r="Y195" s="547"/>
      <c r="Z195" s="548"/>
      <c r="AA195" s="548"/>
      <c r="AB195" s="546"/>
      <c r="AC195" s="547"/>
      <c r="AD195" s="548"/>
      <c r="AE195" s="548"/>
      <c r="AF195" s="546"/>
      <c r="AG195" s="547"/>
      <c r="AH195" s="548"/>
      <c r="AI195" s="548"/>
      <c r="AJ195" s="546"/>
      <c r="AK195" s="547"/>
      <c r="AL195" s="548"/>
      <c r="AM195" s="548"/>
      <c r="AN195" s="548"/>
      <c r="AO195" s="546"/>
      <c r="AP195" s="547"/>
      <c r="AQ195" s="548"/>
      <c r="AR195" s="548"/>
      <c r="AS195" s="546"/>
      <c r="AT195" s="547"/>
      <c r="AU195" s="548"/>
      <c r="AV195" s="548"/>
      <c r="AW195" s="546"/>
      <c r="AX195" s="547"/>
      <c r="AY195" s="548"/>
      <c r="AZ195" s="548"/>
      <c r="BA195" s="548"/>
      <c r="BB195" s="546"/>
      <c r="BC195" s="547"/>
      <c r="BD195" s="548"/>
      <c r="BE195" s="548"/>
      <c r="BF195" s="546"/>
      <c r="BG195" s="547"/>
      <c r="BH195" s="548"/>
      <c r="BI195" s="548"/>
      <c r="BJ195" s="548"/>
      <c r="BK195" s="546"/>
      <c r="BL195" s="547"/>
      <c r="BM195" s="548"/>
      <c r="BN195" s="548"/>
      <c r="BO195" s="546"/>
      <c r="BP195" s="547"/>
      <c r="BQ195" s="548"/>
      <c r="BR195" s="548"/>
      <c r="BS195" s="546"/>
      <c r="BT195" s="547"/>
      <c r="BU195" s="548"/>
      <c r="BV195" s="548"/>
      <c r="BW195" s="548"/>
      <c r="BX195" s="546"/>
      <c r="BY195" s="547"/>
      <c r="BZ195" s="548"/>
      <c r="CA195" s="560"/>
      <c r="CB195" s="549"/>
    </row>
    <row r="196" spans="1:80" outlineLevel="1">
      <c r="A196" s="515">
        <v>186</v>
      </c>
      <c r="B196" s="556" t="s">
        <v>448</v>
      </c>
      <c r="C196" s="545"/>
      <c r="D196" s="557" t="str">
        <f>D195</f>
        <v/>
      </c>
      <c r="E196" s="545">
        <v>40</v>
      </c>
      <c r="F196" s="545" t="s">
        <v>532</v>
      </c>
      <c r="G196" s="589">
        <v>0.28000000000000003</v>
      </c>
      <c r="H196" s="558"/>
      <c r="I196" s="558"/>
      <c r="J196" s="589">
        <f t="shared" si="24"/>
        <v>0</v>
      </c>
      <c r="K196" s="590" t="str">
        <f t="shared" si="9"/>
        <v>C</v>
      </c>
      <c r="L196" s="547"/>
      <c r="M196" s="548"/>
      <c r="N196" s="548"/>
      <c r="O196" s="546"/>
      <c r="P196" s="547"/>
      <c r="Q196" s="548"/>
      <c r="R196" s="548"/>
      <c r="S196" s="546"/>
      <c r="T196" s="547"/>
      <c r="U196" s="548"/>
      <c r="V196" s="548"/>
      <c r="W196" s="548"/>
      <c r="X196" s="546"/>
      <c r="Y196" s="547"/>
      <c r="Z196" s="548"/>
      <c r="AA196" s="548"/>
      <c r="AB196" s="546"/>
      <c r="AC196" s="547"/>
      <c r="AD196" s="548"/>
      <c r="AE196" s="548"/>
      <c r="AF196" s="546"/>
      <c r="AG196" s="547"/>
      <c r="AH196" s="548"/>
      <c r="AI196" s="548"/>
      <c r="AJ196" s="546"/>
      <c r="AK196" s="547"/>
      <c r="AL196" s="548"/>
      <c r="AM196" s="548"/>
      <c r="AN196" s="548"/>
      <c r="AO196" s="546"/>
      <c r="AP196" s="547"/>
      <c r="AQ196" s="548"/>
      <c r="AR196" s="548"/>
      <c r="AS196" s="546"/>
      <c r="AT196" s="547"/>
      <c r="AU196" s="548"/>
      <c r="AV196" s="548"/>
      <c r="AW196" s="546"/>
      <c r="AX196" s="547"/>
      <c r="AY196" s="548"/>
      <c r="AZ196" s="548"/>
      <c r="BA196" s="548"/>
      <c r="BB196" s="546"/>
      <c r="BC196" s="547"/>
      <c r="BD196" s="548"/>
      <c r="BE196" s="548"/>
      <c r="BF196" s="546"/>
      <c r="BG196" s="547"/>
      <c r="BH196" s="548"/>
      <c r="BI196" s="548"/>
      <c r="BJ196" s="548"/>
      <c r="BK196" s="546"/>
      <c r="BL196" s="547"/>
      <c r="BM196" s="548"/>
      <c r="BN196" s="548"/>
      <c r="BO196" s="546"/>
      <c r="BP196" s="547"/>
      <c r="BQ196" s="548"/>
      <c r="BR196" s="548"/>
      <c r="BS196" s="546"/>
      <c r="BT196" s="547"/>
      <c r="BU196" s="548"/>
      <c r="BV196" s="548"/>
      <c r="BW196" s="548"/>
      <c r="BX196" s="546"/>
      <c r="BY196" s="547"/>
      <c r="BZ196" s="548"/>
      <c r="CA196" s="560"/>
      <c r="CB196" s="549"/>
    </row>
    <row r="197" spans="1:80" outlineLevel="1">
      <c r="A197" s="515">
        <v>187</v>
      </c>
      <c r="B197" s="556" t="s">
        <v>449</v>
      </c>
      <c r="C197" s="545"/>
      <c r="D197" s="557" t="str">
        <f>DureeHL($L197:$CB197)</f>
        <v/>
      </c>
      <c r="E197" s="545">
        <v>0</v>
      </c>
      <c r="F197" s="545" t="s">
        <v>532</v>
      </c>
      <c r="G197" s="589">
        <v>0.51</v>
      </c>
      <c r="H197" s="558"/>
      <c r="I197" s="558"/>
      <c r="J197" s="589">
        <f t="shared" si="24"/>
        <v>0</v>
      </c>
      <c r="K197" s="590" t="str">
        <f t="shared" si="9"/>
        <v>C</v>
      </c>
      <c r="L197" s="547"/>
      <c r="M197" s="548"/>
      <c r="N197" s="548"/>
      <c r="O197" s="546"/>
      <c r="P197" s="547"/>
      <c r="Q197" s="548"/>
      <c r="R197" s="548"/>
      <c r="S197" s="546"/>
      <c r="T197" s="547"/>
      <c r="U197" s="548"/>
      <c r="V197" s="548"/>
      <c r="W197" s="548"/>
      <c r="X197" s="546"/>
      <c r="Y197" s="547"/>
      <c r="Z197" s="548"/>
      <c r="AA197" s="548"/>
      <c r="AB197" s="546"/>
      <c r="AC197" s="547"/>
      <c r="AD197" s="548"/>
      <c r="AE197" s="548"/>
      <c r="AF197" s="546"/>
      <c r="AG197" s="547"/>
      <c r="AH197" s="548"/>
      <c r="AI197" s="548"/>
      <c r="AJ197" s="546"/>
      <c r="AK197" s="547"/>
      <c r="AL197" s="548"/>
      <c r="AM197" s="548"/>
      <c r="AN197" s="548"/>
      <c r="AO197" s="546"/>
      <c r="AP197" s="547"/>
      <c r="AQ197" s="548"/>
      <c r="AR197" s="548"/>
      <c r="AS197" s="546"/>
      <c r="AT197" s="547"/>
      <c r="AU197" s="548"/>
      <c r="AV197" s="548"/>
      <c r="AW197" s="546"/>
      <c r="AX197" s="547"/>
      <c r="AY197" s="548"/>
      <c r="AZ197" s="548"/>
      <c r="BA197" s="548"/>
      <c r="BB197" s="546"/>
      <c r="BC197" s="547"/>
      <c r="BD197" s="548"/>
      <c r="BE197" s="548"/>
      <c r="BF197" s="546"/>
      <c r="BG197" s="547"/>
      <c r="BH197" s="548"/>
      <c r="BI197" s="548"/>
      <c r="BJ197" s="548"/>
      <c r="BK197" s="546"/>
      <c r="BL197" s="547"/>
      <c r="BM197" s="548"/>
      <c r="BN197" s="548"/>
      <c r="BO197" s="546"/>
      <c r="BP197" s="547"/>
      <c r="BQ197" s="548"/>
      <c r="BR197" s="548"/>
      <c r="BS197" s="546"/>
      <c r="BT197" s="547"/>
      <c r="BU197" s="548"/>
      <c r="BV197" s="548"/>
      <c r="BW197" s="548"/>
      <c r="BX197" s="546"/>
      <c r="BY197" s="547"/>
      <c r="BZ197" s="548"/>
      <c r="CA197" s="560"/>
      <c r="CB197" s="549"/>
    </row>
    <row r="198" spans="1:80" outlineLevel="1">
      <c r="A198" s="515">
        <v>188</v>
      </c>
      <c r="B198" s="556" t="s">
        <v>449</v>
      </c>
      <c r="C198" s="545"/>
      <c r="D198" s="557" t="str">
        <f>D195</f>
        <v/>
      </c>
      <c r="E198" s="545">
        <v>20</v>
      </c>
      <c r="F198" s="545" t="s">
        <v>532</v>
      </c>
      <c r="G198" s="589">
        <v>0.51</v>
      </c>
      <c r="H198" s="558"/>
      <c r="I198" s="558"/>
      <c r="J198" s="589">
        <f t="shared" si="24"/>
        <v>0</v>
      </c>
      <c r="K198" s="590" t="str">
        <f t="shared" si="9"/>
        <v>C</v>
      </c>
      <c r="L198" s="547"/>
      <c r="M198" s="548"/>
      <c r="N198" s="548"/>
      <c r="O198" s="546"/>
      <c r="P198" s="547"/>
      <c r="Q198" s="548"/>
      <c r="R198" s="548"/>
      <c r="S198" s="546"/>
      <c r="T198" s="547"/>
      <c r="U198" s="548"/>
      <c r="V198" s="548"/>
      <c r="W198" s="548"/>
      <c r="X198" s="546"/>
      <c r="Y198" s="547"/>
      <c r="Z198" s="548"/>
      <c r="AA198" s="548"/>
      <c r="AB198" s="546"/>
      <c r="AC198" s="547"/>
      <c r="AD198" s="548"/>
      <c r="AE198" s="548"/>
      <c r="AF198" s="546"/>
      <c r="AG198" s="547"/>
      <c r="AH198" s="548"/>
      <c r="AI198" s="548"/>
      <c r="AJ198" s="546"/>
      <c r="AK198" s="547"/>
      <c r="AL198" s="548"/>
      <c r="AM198" s="548"/>
      <c r="AN198" s="548"/>
      <c r="AO198" s="546"/>
      <c r="AP198" s="547"/>
      <c r="AQ198" s="548"/>
      <c r="AR198" s="548"/>
      <c r="AS198" s="546"/>
      <c r="AT198" s="547"/>
      <c r="AU198" s="548"/>
      <c r="AV198" s="548"/>
      <c r="AW198" s="546"/>
      <c r="AX198" s="547"/>
      <c r="AY198" s="548"/>
      <c r="AZ198" s="548"/>
      <c r="BA198" s="548"/>
      <c r="BB198" s="546"/>
      <c r="BC198" s="547"/>
      <c r="BD198" s="548"/>
      <c r="BE198" s="548"/>
      <c r="BF198" s="546"/>
      <c r="BG198" s="547"/>
      <c r="BH198" s="548"/>
      <c r="BI198" s="548"/>
      <c r="BJ198" s="548"/>
      <c r="BK198" s="546"/>
      <c r="BL198" s="547"/>
      <c r="BM198" s="548"/>
      <c r="BN198" s="548"/>
      <c r="BO198" s="546"/>
      <c r="BP198" s="547"/>
      <c r="BQ198" s="548"/>
      <c r="BR198" s="548"/>
      <c r="BS198" s="546"/>
      <c r="BT198" s="547"/>
      <c r="BU198" s="548"/>
      <c r="BV198" s="548"/>
      <c r="BW198" s="548"/>
      <c r="BX198" s="546"/>
      <c r="BY198" s="547"/>
      <c r="BZ198" s="548"/>
      <c r="CA198" s="560"/>
      <c r="CB198" s="549"/>
    </row>
    <row r="199" spans="1:80" outlineLevel="1">
      <c r="A199" s="515">
        <v>189</v>
      </c>
      <c r="B199" s="556" t="s">
        <v>334</v>
      </c>
      <c r="C199" s="545"/>
      <c r="D199" s="557" t="str">
        <f>D196</f>
        <v/>
      </c>
      <c r="E199" s="545">
        <v>4</v>
      </c>
      <c r="F199" s="545" t="s">
        <v>532</v>
      </c>
      <c r="G199" s="589">
        <v>0.09</v>
      </c>
      <c r="H199" s="558"/>
      <c r="I199" s="558"/>
      <c r="J199" s="589">
        <f t="shared" si="24"/>
        <v>0</v>
      </c>
      <c r="K199" s="590" t="str">
        <f t="shared" si="9"/>
        <v>C</v>
      </c>
      <c r="L199" s="547"/>
      <c r="M199" s="548"/>
      <c r="N199" s="548"/>
      <c r="O199" s="546"/>
      <c r="P199" s="547"/>
      <c r="Q199" s="548"/>
      <c r="R199" s="548"/>
      <c r="S199" s="546"/>
      <c r="T199" s="547"/>
      <c r="U199" s="548"/>
      <c r="V199" s="548"/>
      <c r="W199" s="548"/>
      <c r="X199" s="546"/>
      <c r="Y199" s="547"/>
      <c r="Z199" s="548"/>
      <c r="AA199" s="548"/>
      <c r="AB199" s="546"/>
      <c r="AC199" s="547"/>
      <c r="AD199" s="548"/>
      <c r="AE199" s="548"/>
      <c r="AF199" s="546"/>
      <c r="AG199" s="547"/>
      <c r="AH199" s="548"/>
      <c r="AI199" s="548"/>
      <c r="AJ199" s="546"/>
      <c r="AK199" s="547"/>
      <c r="AL199" s="548"/>
      <c r="AM199" s="548"/>
      <c r="AN199" s="548"/>
      <c r="AO199" s="546"/>
      <c r="AP199" s="547"/>
      <c r="AQ199" s="548"/>
      <c r="AR199" s="548"/>
      <c r="AS199" s="546"/>
      <c r="AT199" s="547"/>
      <c r="AU199" s="548"/>
      <c r="AV199" s="548"/>
      <c r="AW199" s="546"/>
      <c r="AX199" s="547"/>
      <c r="AY199" s="548"/>
      <c r="AZ199" s="548"/>
      <c r="BA199" s="548"/>
      <c r="BB199" s="546"/>
      <c r="BC199" s="547"/>
      <c r="BD199" s="548"/>
      <c r="BE199" s="548"/>
      <c r="BF199" s="546"/>
      <c r="BG199" s="547"/>
      <c r="BH199" s="548"/>
      <c r="BI199" s="548"/>
      <c r="BJ199" s="548"/>
      <c r="BK199" s="546"/>
      <c r="BL199" s="547"/>
      <c r="BM199" s="548"/>
      <c r="BN199" s="548"/>
      <c r="BO199" s="546"/>
      <c r="BP199" s="547"/>
      <c r="BQ199" s="548"/>
      <c r="BR199" s="548"/>
      <c r="BS199" s="546"/>
      <c r="BT199" s="547"/>
      <c r="BU199" s="548"/>
      <c r="BV199" s="548"/>
      <c r="BW199" s="548"/>
      <c r="BX199" s="546"/>
      <c r="BY199" s="547"/>
      <c r="BZ199" s="548"/>
      <c r="CA199" s="560"/>
      <c r="CB199" s="549"/>
    </row>
    <row r="200" spans="1:80" outlineLevel="1">
      <c r="A200" s="515">
        <v>190</v>
      </c>
      <c r="B200" s="556" t="s">
        <v>544</v>
      </c>
      <c r="C200" s="545"/>
      <c r="D200" s="557" t="str">
        <f>D196</f>
        <v/>
      </c>
      <c r="E200" s="545">
        <v>30</v>
      </c>
      <c r="F200" s="545" t="s">
        <v>532</v>
      </c>
      <c r="G200" s="589">
        <v>0.08</v>
      </c>
      <c r="H200" s="558"/>
      <c r="I200" s="558"/>
      <c r="J200" s="589">
        <f t="shared" si="24"/>
        <v>0</v>
      </c>
      <c r="K200" s="590" t="str">
        <f t="shared" si="9"/>
        <v>C</v>
      </c>
      <c r="L200" s="547"/>
      <c r="M200" s="548"/>
      <c r="N200" s="548"/>
      <c r="O200" s="546"/>
      <c r="P200" s="547"/>
      <c r="Q200" s="548"/>
      <c r="R200" s="548"/>
      <c r="S200" s="546"/>
      <c r="T200" s="547"/>
      <c r="U200" s="548"/>
      <c r="V200" s="548"/>
      <c r="W200" s="548"/>
      <c r="X200" s="546"/>
      <c r="Y200" s="547"/>
      <c r="Z200" s="548"/>
      <c r="AA200" s="548"/>
      <c r="AB200" s="546"/>
      <c r="AC200" s="547"/>
      <c r="AD200" s="548"/>
      <c r="AE200" s="548"/>
      <c r="AF200" s="546"/>
      <c r="AG200" s="547"/>
      <c r="AH200" s="548"/>
      <c r="AI200" s="548"/>
      <c r="AJ200" s="546"/>
      <c r="AK200" s="547"/>
      <c r="AL200" s="548"/>
      <c r="AM200" s="548"/>
      <c r="AN200" s="548"/>
      <c r="AO200" s="546"/>
      <c r="AP200" s="547"/>
      <c r="AQ200" s="548"/>
      <c r="AR200" s="548"/>
      <c r="AS200" s="546"/>
      <c r="AT200" s="547"/>
      <c r="AU200" s="548"/>
      <c r="AV200" s="548"/>
      <c r="AW200" s="546"/>
      <c r="AX200" s="547"/>
      <c r="AY200" s="548"/>
      <c r="AZ200" s="548"/>
      <c r="BA200" s="548"/>
      <c r="BB200" s="546"/>
      <c r="BC200" s="547"/>
      <c r="BD200" s="548"/>
      <c r="BE200" s="548"/>
      <c r="BF200" s="546"/>
      <c r="BG200" s="547"/>
      <c r="BH200" s="548"/>
      <c r="BI200" s="548"/>
      <c r="BJ200" s="548"/>
      <c r="BK200" s="546"/>
      <c r="BL200" s="547"/>
      <c r="BM200" s="548"/>
      <c r="BN200" s="548"/>
      <c r="BO200" s="546"/>
      <c r="BP200" s="547"/>
      <c r="BQ200" s="548"/>
      <c r="BR200" s="548"/>
      <c r="BS200" s="546"/>
      <c r="BT200" s="547"/>
      <c r="BU200" s="548"/>
      <c r="BV200" s="548"/>
      <c r="BW200" s="548"/>
      <c r="BX200" s="546"/>
      <c r="BY200" s="547"/>
      <c r="BZ200" s="548"/>
      <c r="CA200" s="560"/>
      <c r="CB200" s="549"/>
    </row>
    <row r="201" spans="1:80" outlineLevel="1">
      <c r="A201" s="515">
        <v>191</v>
      </c>
      <c r="B201" s="556" t="s">
        <v>545</v>
      </c>
      <c r="C201" s="545"/>
      <c r="D201" s="557" t="str">
        <f>D196</f>
        <v/>
      </c>
      <c r="E201" s="545">
        <v>70</v>
      </c>
      <c r="F201" s="545" t="s">
        <v>532</v>
      </c>
      <c r="G201" s="589">
        <v>0.12</v>
      </c>
      <c r="H201" s="558"/>
      <c r="I201" s="558"/>
      <c r="J201" s="589">
        <f t="shared" si="24"/>
        <v>0</v>
      </c>
      <c r="K201" s="590" t="str">
        <f t="shared" si="9"/>
        <v>C</v>
      </c>
      <c r="L201" s="547"/>
      <c r="M201" s="548"/>
      <c r="N201" s="548"/>
      <c r="O201" s="546"/>
      <c r="P201" s="547"/>
      <c r="Q201" s="548"/>
      <c r="R201" s="548"/>
      <c r="S201" s="546"/>
      <c r="T201" s="547"/>
      <c r="U201" s="548"/>
      <c r="V201" s="548"/>
      <c r="W201" s="548"/>
      <c r="X201" s="546"/>
      <c r="Y201" s="547"/>
      <c r="Z201" s="548"/>
      <c r="AA201" s="548"/>
      <c r="AB201" s="546"/>
      <c r="AC201" s="547"/>
      <c r="AD201" s="548"/>
      <c r="AE201" s="548"/>
      <c r="AF201" s="546"/>
      <c r="AG201" s="547"/>
      <c r="AH201" s="548"/>
      <c r="AI201" s="548"/>
      <c r="AJ201" s="546"/>
      <c r="AK201" s="547"/>
      <c r="AL201" s="548"/>
      <c r="AM201" s="548"/>
      <c r="AN201" s="548"/>
      <c r="AO201" s="546"/>
      <c r="AP201" s="547"/>
      <c r="AQ201" s="548"/>
      <c r="AR201" s="548"/>
      <c r="AS201" s="546"/>
      <c r="AT201" s="547"/>
      <c r="AU201" s="548"/>
      <c r="AV201" s="548"/>
      <c r="AW201" s="546"/>
      <c r="AX201" s="547"/>
      <c r="AY201" s="548"/>
      <c r="AZ201" s="548"/>
      <c r="BA201" s="548"/>
      <c r="BB201" s="546"/>
      <c r="BC201" s="547"/>
      <c r="BD201" s="548"/>
      <c r="BE201" s="548"/>
      <c r="BF201" s="546"/>
      <c r="BG201" s="547"/>
      <c r="BH201" s="548"/>
      <c r="BI201" s="548"/>
      <c r="BJ201" s="548"/>
      <c r="BK201" s="546"/>
      <c r="BL201" s="547"/>
      <c r="BM201" s="548"/>
      <c r="BN201" s="548"/>
      <c r="BO201" s="546"/>
      <c r="BP201" s="547"/>
      <c r="BQ201" s="548"/>
      <c r="BR201" s="548"/>
      <c r="BS201" s="546"/>
      <c r="BT201" s="547"/>
      <c r="BU201" s="548"/>
      <c r="BV201" s="548"/>
      <c r="BW201" s="548"/>
      <c r="BX201" s="546"/>
      <c r="BY201" s="547"/>
      <c r="BZ201" s="548"/>
      <c r="CA201" s="560"/>
      <c r="CB201" s="549"/>
    </row>
    <row r="202" spans="1:80" outlineLevel="1">
      <c r="A202" s="515">
        <v>192</v>
      </c>
      <c r="B202" s="593"/>
      <c r="C202" s="545"/>
      <c r="D202" s="557"/>
      <c r="E202" s="545"/>
      <c r="F202" s="545"/>
      <c r="G202" s="589"/>
      <c r="H202" s="558"/>
      <c r="I202" s="558"/>
      <c r="J202" s="589" t="s">
        <v>624</v>
      </c>
      <c r="K202" s="590" t="str">
        <f t="shared" si="9"/>
        <v/>
      </c>
      <c r="L202" s="547"/>
      <c r="M202" s="548"/>
      <c r="N202" s="548"/>
      <c r="O202" s="546"/>
      <c r="P202" s="547"/>
      <c r="Q202" s="548"/>
      <c r="R202" s="548"/>
      <c r="S202" s="546"/>
      <c r="T202" s="547"/>
      <c r="U202" s="548"/>
      <c r="V202" s="548"/>
      <c r="W202" s="548"/>
      <c r="X202" s="546"/>
      <c r="Y202" s="547"/>
      <c r="Z202" s="548"/>
      <c r="AA202" s="548"/>
      <c r="AB202" s="546"/>
      <c r="AC202" s="547"/>
      <c r="AD202" s="548"/>
      <c r="AE202" s="548"/>
      <c r="AF202" s="546"/>
      <c r="AG202" s="547"/>
      <c r="AH202" s="548"/>
      <c r="AI202" s="548"/>
      <c r="AJ202" s="546"/>
      <c r="AK202" s="547"/>
      <c r="AL202" s="548"/>
      <c r="AM202" s="548"/>
      <c r="AN202" s="548"/>
      <c r="AO202" s="546"/>
      <c r="AP202" s="547"/>
      <c r="AQ202" s="548"/>
      <c r="AR202" s="548"/>
      <c r="AS202" s="546"/>
      <c r="AT202" s="547"/>
      <c r="AU202" s="548"/>
      <c r="AV202" s="548"/>
      <c r="AW202" s="546"/>
      <c r="AX202" s="547"/>
      <c r="AY202" s="548"/>
      <c r="AZ202" s="548"/>
      <c r="BA202" s="548"/>
      <c r="BB202" s="546"/>
      <c r="BC202" s="547"/>
      <c r="BD202" s="548"/>
      <c r="BE202" s="548"/>
      <c r="BF202" s="546"/>
      <c r="BG202" s="547"/>
      <c r="BH202" s="548"/>
      <c r="BI202" s="548"/>
      <c r="BJ202" s="548"/>
      <c r="BK202" s="546"/>
      <c r="BL202" s="547"/>
      <c r="BM202" s="548"/>
      <c r="BN202" s="548"/>
      <c r="BO202" s="546"/>
      <c r="BP202" s="547"/>
      <c r="BQ202" s="548"/>
      <c r="BR202" s="548"/>
      <c r="BS202" s="546"/>
      <c r="BT202" s="547"/>
      <c r="BU202" s="548"/>
      <c r="BV202" s="548"/>
      <c r="BW202" s="548"/>
      <c r="BX202" s="546"/>
      <c r="BY202" s="547"/>
      <c r="BZ202" s="548"/>
      <c r="CA202" s="560"/>
      <c r="CB202" s="549"/>
    </row>
    <row r="203" spans="1:80">
      <c r="A203" s="569">
        <v>193</v>
      </c>
      <c r="B203" s="570" t="s">
        <v>628</v>
      </c>
      <c r="C203" s="571"/>
      <c r="D203" s="572"/>
      <c r="E203" s="572"/>
      <c r="F203" s="572"/>
      <c r="G203" s="572"/>
      <c r="H203" s="573"/>
      <c r="I203" s="574" t="s">
        <v>594</v>
      </c>
      <c r="J203" s="575">
        <f>SUBTOTAL(9,J205:J226)</f>
        <v>0</v>
      </c>
      <c r="K203" s="576" t="str">
        <f>IF(J203=0,"C","")</f>
        <v>C</v>
      </c>
      <c r="L203" s="547"/>
      <c r="M203" s="548"/>
      <c r="N203" s="548"/>
      <c r="O203" s="546"/>
      <c r="P203" s="547"/>
      <c r="Q203" s="548"/>
      <c r="R203" s="548"/>
      <c r="S203" s="546"/>
      <c r="T203" s="547"/>
      <c r="U203" s="548"/>
      <c r="V203" s="548"/>
      <c r="W203" s="548"/>
      <c r="X203" s="546"/>
      <c r="Y203" s="547"/>
      <c r="Z203" s="548"/>
      <c r="AA203" s="548"/>
      <c r="AB203" s="546"/>
      <c r="AC203" s="547"/>
      <c r="AD203" s="548"/>
      <c r="AE203" s="548"/>
      <c r="AF203" s="546"/>
      <c r="AG203" s="547"/>
      <c r="AH203" s="548"/>
      <c r="AI203" s="548"/>
      <c r="AJ203" s="546"/>
      <c r="AK203" s="547"/>
      <c r="AL203" s="548"/>
      <c r="AM203" s="548"/>
      <c r="AN203" s="548"/>
      <c r="AO203" s="546"/>
      <c r="AP203" s="547"/>
      <c r="AQ203" s="548"/>
      <c r="AR203" s="548"/>
      <c r="AS203" s="546"/>
      <c r="AT203" s="547"/>
      <c r="AU203" s="548"/>
      <c r="AV203" s="548"/>
      <c r="AW203" s="546"/>
      <c r="AX203" s="547"/>
      <c r="AY203" s="548"/>
      <c r="AZ203" s="548"/>
      <c r="BA203" s="548"/>
      <c r="BB203" s="546"/>
      <c r="BC203" s="547"/>
      <c r="BD203" s="548"/>
      <c r="BE203" s="548"/>
      <c r="BF203" s="546"/>
      <c r="BG203" s="547"/>
      <c r="BH203" s="548"/>
      <c r="BI203" s="548"/>
      <c r="BJ203" s="548"/>
      <c r="BK203" s="546"/>
      <c r="BL203" s="547"/>
      <c r="BM203" s="548"/>
      <c r="BN203" s="548"/>
      <c r="BO203" s="546"/>
      <c r="BP203" s="547"/>
      <c r="BQ203" s="548"/>
      <c r="BR203" s="548"/>
      <c r="BS203" s="546"/>
      <c r="BT203" s="547"/>
      <c r="BU203" s="548"/>
      <c r="BV203" s="548"/>
      <c r="BW203" s="548"/>
      <c r="BX203" s="546"/>
      <c r="BY203" s="547"/>
      <c r="BZ203" s="548"/>
      <c r="CA203" s="560"/>
      <c r="CB203" s="549"/>
    </row>
    <row r="204" spans="1:80">
      <c r="A204" s="569">
        <v>194</v>
      </c>
      <c r="B204" s="577"/>
      <c r="C204" s="578"/>
      <c r="D204" s="578" t="s">
        <v>618</v>
      </c>
      <c r="E204" s="578" t="s">
        <v>523</v>
      </c>
      <c r="F204" s="578" t="s">
        <v>524</v>
      </c>
      <c r="G204" s="578" t="s">
        <v>596</v>
      </c>
      <c r="H204" s="579"/>
      <c r="I204" s="580"/>
      <c r="J204" s="580" t="s">
        <v>597</v>
      </c>
      <c r="K204" s="581" t="str">
        <f>IF(J203=0,"C","")</f>
        <v>C</v>
      </c>
      <c r="L204" s="547"/>
      <c r="M204" s="548"/>
      <c r="N204" s="548"/>
      <c r="O204" s="546"/>
      <c r="P204" s="547"/>
      <c r="Q204" s="548"/>
      <c r="R204" s="548"/>
      <c r="S204" s="546"/>
      <c r="T204" s="547"/>
      <c r="U204" s="548"/>
      <c r="V204" s="548"/>
      <c r="W204" s="548"/>
      <c r="X204" s="546"/>
      <c r="Y204" s="547"/>
      <c r="Z204" s="548"/>
      <c r="AA204" s="548"/>
      <c r="AB204" s="546"/>
      <c r="AC204" s="547"/>
      <c r="AD204" s="548"/>
      <c r="AE204" s="548"/>
      <c r="AF204" s="546"/>
      <c r="AG204" s="547"/>
      <c r="AH204" s="548"/>
      <c r="AI204" s="548"/>
      <c r="AJ204" s="546"/>
      <c r="AK204" s="547"/>
      <c r="AL204" s="548"/>
      <c r="AM204" s="548"/>
      <c r="AN204" s="548"/>
      <c r="AO204" s="546"/>
      <c r="AP204" s="547"/>
      <c r="AQ204" s="548"/>
      <c r="AR204" s="548"/>
      <c r="AS204" s="546"/>
      <c r="AT204" s="547"/>
      <c r="AU204" s="548"/>
      <c r="AV204" s="548"/>
      <c r="AW204" s="546"/>
      <c r="AX204" s="547"/>
      <c r="AY204" s="548"/>
      <c r="AZ204" s="548"/>
      <c r="BA204" s="548"/>
      <c r="BB204" s="546"/>
      <c r="BC204" s="547"/>
      <c r="BD204" s="548"/>
      <c r="BE204" s="548"/>
      <c r="BF204" s="546"/>
      <c r="BG204" s="547"/>
      <c r="BH204" s="548"/>
      <c r="BI204" s="548"/>
      <c r="BJ204" s="548"/>
      <c r="BK204" s="546"/>
      <c r="BL204" s="547"/>
      <c r="BM204" s="548"/>
      <c r="BN204" s="548"/>
      <c r="BO204" s="546"/>
      <c r="BP204" s="547"/>
      <c r="BQ204" s="548"/>
      <c r="BR204" s="548"/>
      <c r="BS204" s="546"/>
      <c r="BT204" s="547"/>
      <c r="BU204" s="548"/>
      <c r="BV204" s="548"/>
      <c r="BW204" s="548"/>
      <c r="BX204" s="546"/>
      <c r="BY204" s="547"/>
      <c r="BZ204" s="548"/>
      <c r="CA204" s="560"/>
      <c r="CB204" s="549"/>
    </row>
    <row r="205" spans="1:80">
      <c r="A205" s="582">
        <v>195</v>
      </c>
      <c r="B205" s="583" t="s">
        <v>631</v>
      </c>
      <c r="C205" s="584"/>
      <c r="D205" s="584"/>
      <c r="E205" s="584"/>
      <c r="F205" s="584"/>
      <c r="G205" s="584"/>
      <c r="H205" s="585"/>
      <c r="I205" s="586" t="s">
        <v>594</v>
      </c>
      <c r="J205" s="587">
        <f>SUBTOTAL(9,J206:J214)</f>
        <v>0</v>
      </c>
      <c r="K205" s="588" t="str">
        <f t="shared" si="9"/>
        <v>C</v>
      </c>
      <c r="L205" s="547"/>
      <c r="M205" s="548"/>
      <c r="N205" s="548"/>
      <c r="O205" s="546"/>
      <c r="P205" s="547"/>
      <c r="Q205" s="548"/>
      <c r="R205" s="548"/>
      <c r="S205" s="546"/>
      <c r="T205" s="547"/>
      <c r="U205" s="548"/>
      <c r="V205" s="548"/>
      <c r="W205" s="548"/>
      <c r="X205" s="546"/>
      <c r="Y205" s="547"/>
      <c r="Z205" s="548"/>
      <c r="AA205" s="548"/>
      <c r="AB205" s="546"/>
      <c r="AC205" s="547"/>
      <c r="AD205" s="548"/>
      <c r="AE205" s="548"/>
      <c r="AF205" s="546"/>
      <c r="AG205" s="547"/>
      <c r="AH205" s="548"/>
      <c r="AI205" s="548"/>
      <c r="AJ205" s="546"/>
      <c r="AK205" s="547"/>
      <c r="AL205" s="548"/>
      <c r="AM205" s="548"/>
      <c r="AN205" s="548"/>
      <c r="AO205" s="546"/>
      <c r="AP205" s="547"/>
      <c r="AQ205" s="548"/>
      <c r="AR205" s="548"/>
      <c r="AS205" s="546"/>
      <c r="AT205" s="547"/>
      <c r="AU205" s="548"/>
      <c r="AV205" s="548"/>
      <c r="AW205" s="546"/>
      <c r="AX205" s="547"/>
      <c r="AY205" s="548"/>
      <c r="AZ205" s="548"/>
      <c r="BA205" s="548"/>
      <c r="BB205" s="546"/>
      <c r="BC205" s="547"/>
      <c r="BD205" s="548"/>
      <c r="BE205" s="548"/>
      <c r="BF205" s="546"/>
      <c r="BG205" s="547"/>
      <c r="BH205" s="548"/>
      <c r="BI205" s="548"/>
      <c r="BJ205" s="548"/>
      <c r="BK205" s="546"/>
      <c r="BL205" s="547"/>
      <c r="BM205" s="548"/>
      <c r="BN205" s="548"/>
      <c r="BO205" s="546"/>
      <c r="BP205" s="547"/>
      <c r="BQ205" s="548"/>
      <c r="BR205" s="548"/>
      <c r="BS205" s="546"/>
      <c r="BT205" s="547"/>
      <c r="BU205" s="548"/>
      <c r="BV205" s="548"/>
      <c r="BW205" s="548"/>
      <c r="BX205" s="546"/>
      <c r="BY205" s="547"/>
      <c r="BZ205" s="548"/>
      <c r="CA205" s="560"/>
      <c r="CB205" s="549"/>
    </row>
    <row r="206" spans="1:80" outlineLevel="1">
      <c r="A206" s="515">
        <v>196</v>
      </c>
      <c r="B206" s="556"/>
      <c r="C206" s="545"/>
      <c r="D206" s="557"/>
      <c r="E206" s="545"/>
      <c r="F206" s="545"/>
      <c r="G206" s="589"/>
      <c r="H206" s="558"/>
      <c r="I206" s="558"/>
      <c r="J206" s="589" t="s">
        <v>624</v>
      </c>
      <c r="K206" s="590" t="str">
        <f t="shared" si="9"/>
        <v/>
      </c>
      <c r="L206" s="547"/>
      <c r="M206" s="548"/>
      <c r="N206" s="548"/>
      <c r="O206" s="546"/>
      <c r="P206" s="547"/>
      <c r="Q206" s="548"/>
      <c r="R206" s="548"/>
      <c r="S206" s="546"/>
      <c r="T206" s="547"/>
      <c r="U206" s="548"/>
      <c r="V206" s="548"/>
      <c r="W206" s="548"/>
      <c r="X206" s="546"/>
      <c r="Y206" s="547"/>
      <c r="Z206" s="548"/>
      <c r="AA206" s="548"/>
      <c r="AB206" s="546"/>
      <c r="AC206" s="547"/>
      <c r="AD206" s="548"/>
      <c r="AE206" s="548"/>
      <c r="AF206" s="546"/>
      <c r="AG206" s="547"/>
      <c r="AH206" s="548"/>
      <c r="AI206" s="548"/>
      <c r="AJ206" s="546"/>
      <c r="AK206" s="547"/>
      <c r="AL206" s="548"/>
      <c r="AM206" s="548"/>
      <c r="AN206" s="548"/>
      <c r="AO206" s="546"/>
      <c r="AP206" s="547"/>
      <c r="AQ206" s="548"/>
      <c r="AR206" s="548"/>
      <c r="AS206" s="546"/>
      <c r="AT206" s="547"/>
      <c r="AU206" s="548"/>
      <c r="AV206" s="548"/>
      <c r="AW206" s="546"/>
      <c r="AX206" s="547"/>
      <c r="AY206" s="548"/>
      <c r="AZ206" s="548"/>
      <c r="BA206" s="548"/>
      <c r="BB206" s="546"/>
      <c r="BC206" s="547"/>
      <c r="BD206" s="548"/>
      <c r="BE206" s="548"/>
      <c r="BF206" s="546"/>
      <c r="BG206" s="547"/>
      <c r="BH206" s="548"/>
      <c r="BI206" s="548"/>
      <c r="BJ206" s="548"/>
      <c r="BK206" s="546"/>
      <c r="BL206" s="547"/>
      <c r="BM206" s="548"/>
      <c r="BN206" s="548"/>
      <c r="BO206" s="546"/>
      <c r="BP206" s="547"/>
      <c r="BQ206" s="548"/>
      <c r="BR206" s="548"/>
      <c r="BS206" s="546"/>
      <c r="BT206" s="547"/>
      <c r="BU206" s="548"/>
      <c r="BV206" s="548"/>
      <c r="BW206" s="548"/>
      <c r="BX206" s="546"/>
      <c r="BY206" s="547"/>
      <c r="BZ206" s="548"/>
      <c r="CA206" s="560"/>
      <c r="CB206" s="549"/>
    </row>
    <row r="207" spans="1:80" outlineLevel="1">
      <c r="A207" s="515">
        <v>197</v>
      </c>
      <c r="B207" s="556" t="s">
        <v>543</v>
      </c>
      <c r="C207" s="545"/>
      <c r="D207" s="557" t="str">
        <f t="shared" ref="D207:D213" si="25">DureeHL($L207:$CB207)</f>
        <v/>
      </c>
      <c r="E207" s="545">
        <v>1</v>
      </c>
      <c r="F207" s="545" t="s">
        <v>532</v>
      </c>
      <c r="G207" s="589">
        <v>2.2000000000000002</v>
      </c>
      <c r="H207" s="558"/>
      <c r="I207" s="558"/>
      <c r="J207" s="589">
        <f t="shared" ref="J207:J213" si="26">IF(D207="Achat",1,IF(D207="",0,D207*7))*E207*G207</f>
        <v>0</v>
      </c>
      <c r="K207" s="590" t="str">
        <f t="shared" si="9"/>
        <v>C</v>
      </c>
      <c r="L207" s="547"/>
      <c r="M207" s="548"/>
      <c r="N207" s="548"/>
      <c r="O207" s="546"/>
      <c r="P207" s="547"/>
      <c r="Q207" s="548"/>
      <c r="R207" s="548"/>
      <c r="S207" s="546"/>
      <c r="T207" s="547"/>
      <c r="U207" s="548"/>
      <c r="V207" s="548"/>
      <c r="W207" s="548"/>
      <c r="X207" s="546"/>
      <c r="Y207" s="547"/>
      <c r="Z207" s="548"/>
      <c r="AA207" s="548"/>
      <c r="AB207" s="546"/>
      <c r="AC207" s="547"/>
      <c r="AD207" s="548"/>
      <c r="AE207" s="548"/>
      <c r="AF207" s="546"/>
      <c r="AG207" s="547"/>
      <c r="AH207" s="548"/>
      <c r="AI207" s="548"/>
      <c r="AJ207" s="546"/>
      <c r="AK207" s="547"/>
      <c r="AL207" s="548"/>
      <c r="AM207" s="548"/>
      <c r="AN207" s="548"/>
      <c r="AO207" s="546"/>
      <c r="AP207" s="547"/>
      <c r="AQ207" s="548"/>
      <c r="AR207" s="548"/>
      <c r="AS207" s="546"/>
      <c r="AT207" s="547"/>
      <c r="AU207" s="548"/>
      <c r="AV207" s="548"/>
      <c r="AW207" s="546"/>
      <c r="AX207" s="547"/>
      <c r="AY207" s="548"/>
      <c r="AZ207" s="548"/>
      <c r="BA207" s="548"/>
      <c r="BB207" s="546"/>
      <c r="BC207" s="547"/>
      <c r="BD207" s="548"/>
      <c r="BE207" s="548"/>
      <c r="BF207" s="546"/>
      <c r="BG207" s="547"/>
      <c r="BH207" s="548"/>
      <c r="BI207" s="548"/>
      <c r="BJ207" s="548"/>
      <c r="BK207" s="546"/>
      <c r="BL207" s="547"/>
      <c r="BM207" s="548"/>
      <c r="BN207" s="548"/>
      <c r="BO207" s="546"/>
      <c r="BP207" s="547"/>
      <c r="BQ207" s="548"/>
      <c r="BR207" s="548"/>
      <c r="BS207" s="546"/>
      <c r="BT207" s="547"/>
      <c r="BU207" s="548"/>
      <c r="BV207" s="548"/>
      <c r="BW207" s="548"/>
      <c r="BX207" s="546"/>
      <c r="BY207" s="547"/>
      <c r="BZ207" s="548"/>
      <c r="CA207" s="560"/>
      <c r="CB207" s="549"/>
    </row>
    <row r="208" spans="1:80" outlineLevel="1">
      <c r="A208" s="515">
        <v>198</v>
      </c>
      <c r="B208" s="556" t="s">
        <v>552</v>
      </c>
      <c r="C208" s="545"/>
      <c r="D208" s="557" t="str">
        <f t="shared" si="25"/>
        <v/>
      </c>
      <c r="E208" s="545">
        <v>120</v>
      </c>
      <c r="F208" s="545" t="s">
        <v>532</v>
      </c>
      <c r="G208" s="589">
        <v>0.05</v>
      </c>
      <c r="H208" s="558"/>
      <c r="I208" s="558"/>
      <c r="J208" s="589">
        <f t="shared" si="26"/>
        <v>0</v>
      </c>
      <c r="K208" s="590" t="str">
        <f t="shared" si="9"/>
        <v>C</v>
      </c>
      <c r="L208" s="547"/>
      <c r="M208" s="548"/>
      <c r="N208" s="548"/>
      <c r="O208" s="546"/>
      <c r="P208" s="547"/>
      <c r="Q208" s="548"/>
      <c r="R208" s="548"/>
      <c r="S208" s="546"/>
      <c r="T208" s="547"/>
      <c r="U208" s="548"/>
      <c r="V208" s="548"/>
      <c r="W208" s="548"/>
      <c r="X208" s="546"/>
      <c r="Y208" s="547"/>
      <c r="Z208" s="548"/>
      <c r="AA208" s="548"/>
      <c r="AB208" s="546"/>
      <c r="AC208" s="547"/>
      <c r="AD208" s="548"/>
      <c r="AE208" s="548"/>
      <c r="AF208" s="546"/>
      <c r="AG208" s="547"/>
      <c r="AH208" s="548"/>
      <c r="AI208" s="548"/>
      <c r="AJ208" s="546"/>
      <c r="AK208" s="547"/>
      <c r="AL208" s="548"/>
      <c r="AM208" s="548"/>
      <c r="AN208" s="548"/>
      <c r="AO208" s="546"/>
      <c r="AP208" s="547"/>
      <c r="AQ208" s="548"/>
      <c r="AR208" s="548"/>
      <c r="AS208" s="546"/>
      <c r="AT208" s="547"/>
      <c r="AU208" s="548"/>
      <c r="AV208" s="548"/>
      <c r="AW208" s="546"/>
      <c r="AX208" s="547"/>
      <c r="AY208" s="548"/>
      <c r="AZ208" s="548"/>
      <c r="BA208" s="548"/>
      <c r="BB208" s="546"/>
      <c r="BC208" s="547"/>
      <c r="BD208" s="548"/>
      <c r="BE208" s="548"/>
      <c r="BF208" s="546"/>
      <c r="BG208" s="547"/>
      <c r="BH208" s="548"/>
      <c r="BI208" s="548"/>
      <c r="BJ208" s="548"/>
      <c r="BK208" s="546"/>
      <c r="BL208" s="547"/>
      <c r="BM208" s="548"/>
      <c r="BN208" s="548"/>
      <c r="BO208" s="546"/>
      <c r="BP208" s="547"/>
      <c r="BQ208" s="548"/>
      <c r="BR208" s="548"/>
      <c r="BS208" s="546"/>
      <c r="BT208" s="547"/>
      <c r="BU208" s="548"/>
      <c r="BV208" s="548"/>
      <c r="BW208" s="548"/>
      <c r="BX208" s="546"/>
      <c r="BY208" s="547"/>
      <c r="BZ208" s="548"/>
      <c r="CA208" s="560"/>
      <c r="CB208" s="549"/>
    </row>
    <row r="209" spans="1:80" outlineLevel="1">
      <c r="A209" s="515">
        <v>199</v>
      </c>
      <c r="B209" s="556" t="s">
        <v>1</v>
      </c>
      <c r="C209" s="545"/>
      <c r="D209" s="557" t="str">
        <f t="shared" si="25"/>
        <v/>
      </c>
      <c r="E209" s="545">
        <v>0</v>
      </c>
      <c r="F209" s="545" t="s">
        <v>532</v>
      </c>
      <c r="G209" s="589">
        <v>0.05</v>
      </c>
      <c r="H209" s="558"/>
      <c r="I209" s="558"/>
      <c r="J209" s="589">
        <f t="shared" si="26"/>
        <v>0</v>
      </c>
      <c r="K209" s="590" t="str">
        <f t="shared" si="9"/>
        <v>C</v>
      </c>
      <c r="L209" s="547"/>
      <c r="M209" s="548"/>
      <c r="N209" s="548"/>
      <c r="O209" s="546"/>
      <c r="P209" s="547"/>
      <c r="Q209" s="548"/>
      <c r="R209" s="548"/>
      <c r="S209" s="546"/>
      <c r="T209" s="547"/>
      <c r="U209" s="548"/>
      <c r="V209" s="548"/>
      <c r="W209" s="548"/>
      <c r="X209" s="546"/>
      <c r="Y209" s="547"/>
      <c r="Z209" s="548"/>
      <c r="AA209" s="548"/>
      <c r="AB209" s="546"/>
      <c r="AC209" s="547"/>
      <c r="AD209" s="548"/>
      <c r="AE209" s="548"/>
      <c r="AF209" s="546"/>
      <c r="AG209" s="547"/>
      <c r="AH209" s="548"/>
      <c r="AI209" s="548"/>
      <c r="AJ209" s="546"/>
      <c r="AK209" s="547"/>
      <c r="AL209" s="548"/>
      <c r="AM209" s="548"/>
      <c r="AN209" s="548"/>
      <c r="AO209" s="546"/>
      <c r="AP209" s="547"/>
      <c r="AQ209" s="548"/>
      <c r="AR209" s="548"/>
      <c r="AS209" s="546"/>
      <c r="AT209" s="547"/>
      <c r="AU209" s="548"/>
      <c r="AV209" s="548"/>
      <c r="AW209" s="546"/>
      <c r="AX209" s="547"/>
      <c r="AY209" s="548"/>
      <c r="AZ209" s="548"/>
      <c r="BA209" s="548"/>
      <c r="BB209" s="546"/>
      <c r="BC209" s="547"/>
      <c r="BD209" s="548"/>
      <c r="BE209" s="548"/>
      <c r="BF209" s="546"/>
      <c r="BG209" s="547"/>
      <c r="BH209" s="548"/>
      <c r="BI209" s="548"/>
      <c r="BJ209" s="548"/>
      <c r="BK209" s="546"/>
      <c r="BL209" s="547"/>
      <c r="BM209" s="548"/>
      <c r="BN209" s="548"/>
      <c r="BO209" s="546"/>
      <c r="BP209" s="547"/>
      <c r="BQ209" s="548"/>
      <c r="BR209" s="548"/>
      <c r="BS209" s="546"/>
      <c r="BT209" s="547"/>
      <c r="BU209" s="548"/>
      <c r="BV209" s="548"/>
      <c r="BW209" s="548"/>
      <c r="BX209" s="546"/>
      <c r="BY209" s="547"/>
      <c r="BZ209" s="548"/>
      <c r="CA209" s="560"/>
      <c r="CB209" s="549"/>
    </row>
    <row r="210" spans="1:80" outlineLevel="1">
      <c r="A210" s="515">
        <v>200</v>
      </c>
      <c r="B210" s="556" t="s">
        <v>2</v>
      </c>
      <c r="C210" s="545"/>
      <c r="D210" s="557" t="str">
        <f t="shared" si="25"/>
        <v/>
      </c>
      <c r="E210" s="545">
        <v>0</v>
      </c>
      <c r="F210" s="545" t="s">
        <v>532</v>
      </c>
      <c r="G210" s="589">
        <v>0.12</v>
      </c>
      <c r="H210" s="558"/>
      <c r="I210" s="558"/>
      <c r="J210" s="589">
        <f t="shared" si="26"/>
        <v>0</v>
      </c>
      <c r="K210" s="590" t="str">
        <f t="shared" si="9"/>
        <v>C</v>
      </c>
      <c r="L210" s="547"/>
      <c r="M210" s="548"/>
      <c r="N210" s="548"/>
      <c r="O210" s="546"/>
      <c r="P210" s="547"/>
      <c r="Q210" s="548"/>
      <c r="R210" s="548"/>
      <c r="S210" s="546"/>
      <c r="T210" s="547"/>
      <c r="U210" s="548"/>
      <c r="V210" s="548"/>
      <c r="W210" s="548"/>
      <c r="X210" s="546"/>
      <c r="Y210" s="547"/>
      <c r="Z210" s="548"/>
      <c r="AA210" s="548"/>
      <c r="AB210" s="546"/>
      <c r="AC210" s="547"/>
      <c r="AD210" s="548"/>
      <c r="AE210" s="548"/>
      <c r="AF210" s="546"/>
      <c r="AG210" s="547"/>
      <c r="AH210" s="548"/>
      <c r="AI210" s="548"/>
      <c r="AJ210" s="546"/>
      <c r="AK210" s="547"/>
      <c r="AL210" s="548"/>
      <c r="AM210" s="548"/>
      <c r="AN210" s="548"/>
      <c r="AO210" s="546"/>
      <c r="AP210" s="547"/>
      <c r="AQ210" s="548"/>
      <c r="AR210" s="548"/>
      <c r="AS210" s="546"/>
      <c r="AT210" s="547"/>
      <c r="AU210" s="548"/>
      <c r="AV210" s="548"/>
      <c r="AW210" s="546"/>
      <c r="AX210" s="547"/>
      <c r="AY210" s="548"/>
      <c r="AZ210" s="548"/>
      <c r="BA210" s="548"/>
      <c r="BB210" s="546"/>
      <c r="BC210" s="547"/>
      <c r="BD210" s="548"/>
      <c r="BE210" s="548"/>
      <c r="BF210" s="546"/>
      <c r="BG210" s="547"/>
      <c r="BH210" s="548"/>
      <c r="BI210" s="548"/>
      <c r="BJ210" s="548"/>
      <c r="BK210" s="546"/>
      <c r="BL210" s="547"/>
      <c r="BM210" s="548"/>
      <c r="BN210" s="548"/>
      <c r="BO210" s="546"/>
      <c r="BP210" s="547"/>
      <c r="BQ210" s="548"/>
      <c r="BR210" s="548"/>
      <c r="BS210" s="546"/>
      <c r="BT210" s="547"/>
      <c r="BU210" s="548"/>
      <c r="BV210" s="548"/>
      <c r="BW210" s="548"/>
      <c r="BX210" s="546"/>
      <c r="BY210" s="547"/>
      <c r="BZ210" s="548"/>
      <c r="CA210" s="560"/>
      <c r="CB210" s="549"/>
    </row>
    <row r="211" spans="1:80" outlineLevel="1">
      <c r="A211" s="515">
        <v>201</v>
      </c>
      <c r="B211" s="556" t="s">
        <v>3</v>
      </c>
      <c r="C211" s="545"/>
      <c r="D211" s="557" t="str">
        <f t="shared" si="25"/>
        <v/>
      </c>
      <c r="E211" s="545">
        <v>0</v>
      </c>
      <c r="F211" s="545" t="s">
        <v>532</v>
      </c>
      <c r="G211" s="589">
        <v>0.18</v>
      </c>
      <c r="H211" s="558"/>
      <c r="I211" s="558"/>
      <c r="J211" s="589">
        <f t="shared" si="26"/>
        <v>0</v>
      </c>
      <c r="K211" s="590" t="str">
        <f t="shared" si="9"/>
        <v>C</v>
      </c>
      <c r="L211" s="547"/>
      <c r="M211" s="548"/>
      <c r="N211" s="548"/>
      <c r="O211" s="546"/>
      <c r="P211" s="547"/>
      <c r="Q211" s="548"/>
      <c r="R211" s="548"/>
      <c r="S211" s="546"/>
      <c r="T211" s="547"/>
      <c r="U211" s="548"/>
      <c r="V211" s="548"/>
      <c r="W211" s="548"/>
      <c r="X211" s="546"/>
      <c r="Y211" s="547"/>
      <c r="Z211" s="548"/>
      <c r="AA211" s="548"/>
      <c r="AB211" s="546"/>
      <c r="AC211" s="547"/>
      <c r="AD211" s="548"/>
      <c r="AE211" s="548"/>
      <c r="AF211" s="546"/>
      <c r="AG211" s="547"/>
      <c r="AH211" s="548"/>
      <c r="AI211" s="548"/>
      <c r="AJ211" s="546"/>
      <c r="AK211" s="547"/>
      <c r="AL211" s="548"/>
      <c r="AM211" s="548"/>
      <c r="AN211" s="548"/>
      <c r="AO211" s="546"/>
      <c r="AP211" s="547"/>
      <c r="AQ211" s="548"/>
      <c r="AR211" s="548"/>
      <c r="AS211" s="546"/>
      <c r="AT211" s="547"/>
      <c r="AU211" s="548"/>
      <c r="AV211" s="548"/>
      <c r="AW211" s="546"/>
      <c r="AX211" s="547"/>
      <c r="AY211" s="548"/>
      <c r="AZ211" s="548"/>
      <c r="BA211" s="548"/>
      <c r="BB211" s="546"/>
      <c r="BC211" s="547"/>
      <c r="BD211" s="548"/>
      <c r="BE211" s="548"/>
      <c r="BF211" s="546"/>
      <c r="BG211" s="547"/>
      <c r="BH211" s="548"/>
      <c r="BI211" s="548"/>
      <c r="BJ211" s="548"/>
      <c r="BK211" s="546"/>
      <c r="BL211" s="547"/>
      <c r="BM211" s="548"/>
      <c r="BN211" s="548"/>
      <c r="BO211" s="546"/>
      <c r="BP211" s="547"/>
      <c r="BQ211" s="548"/>
      <c r="BR211" s="548"/>
      <c r="BS211" s="546"/>
      <c r="BT211" s="547"/>
      <c r="BU211" s="548"/>
      <c r="BV211" s="548"/>
      <c r="BW211" s="548"/>
      <c r="BX211" s="546"/>
      <c r="BY211" s="547"/>
      <c r="BZ211" s="548"/>
      <c r="CA211" s="560"/>
      <c r="CB211" s="549"/>
    </row>
    <row r="212" spans="1:80" outlineLevel="1">
      <c r="A212" s="515">
        <v>202</v>
      </c>
      <c r="B212" s="556" t="s">
        <v>5</v>
      </c>
      <c r="C212" s="545"/>
      <c r="D212" s="557" t="str">
        <f t="shared" si="25"/>
        <v/>
      </c>
      <c r="E212" s="545">
        <v>0</v>
      </c>
      <c r="F212" s="545" t="s">
        <v>532</v>
      </c>
      <c r="G212" s="589">
        <v>0.05</v>
      </c>
      <c r="H212" s="558"/>
      <c r="I212" s="558"/>
      <c r="J212" s="589">
        <f t="shared" si="26"/>
        <v>0</v>
      </c>
      <c r="K212" s="590" t="str">
        <f t="shared" si="9"/>
        <v>C</v>
      </c>
      <c r="L212" s="547"/>
      <c r="M212" s="548"/>
      <c r="N212" s="548"/>
      <c r="O212" s="546"/>
      <c r="P212" s="547"/>
      <c r="Q212" s="548"/>
      <c r="R212" s="548"/>
      <c r="S212" s="546"/>
      <c r="T212" s="547"/>
      <c r="U212" s="548"/>
      <c r="V212" s="548"/>
      <c r="W212" s="548"/>
      <c r="X212" s="546"/>
      <c r="Y212" s="547"/>
      <c r="Z212" s="548"/>
      <c r="AA212" s="548"/>
      <c r="AB212" s="546"/>
      <c r="AC212" s="547"/>
      <c r="AD212" s="548"/>
      <c r="AE212" s="548"/>
      <c r="AF212" s="546"/>
      <c r="AG212" s="547"/>
      <c r="AH212" s="548"/>
      <c r="AI212" s="548"/>
      <c r="AJ212" s="546"/>
      <c r="AK212" s="547"/>
      <c r="AL212" s="548"/>
      <c r="AM212" s="548"/>
      <c r="AN212" s="548"/>
      <c r="AO212" s="546"/>
      <c r="AP212" s="547"/>
      <c r="AQ212" s="548"/>
      <c r="AR212" s="548"/>
      <c r="AS212" s="546"/>
      <c r="AT212" s="547"/>
      <c r="AU212" s="548"/>
      <c r="AV212" s="548"/>
      <c r="AW212" s="546"/>
      <c r="AX212" s="547"/>
      <c r="AY212" s="548"/>
      <c r="AZ212" s="548"/>
      <c r="BA212" s="548"/>
      <c r="BB212" s="546"/>
      <c r="BC212" s="547"/>
      <c r="BD212" s="548"/>
      <c r="BE212" s="548"/>
      <c r="BF212" s="546"/>
      <c r="BG212" s="547"/>
      <c r="BH212" s="548"/>
      <c r="BI212" s="548"/>
      <c r="BJ212" s="548"/>
      <c r="BK212" s="546"/>
      <c r="BL212" s="547"/>
      <c r="BM212" s="548"/>
      <c r="BN212" s="548"/>
      <c r="BO212" s="546"/>
      <c r="BP212" s="547"/>
      <c r="BQ212" s="548"/>
      <c r="BR212" s="548"/>
      <c r="BS212" s="546"/>
      <c r="BT212" s="547"/>
      <c r="BU212" s="548"/>
      <c r="BV212" s="548"/>
      <c r="BW212" s="548"/>
      <c r="BX212" s="546"/>
      <c r="BY212" s="547"/>
      <c r="BZ212" s="548"/>
      <c r="CA212" s="560"/>
      <c r="CB212" s="549"/>
    </row>
    <row r="213" spans="1:80" outlineLevel="1">
      <c r="A213" s="515">
        <v>203</v>
      </c>
      <c r="B213" s="556" t="s">
        <v>4</v>
      </c>
      <c r="C213" s="545"/>
      <c r="D213" s="557" t="str">
        <f t="shared" si="25"/>
        <v/>
      </c>
      <c r="E213" s="545">
        <v>240</v>
      </c>
      <c r="F213" s="545" t="s">
        <v>532</v>
      </c>
      <c r="G213" s="589">
        <v>0.03</v>
      </c>
      <c r="H213" s="558"/>
      <c r="I213" s="558"/>
      <c r="J213" s="589">
        <f t="shared" si="26"/>
        <v>0</v>
      </c>
      <c r="K213" s="590" t="str">
        <f t="shared" si="9"/>
        <v>C</v>
      </c>
      <c r="L213" s="547"/>
      <c r="M213" s="548"/>
      <c r="N213" s="548"/>
      <c r="O213" s="546"/>
      <c r="P213" s="547"/>
      <c r="Q213" s="548"/>
      <c r="R213" s="548"/>
      <c r="S213" s="546"/>
      <c r="T213" s="547"/>
      <c r="U213" s="548"/>
      <c r="V213" s="548"/>
      <c r="W213" s="548"/>
      <c r="X213" s="546"/>
      <c r="Y213" s="547"/>
      <c r="Z213" s="548"/>
      <c r="AA213" s="548"/>
      <c r="AB213" s="546"/>
      <c r="AC213" s="547"/>
      <c r="AD213" s="548"/>
      <c r="AE213" s="548"/>
      <c r="AF213" s="546"/>
      <c r="AG213" s="547"/>
      <c r="AH213" s="548"/>
      <c r="AI213" s="548"/>
      <c r="AJ213" s="546"/>
      <c r="AK213" s="547"/>
      <c r="AL213" s="548"/>
      <c r="AM213" s="548"/>
      <c r="AN213" s="548"/>
      <c r="AO213" s="546"/>
      <c r="AP213" s="547"/>
      <c r="AQ213" s="548"/>
      <c r="AR213" s="548"/>
      <c r="AS213" s="546"/>
      <c r="AT213" s="547"/>
      <c r="AU213" s="548"/>
      <c r="AV213" s="548"/>
      <c r="AW213" s="546"/>
      <c r="AX213" s="547"/>
      <c r="AY213" s="548"/>
      <c r="AZ213" s="548"/>
      <c r="BA213" s="548"/>
      <c r="BB213" s="546"/>
      <c r="BC213" s="547"/>
      <c r="BD213" s="548"/>
      <c r="BE213" s="548"/>
      <c r="BF213" s="546"/>
      <c r="BG213" s="547"/>
      <c r="BH213" s="548"/>
      <c r="BI213" s="548"/>
      <c r="BJ213" s="548"/>
      <c r="BK213" s="546"/>
      <c r="BL213" s="547"/>
      <c r="BM213" s="548"/>
      <c r="BN213" s="548"/>
      <c r="BO213" s="546"/>
      <c r="BP213" s="547"/>
      <c r="BQ213" s="548"/>
      <c r="BR213" s="548"/>
      <c r="BS213" s="546"/>
      <c r="BT213" s="547"/>
      <c r="BU213" s="548"/>
      <c r="BV213" s="548"/>
      <c r="BW213" s="548"/>
      <c r="BX213" s="546"/>
      <c r="BY213" s="547"/>
      <c r="BZ213" s="548"/>
      <c r="CA213" s="560"/>
      <c r="CB213" s="549"/>
    </row>
    <row r="214" spans="1:80" outlineLevel="1">
      <c r="A214" s="515">
        <v>204</v>
      </c>
      <c r="B214" s="597"/>
      <c r="C214" s="545"/>
      <c r="D214" s="598"/>
      <c r="E214" s="545"/>
      <c r="F214" s="545"/>
      <c r="G214" s="589"/>
      <c r="H214" s="558"/>
      <c r="I214" s="558"/>
      <c r="J214" s="589" t="s">
        <v>624</v>
      </c>
      <c r="K214" s="590" t="str">
        <f t="shared" si="9"/>
        <v/>
      </c>
      <c r="L214" s="547"/>
      <c r="M214" s="548"/>
      <c r="N214" s="548"/>
      <c r="O214" s="546"/>
      <c r="P214" s="547"/>
      <c r="Q214" s="548"/>
      <c r="R214" s="548"/>
      <c r="S214" s="546"/>
      <c r="T214" s="547"/>
      <c r="U214" s="548"/>
      <c r="V214" s="548"/>
      <c r="W214" s="548"/>
      <c r="X214" s="546"/>
      <c r="Y214" s="547"/>
      <c r="Z214" s="548"/>
      <c r="AA214" s="548"/>
      <c r="AB214" s="546"/>
      <c r="AC214" s="547"/>
      <c r="AD214" s="548"/>
      <c r="AE214" s="548"/>
      <c r="AF214" s="546"/>
      <c r="AG214" s="547"/>
      <c r="AH214" s="548"/>
      <c r="AI214" s="548"/>
      <c r="AJ214" s="546"/>
      <c r="AK214" s="547"/>
      <c r="AL214" s="548"/>
      <c r="AM214" s="548"/>
      <c r="AN214" s="548"/>
      <c r="AO214" s="546"/>
      <c r="AP214" s="547"/>
      <c r="AQ214" s="548"/>
      <c r="AR214" s="548"/>
      <c r="AS214" s="546"/>
      <c r="AT214" s="547"/>
      <c r="AU214" s="548"/>
      <c r="AV214" s="548"/>
      <c r="AW214" s="546"/>
      <c r="AX214" s="547"/>
      <c r="AY214" s="548"/>
      <c r="AZ214" s="548"/>
      <c r="BA214" s="548"/>
      <c r="BB214" s="546"/>
      <c r="BC214" s="547"/>
      <c r="BD214" s="548"/>
      <c r="BE214" s="548"/>
      <c r="BF214" s="546"/>
      <c r="BG214" s="547"/>
      <c r="BH214" s="548"/>
      <c r="BI214" s="548"/>
      <c r="BJ214" s="548"/>
      <c r="BK214" s="546"/>
      <c r="BL214" s="547"/>
      <c r="BM214" s="548"/>
      <c r="BN214" s="548"/>
      <c r="BO214" s="546"/>
      <c r="BP214" s="547"/>
      <c r="BQ214" s="548"/>
      <c r="BR214" s="548"/>
      <c r="BS214" s="546"/>
      <c r="BT214" s="547"/>
      <c r="BU214" s="548"/>
      <c r="BV214" s="548"/>
      <c r="BW214" s="548"/>
      <c r="BX214" s="546"/>
      <c r="BY214" s="547"/>
      <c r="BZ214" s="548"/>
      <c r="CA214" s="560"/>
      <c r="CB214" s="549"/>
    </row>
    <row r="215" spans="1:80">
      <c r="A215" s="582">
        <v>205</v>
      </c>
      <c r="B215" s="583" t="s">
        <v>632</v>
      </c>
      <c r="C215" s="584"/>
      <c r="D215" s="584"/>
      <c r="E215" s="584"/>
      <c r="F215" s="584"/>
      <c r="G215" s="584"/>
      <c r="H215" s="585"/>
      <c r="I215" s="586" t="s">
        <v>594</v>
      </c>
      <c r="J215" s="587">
        <f>SUBTOTAL(9,J216:J226)</f>
        <v>0</v>
      </c>
      <c r="K215" s="588" t="str">
        <f t="shared" si="9"/>
        <v>C</v>
      </c>
      <c r="L215" s="547"/>
      <c r="M215" s="548"/>
      <c r="N215" s="548"/>
      <c r="O215" s="546"/>
      <c r="P215" s="547"/>
      <c r="Q215" s="548"/>
      <c r="R215" s="548"/>
      <c r="S215" s="546"/>
      <c r="T215" s="547"/>
      <c r="U215" s="548"/>
      <c r="V215" s="548"/>
      <c r="W215" s="548"/>
      <c r="X215" s="546"/>
      <c r="Y215" s="547"/>
      <c r="Z215" s="548"/>
      <c r="AA215" s="548"/>
      <c r="AB215" s="546"/>
      <c r="AC215" s="547"/>
      <c r="AD215" s="548"/>
      <c r="AE215" s="548"/>
      <c r="AF215" s="546"/>
      <c r="AG215" s="547"/>
      <c r="AH215" s="548"/>
      <c r="AI215" s="548"/>
      <c r="AJ215" s="546"/>
      <c r="AK215" s="547"/>
      <c r="AL215" s="548"/>
      <c r="AM215" s="548"/>
      <c r="AN215" s="548"/>
      <c r="AO215" s="546"/>
      <c r="AP215" s="547"/>
      <c r="AQ215" s="548"/>
      <c r="AR215" s="548"/>
      <c r="AS215" s="546"/>
      <c r="AT215" s="547"/>
      <c r="AU215" s="548"/>
      <c r="AV215" s="548"/>
      <c r="AW215" s="546"/>
      <c r="AX215" s="547"/>
      <c r="AY215" s="548"/>
      <c r="AZ215" s="548"/>
      <c r="BA215" s="548"/>
      <c r="BB215" s="546"/>
      <c r="BC215" s="547"/>
      <c r="BD215" s="548"/>
      <c r="BE215" s="548"/>
      <c r="BF215" s="546"/>
      <c r="BG215" s="547"/>
      <c r="BH215" s="548"/>
      <c r="BI215" s="548"/>
      <c r="BJ215" s="548"/>
      <c r="BK215" s="546"/>
      <c r="BL215" s="547"/>
      <c r="BM215" s="548"/>
      <c r="BN215" s="548"/>
      <c r="BO215" s="546"/>
      <c r="BP215" s="547"/>
      <c r="BQ215" s="548"/>
      <c r="BR215" s="548"/>
      <c r="BS215" s="546"/>
      <c r="BT215" s="547"/>
      <c r="BU215" s="548"/>
      <c r="BV215" s="548"/>
      <c r="BW215" s="548"/>
      <c r="BX215" s="546"/>
      <c r="BY215" s="547"/>
      <c r="BZ215" s="548"/>
      <c r="CA215" s="560"/>
      <c r="CB215" s="549"/>
    </row>
    <row r="216" spans="1:80" outlineLevel="1">
      <c r="A216" s="515">
        <v>206</v>
      </c>
      <c r="B216" s="593"/>
      <c r="C216" s="545"/>
      <c r="D216" s="557"/>
      <c r="E216" s="545"/>
      <c r="F216" s="545"/>
      <c r="G216" s="589"/>
      <c r="H216" s="558"/>
      <c r="I216" s="558"/>
      <c r="J216" s="589" t="s">
        <v>624</v>
      </c>
      <c r="K216" s="590" t="str">
        <f t="shared" si="9"/>
        <v/>
      </c>
      <c r="L216" s="547"/>
      <c r="M216" s="548"/>
      <c r="N216" s="548"/>
      <c r="O216" s="546"/>
      <c r="P216" s="547"/>
      <c r="Q216" s="548"/>
      <c r="R216" s="548"/>
      <c r="S216" s="546"/>
      <c r="T216" s="547"/>
      <c r="U216" s="548"/>
      <c r="V216" s="548"/>
      <c r="W216" s="548"/>
      <c r="X216" s="546"/>
      <c r="Y216" s="547"/>
      <c r="Z216" s="548"/>
      <c r="AA216" s="548"/>
      <c r="AB216" s="546"/>
      <c r="AC216" s="547"/>
      <c r="AD216" s="548"/>
      <c r="AE216" s="548"/>
      <c r="AF216" s="546"/>
      <c r="AG216" s="547"/>
      <c r="AH216" s="548"/>
      <c r="AI216" s="548"/>
      <c r="AJ216" s="546"/>
      <c r="AK216" s="547"/>
      <c r="AL216" s="548"/>
      <c r="AM216" s="548"/>
      <c r="AN216" s="548"/>
      <c r="AO216" s="546"/>
      <c r="AP216" s="547"/>
      <c r="AQ216" s="548"/>
      <c r="AR216" s="548"/>
      <c r="AS216" s="546"/>
      <c r="AT216" s="547"/>
      <c r="AU216" s="548"/>
      <c r="AV216" s="548"/>
      <c r="AW216" s="546"/>
      <c r="AX216" s="547"/>
      <c r="AY216" s="548"/>
      <c r="AZ216" s="548"/>
      <c r="BA216" s="548"/>
      <c r="BB216" s="546"/>
      <c r="BC216" s="547"/>
      <c r="BD216" s="548"/>
      <c r="BE216" s="548"/>
      <c r="BF216" s="546"/>
      <c r="BG216" s="547"/>
      <c r="BH216" s="548"/>
      <c r="BI216" s="548"/>
      <c r="BJ216" s="548"/>
      <c r="BK216" s="546"/>
      <c r="BL216" s="547"/>
      <c r="BM216" s="548"/>
      <c r="BN216" s="548"/>
      <c r="BO216" s="546"/>
      <c r="BP216" s="547"/>
      <c r="BQ216" s="548"/>
      <c r="BR216" s="548"/>
      <c r="BS216" s="546"/>
      <c r="BT216" s="547"/>
      <c r="BU216" s="548"/>
      <c r="BV216" s="548"/>
      <c r="BW216" s="548"/>
      <c r="BX216" s="546"/>
      <c r="BY216" s="547"/>
      <c r="BZ216" s="548"/>
      <c r="CA216" s="560"/>
      <c r="CB216" s="549"/>
    </row>
    <row r="217" spans="1:80" outlineLevel="1">
      <c r="A217" s="515">
        <v>207</v>
      </c>
      <c r="B217" s="556" t="s">
        <v>573</v>
      </c>
      <c r="C217" s="545"/>
      <c r="D217" s="557" t="str">
        <f t="shared" ref="D217:D225" si="27">DureeHL($L217:$CB217)</f>
        <v/>
      </c>
      <c r="E217" s="545">
        <v>2</v>
      </c>
      <c r="F217" s="545" t="s">
        <v>532</v>
      </c>
      <c r="G217" s="589">
        <v>4.54</v>
      </c>
      <c r="H217" s="558"/>
      <c r="I217" s="558"/>
      <c r="J217" s="589">
        <f t="shared" ref="J217:J225" si="28">IF(D217="Achat",1,IF(D217="",0,D217*7))*E217*G217</f>
        <v>0</v>
      </c>
      <c r="K217" s="590" t="str">
        <f t="shared" si="9"/>
        <v>C</v>
      </c>
      <c r="L217" s="547"/>
      <c r="M217" s="548"/>
      <c r="N217" s="548"/>
      <c r="O217" s="546"/>
      <c r="P217" s="547"/>
      <c r="Q217" s="548"/>
      <c r="R217" s="548"/>
      <c r="S217" s="546"/>
      <c r="T217" s="547"/>
      <c r="U217" s="548"/>
      <c r="V217" s="548"/>
      <c r="W217" s="548"/>
      <c r="X217" s="546"/>
      <c r="Y217" s="547"/>
      <c r="Z217" s="548"/>
      <c r="AA217" s="548"/>
      <c r="AB217" s="546"/>
      <c r="AC217" s="547"/>
      <c r="AD217" s="548"/>
      <c r="AE217" s="548"/>
      <c r="AF217" s="546"/>
      <c r="AG217" s="547"/>
      <c r="AH217" s="548"/>
      <c r="AI217" s="548"/>
      <c r="AJ217" s="546"/>
      <c r="AK217" s="547"/>
      <c r="AL217" s="548"/>
      <c r="AM217" s="548"/>
      <c r="AN217" s="548"/>
      <c r="AO217" s="546"/>
      <c r="AP217" s="547"/>
      <c r="AQ217" s="548"/>
      <c r="AR217" s="548"/>
      <c r="AS217" s="546"/>
      <c r="AT217" s="547"/>
      <c r="AU217" s="548"/>
      <c r="AV217" s="548"/>
      <c r="AW217" s="546"/>
      <c r="AX217" s="547"/>
      <c r="AY217" s="548"/>
      <c r="AZ217" s="548"/>
      <c r="BA217" s="548"/>
      <c r="BB217" s="546"/>
      <c r="BC217" s="547"/>
      <c r="BD217" s="548"/>
      <c r="BE217" s="548"/>
      <c r="BF217" s="546"/>
      <c r="BG217" s="547"/>
      <c r="BH217" s="548"/>
      <c r="BI217" s="548"/>
      <c r="BJ217" s="548"/>
      <c r="BK217" s="546"/>
      <c r="BL217" s="547"/>
      <c r="BM217" s="548"/>
      <c r="BN217" s="548"/>
      <c r="BO217" s="546"/>
      <c r="BP217" s="547"/>
      <c r="BQ217" s="548"/>
      <c r="BR217" s="548"/>
      <c r="BS217" s="546"/>
      <c r="BT217" s="547"/>
      <c r="BU217" s="548"/>
      <c r="BV217" s="548"/>
      <c r="BW217" s="548"/>
      <c r="BX217" s="546"/>
      <c r="BY217" s="547"/>
      <c r="BZ217" s="548"/>
      <c r="CA217" s="560"/>
      <c r="CB217" s="549"/>
    </row>
    <row r="218" spans="1:80" outlineLevel="1">
      <c r="A218" s="515">
        <v>208</v>
      </c>
      <c r="B218" s="556" t="s">
        <v>577</v>
      </c>
      <c r="C218" s="545"/>
      <c r="D218" s="557" t="str">
        <f t="shared" si="27"/>
        <v/>
      </c>
      <c r="E218" s="545">
        <v>60</v>
      </c>
      <c r="F218" s="545" t="s">
        <v>532</v>
      </c>
      <c r="G218" s="589">
        <v>3.6999999999999998E-2</v>
      </c>
      <c r="H218" s="558"/>
      <c r="I218" s="558"/>
      <c r="J218" s="589">
        <f t="shared" si="28"/>
        <v>0</v>
      </c>
      <c r="K218" s="590" t="str">
        <f t="shared" si="9"/>
        <v>C</v>
      </c>
      <c r="L218" s="547"/>
      <c r="M218" s="548"/>
      <c r="N218" s="548"/>
      <c r="O218" s="546"/>
      <c r="P218" s="547"/>
      <c r="Q218" s="548"/>
      <c r="R218" s="548"/>
      <c r="S218" s="546"/>
      <c r="T218" s="547"/>
      <c r="U218" s="548"/>
      <c r="V218" s="548"/>
      <c r="W218" s="548"/>
      <c r="X218" s="546"/>
      <c r="Y218" s="547"/>
      <c r="Z218" s="548"/>
      <c r="AA218" s="548"/>
      <c r="AB218" s="546"/>
      <c r="AC218" s="547"/>
      <c r="AD218" s="548"/>
      <c r="AE218" s="548"/>
      <c r="AF218" s="546"/>
      <c r="AG218" s="547"/>
      <c r="AH218" s="548"/>
      <c r="AI218" s="548"/>
      <c r="AJ218" s="546"/>
      <c r="AK218" s="547"/>
      <c r="AL218" s="548"/>
      <c r="AM218" s="548"/>
      <c r="AN218" s="548"/>
      <c r="AO218" s="546"/>
      <c r="AP218" s="547"/>
      <c r="AQ218" s="548"/>
      <c r="AR218" s="548"/>
      <c r="AS218" s="546"/>
      <c r="AT218" s="547"/>
      <c r="AU218" s="548"/>
      <c r="AV218" s="548"/>
      <c r="AW218" s="546"/>
      <c r="AX218" s="547"/>
      <c r="AY218" s="548"/>
      <c r="AZ218" s="548"/>
      <c r="BA218" s="548"/>
      <c r="BB218" s="546"/>
      <c r="BC218" s="547"/>
      <c r="BD218" s="548"/>
      <c r="BE218" s="548"/>
      <c r="BF218" s="546"/>
      <c r="BG218" s="547"/>
      <c r="BH218" s="548"/>
      <c r="BI218" s="548"/>
      <c r="BJ218" s="548"/>
      <c r="BK218" s="546"/>
      <c r="BL218" s="547"/>
      <c r="BM218" s="548"/>
      <c r="BN218" s="548"/>
      <c r="BO218" s="546"/>
      <c r="BP218" s="547"/>
      <c r="BQ218" s="548"/>
      <c r="BR218" s="548"/>
      <c r="BS218" s="546"/>
      <c r="BT218" s="547"/>
      <c r="BU218" s="548"/>
      <c r="BV218" s="548"/>
      <c r="BW218" s="548"/>
      <c r="BX218" s="546"/>
      <c r="BY218" s="547"/>
      <c r="BZ218" s="548"/>
      <c r="CA218" s="560"/>
      <c r="CB218" s="549"/>
    </row>
    <row r="219" spans="1:80" outlineLevel="1">
      <c r="A219" s="515">
        <v>209</v>
      </c>
      <c r="B219" s="556" t="s">
        <v>576</v>
      </c>
      <c r="C219" s="545"/>
      <c r="D219" s="557" t="str">
        <f t="shared" si="27"/>
        <v/>
      </c>
      <c r="E219" s="545">
        <v>60</v>
      </c>
      <c r="F219" s="545" t="s">
        <v>532</v>
      </c>
      <c r="G219" s="589">
        <v>0.02</v>
      </c>
      <c r="H219" s="558"/>
      <c r="I219" s="558"/>
      <c r="J219" s="589">
        <f t="shared" si="28"/>
        <v>0</v>
      </c>
      <c r="K219" s="590" t="str">
        <f t="shared" si="9"/>
        <v>C</v>
      </c>
      <c r="L219" s="547"/>
      <c r="M219" s="548"/>
      <c r="N219" s="548"/>
      <c r="O219" s="546"/>
      <c r="P219" s="547"/>
      <c r="Q219" s="548"/>
      <c r="R219" s="548"/>
      <c r="S219" s="546"/>
      <c r="T219" s="547"/>
      <c r="U219" s="548"/>
      <c r="V219" s="548"/>
      <c r="W219" s="548"/>
      <c r="X219" s="546"/>
      <c r="Y219" s="547"/>
      <c r="Z219" s="548"/>
      <c r="AA219" s="548"/>
      <c r="AB219" s="546"/>
      <c r="AC219" s="547"/>
      <c r="AD219" s="548"/>
      <c r="AE219" s="548"/>
      <c r="AF219" s="546"/>
      <c r="AG219" s="547"/>
      <c r="AH219" s="548"/>
      <c r="AI219" s="548"/>
      <c r="AJ219" s="546"/>
      <c r="AK219" s="547"/>
      <c r="AL219" s="548"/>
      <c r="AM219" s="548"/>
      <c r="AN219" s="548"/>
      <c r="AO219" s="546"/>
      <c r="AP219" s="547"/>
      <c r="AQ219" s="548"/>
      <c r="AR219" s="548"/>
      <c r="AS219" s="546"/>
      <c r="AT219" s="547"/>
      <c r="AU219" s="548"/>
      <c r="AV219" s="548"/>
      <c r="AW219" s="546"/>
      <c r="AX219" s="547"/>
      <c r="AY219" s="548"/>
      <c r="AZ219" s="548"/>
      <c r="BA219" s="548"/>
      <c r="BB219" s="546"/>
      <c r="BC219" s="547"/>
      <c r="BD219" s="548"/>
      <c r="BE219" s="548"/>
      <c r="BF219" s="546"/>
      <c r="BG219" s="547"/>
      <c r="BH219" s="548"/>
      <c r="BI219" s="548"/>
      <c r="BJ219" s="548"/>
      <c r="BK219" s="546"/>
      <c r="BL219" s="547"/>
      <c r="BM219" s="548"/>
      <c r="BN219" s="548"/>
      <c r="BO219" s="546"/>
      <c r="BP219" s="547"/>
      <c r="BQ219" s="548"/>
      <c r="BR219" s="548"/>
      <c r="BS219" s="546"/>
      <c r="BT219" s="547"/>
      <c r="BU219" s="548"/>
      <c r="BV219" s="548"/>
      <c r="BW219" s="548"/>
      <c r="BX219" s="546"/>
      <c r="BY219" s="547"/>
      <c r="BZ219" s="548"/>
      <c r="CA219" s="560"/>
      <c r="CB219" s="549"/>
    </row>
    <row r="220" spans="1:80" outlineLevel="1">
      <c r="A220" s="515">
        <v>210</v>
      </c>
      <c r="B220" s="556" t="s">
        <v>578</v>
      </c>
      <c r="C220" s="545"/>
      <c r="D220" s="557" t="str">
        <f t="shared" si="27"/>
        <v/>
      </c>
      <c r="E220" s="545">
        <v>60</v>
      </c>
      <c r="F220" s="545" t="s">
        <v>532</v>
      </c>
      <c r="G220" s="589">
        <v>0.05</v>
      </c>
      <c r="H220" s="558"/>
      <c r="I220" s="558"/>
      <c r="J220" s="589">
        <f t="shared" si="28"/>
        <v>0</v>
      </c>
      <c r="K220" s="590" t="str">
        <f t="shared" si="9"/>
        <v>C</v>
      </c>
      <c r="L220" s="547"/>
      <c r="M220" s="548"/>
      <c r="N220" s="548"/>
      <c r="O220" s="546"/>
      <c r="P220" s="547"/>
      <c r="Q220" s="548"/>
      <c r="R220" s="548"/>
      <c r="S220" s="546"/>
      <c r="T220" s="547"/>
      <c r="U220" s="548"/>
      <c r="V220" s="548"/>
      <c r="W220" s="548"/>
      <c r="X220" s="546"/>
      <c r="Y220" s="547"/>
      <c r="Z220" s="548"/>
      <c r="AA220" s="548"/>
      <c r="AB220" s="546"/>
      <c r="AC220" s="547"/>
      <c r="AD220" s="548"/>
      <c r="AE220" s="548"/>
      <c r="AF220" s="546"/>
      <c r="AG220" s="547"/>
      <c r="AH220" s="548"/>
      <c r="AI220" s="548"/>
      <c r="AJ220" s="546"/>
      <c r="AK220" s="547"/>
      <c r="AL220" s="548"/>
      <c r="AM220" s="548"/>
      <c r="AN220" s="548"/>
      <c r="AO220" s="546"/>
      <c r="AP220" s="547"/>
      <c r="AQ220" s="548"/>
      <c r="AR220" s="548"/>
      <c r="AS220" s="546"/>
      <c r="AT220" s="547"/>
      <c r="AU220" s="548"/>
      <c r="AV220" s="548"/>
      <c r="AW220" s="546"/>
      <c r="AX220" s="547"/>
      <c r="AY220" s="548"/>
      <c r="AZ220" s="548"/>
      <c r="BA220" s="548"/>
      <c r="BB220" s="546"/>
      <c r="BC220" s="547"/>
      <c r="BD220" s="548"/>
      <c r="BE220" s="548"/>
      <c r="BF220" s="546"/>
      <c r="BG220" s="547"/>
      <c r="BH220" s="548"/>
      <c r="BI220" s="548"/>
      <c r="BJ220" s="548"/>
      <c r="BK220" s="546"/>
      <c r="BL220" s="547"/>
      <c r="BM220" s="548"/>
      <c r="BN220" s="548"/>
      <c r="BO220" s="546"/>
      <c r="BP220" s="547"/>
      <c r="BQ220" s="548"/>
      <c r="BR220" s="548"/>
      <c r="BS220" s="546"/>
      <c r="BT220" s="547"/>
      <c r="BU220" s="548"/>
      <c r="BV220" s="548"/>
      <c r="BW220" s="548"/>
      <c r="BX220" s="546"/>
      <c r="BY220" s="547"/>
      <c r="BZ220" s="548"/>
      <c r="CA220" s="560"/>
      <c r="CB220" s="549"/>
    </row>
    <row r="221" spans="1:80" outlineLevel="1">
      <c r="A221" s="515">
        <v>211</v>
      </c>
      <c r="B221" s="556" t="s">
        <v>565</v>
      </c>
      <c r="C221" s="545"/>
      <c r="D221" s="557" t="str">
        <f t="shared" si="27"/>
        <v/>
      </c>
      <c r="E221" s="545">
        <v>6</v>
      </c>
      <c r="F221" s="545" t="s">
        <v>532</v>
      </c>
      <c r="G221" s="589">
        <v>1.36</v>
      </c>
      <c r="H221" s="558"/>
      <c r="I221" s="558"/>
      <c r="J221" s="589">
        <f t="shared" si="28"/>
        <v>0</v>
      </c>
      <c r="K221" s="590" t="str">
        <f t="shared" si="9"/>
        <v>C</v>
      </c>
      <c r="L221" s="547"/>
      <c r="M221" s="548"/>
      <c r="N221" s="548"/>
      <c r="O221" s="546"/>
      <c r="P221" s="547"/>
      <c r="Q221" s="548"/>
      <c r="R221" s="548"/>
      <c r="S221" s="546"/>
      <c r="T221" s="547"/>
      <c r="U221" s="548"/>
      <c r="V221" s="548"/>
      <c r="W221" s="548"/>
      <c r="X221" s="546"/>
      <c r="Y221" s="547"/>
      <c r="Z221" s="548"/>
      <c r="AA221" s="548"/>
      <c r="AB221" s="546"/>
      <c r="AC221" s="547"/>
      <c r="AD221" s="548"/>
      <c r="AE221" s="548"/>
      <c r="AF221" s="546"/>
      <c r="AG221" s="547"/>
      <c r="AH221" s="548"/>
      <c r="AI221" s="548"/>
      <c r="AJ221" s="546"/>
      <c r="AK221" s="547"/>
      <c r="AL221" s="548"/>
      <c r="AM221" s="548"/>
      <c r="AN221" s="548"/>
      <c r="AO221" s="546"/>
      <c r="AP221" s="547"/>
      <c r="AQ221" s="548"/>
      <c r="AR221" s="548"/>
      <c r="AS221" s="546"/>
      <c r="AT221" s="547"/>
      <c r="AU221" s="548"/>
      <c r="AV221" s="548"/>
      <c r="AW221" s="546"/>
      <c r="AX221" s="547"/>
      <c r="AY221" s="548"/>
      <c r="AZ221" s="548"/>
      <c r="BA221" s="548"/>
      <c r="BB221" s="546"/>
      <c r="BC221" s="547"/>
      <c r="BD221" s="548"/>
      <c r="BE221" s="548"/>
      <c r="BF221" s="546"/>
      <c r="BG221" s="547"/>
      <c r="BH221" s="548"/>
      <c r="BI221" s="548"/>
      <c r="BJ221" s="548"/>
      <c r="BK221" s="546"/>
      <c r="BL221" s="547"/>
      <c r="BM221" s="548"/>
      <c r="BN221" s="548"/>
      <c r="BO221" s="546"/>
      <c r="BP221" s="547"/>
      <c r="BQ221" s="548"/>
      <c r="BR221" s="548"/>
      <c r="BS221" s="546"/>
      <c r="BT221" s="547"/>
      <c r="BU221" s="548"/>
      <c r="BV221" s="548"/>
      <c r="BW221" s="548"/>
      <c r="BX221" s="546"/>
      <c r="BY221" s="547"/>
      <c r="BZ221" s="548"/>
      <c r="CA221" s="560"/>
      <c r="CB221" s="549"/>
    </row>
    <row r="222" spans="1:80" outlineLevel="1">
      <c r="A222" s="515">
        <v>212</v>
      </c>
      <c r="B222" s="556" t="s">
        <v>566</v>
      </c>
      <c r="C222" s="545"/>
      <c r="D222" s="557" t="str">
        <f t="shared" si="27"/>
        <v/>
      </c>
      <c r="E222" s="545">
        <v>6</v>
      </c>
      <c r="F222" s="545" t="s">
        <v>532</v>
      </c>
      <c r="G222" s="589">
        <v>1.76</v>
      </c>
      <c r="H222" s="558"/>
      <c r="I222" s="558"/>
      <c r="J222" s="589">
        <f t="shared" si="28"/>
        <v>0</v>
      </c>
      <c r="K222" s="590" t="str">
        <f t="shared" si="9"/>
        <v>C</v>
      </c>
      <c r="L222" s="547"/>
      <c r="M222" s="548"/>
      <c r="N222" s="548"/>
      <c r="O222" s="546"/>
      <c r="P222" s="547"/>
      <c r="Q222" s="548"/>
      <c r="R222" s="548"/>
      <c r="S222" s="546"/>
      <c r="T222" s="547"/>
      <c r="U222" s="548"/>
      <c r="V222" s="548"/>
      <c r="W222" s="548"/>
      <c r="X222" s="546"/>
      <c r="Y222" s="547"/>
      <c r="Z222" s="548"/>
      <c r="AA222" s="548"/>
      <c r="AB222" s="546"/>
      <c r="AC222" s="547"/>
      <c r="AD222" s="548"/>
      <c r="AE222" s="548"/>
      <c r="AF222" s="546"/>
      <c r="AG222" s="547"/>
      <c r="AH222" s="548"/>
      <c r="AI222" s="548"/>
      <c r="AJ222" s="546"/>
      <c r="AK222" s="547"/>
      <c r="AL222" s="548"/>
      <c r="AM222" s="548"/>
      <c r="AN222" s="548"/>
      <c r="AO222" s="546"/>
      <c r="AP222" s="547"/>
      <c r="AQ222" s="548"/>
      <c r="AR222" s="548"/>
      <c r="AS222" s="546"/>
      <c r="AT222" s="547"/>
      <c r="AU222" s="548"/>
      <c r="AV222" s="548"/>
      <c r="AW222" s="546"/>
      <c r="AX222" s="547"/>
      <c r="AY222" s="548"/>
      <c r="AZ222" s="548"/>
      <c r="BA222" s="548"/>
      <c r="BB222" s="546"/>
      <c r="BC222" s="547"/>
      <c r="BD222" s="548"/>
      <c r="BE222" s="548"/>
      <c r="BF222" s="546"/>
      <c r="BG222" s="547"/>
      <c r="BH222" s="548"/>
      <c r="BI222" s="548"/>
      <c r="BJ222" s="548"/>
      <c r="BK222" s="546"/>
      <c r="BL222" s="547"/>
      <c r="BM222" s="548"/>
      <c r="BN222" s="548"/>
      <c r="BO222" s="546"/>
      <c r="BP222" s="547"/>
      <c r="BQ222" s="548"/>
      <c r="BR222" s="548"/>
      <c r="BS222" s="546"/>
      <c r="BT222" s="547"/>
      <c r="BU222" s="548"/>
      <c r="BV222" s="548"/>
      <c r="BW222" s="548"/>
      <c r="BX222" s="546"/>
      <c r="BY222" s="547"/>
      <c r="BZ222" s="548"/>
      <c r="CA222" s="560"/>
      <c r="CB222" s="549"/>
    </row>
    <row r="223" spans="1:80" outlineLevel="1">
      <c r="A223" s="515">
        <v>213</v>
      </c>
      <c r="B223" s="556" t="s">
        <v>567</v>
      </c>
      <c r="C223" s="545"/>
      <c r="D223" s="557" t="str">
        <f t="shared" si="27"/>
        <v/>
      </c>
      <c r="E223" s="545">
        <v>4</v>
      </c>
      <c r="F223" s="545" t="s">
        <v>532</v>
      </c>
      <c r="G223" s="589">
        <v>3</v>
      </c>
      <c r="H223" s="558"/>
      <c r="I223" s="558"/>
      <c r="J223" s="589">
        <f t="shared" si="28"/>
        <v>0</v>
      </c>
      <c r="K223" s="590" t="str">
        <f t="shared" si="9"/>
        <v>C</v>
      </c>
      <c r="L223" s="547"/>
      <c r="M223" s="548"/>
      <c r="N223" s="548"/>
      <c r="O223" s="546"/>
      <c r="P223" s="547"/>
      <c r="Q223" s="548"/>
      <c r="R223" s="548"/>
      <c r="S223" s="546"/>
      <c r="T223" s="547"/>
      <c r="U223" s="548"/>
      <c r="V223" s="548"/>
      <c r="W223" s="548"/>
      <c r="X223" s="546"/>
      <c r="Y223" s="547"/>
      <c r="Z223" s="548"/>
      <c r="AA223" s="548"/>
      <c r="AB223" s="546"/>
      <c r="AC223" s="547"/>
      <c r="AD223" s="548"/>
      <c r="AE223" s="548"/>
      <c r="AF223" s="546"/>
      <c r="AG223" s="547"/>
      <c r="AH223" s="548"/>
      <c r="AI223" s="548"/>
      <c r="AJ223" s="546"/>
      <c r="AK223" s="547"/>
      <c r="AL223" s="548"/>
      <c r="AM223" s="548"/>
      <c r="AN223" s="548"/>
      <c r="AO223" s="546"/>
      <c r="AP223" s="547"/>
      <c r="AQ223" s="548"/>
      <c r="AR223" s="548"/>
      <c r="AS223" s="546"/>
      <c r="AT223" s="547"/>
      <c r="AU223" s="548"/>
      <c r="AV223" s="548"/>
      <c r="AW223" s="546"/>
      <c r="AX223" s="547"/>
      <c r="AY223" s="548"/>
      <c r="AZ223" s="548"/>
      <c r="BA223" s="548"/>
      <c r="BB223" s="546"/>
      <c r="BC223" s="547"/>
      <c r="BD223" s="548"/>
      <c r="BE223" s="548"/>
      <c r="BF223" s="546"/>
      <c r="BG223" s="547"/>
      <c r="BH223" s="548"/>
      <c r="BI223" s="548"/>
      <c r="BJ223" s="548"/>
      <c r="BK223" s="546"/>
      <c r="BL223" s="547"/>
      <c r="BM223" s="548"/>
      <c r="BN223" s="548"/>
      <c r="BO223" s="546"/>
      <c r="BP223" s="547"/>
      <c r="BQ223" s="548"/>
      <c r="BR223" s="548"/>
      <c r="BS223" s="546"/>
      <c r="BT223" s="547"/>
      <c r="BU223" s="548"/>
      <c r="BV223" s="548"/>
      <c r="BW223" s="548"/>
      <c r="BX223" s="546"/>
      <c r="BY223" s="547"/>
      <c r="BZ223" s="548"/>
      <c r="CA223" s="560"/>
      <c r="CB223" s="549"/>
    </row>
    <row r="224" spans="1:80" outlineLevel="1">
      <c r="A224" s="515">
        <v>214</v>
      </c>
      <c r="B224" s="556" t="s">
        <v>574</v>
      </c>
      <c r="C224" s="545"/>
      <c r="D224" s="557" t="str">
        <f t="shared" si="27"/>
        <v/>
      </c>
      <c r="E224" s="545">
        <v>36</v>
      </c>
      <c r="F224" s="545" t="s">
        <v>532</v>
      </c>
      <c r="G224" s="589">
        <v>7.0000000000000007E-2</v>
      </c>
      <c r="H224" s="558"/>
      <c r="I224" s="558"/>
      <c r="J224" s="589">
        <f t="shared" si="28"/>
        <v>0</v>
      </c>
      <c r="K224" s="590" t="str">
        <f t="shared" si="9"/>
        <v>C</v>
      </c>
      <c r="L224" s="547"/>
      <c r="M224" s="548"/>
      <c r="N224" s="548"/>
      <c r="O224" s="546"/>
      <c r="P224" s="547"/>
      <c r="Q224" s="548"/>
      <c r="R224" s="548"/>
      <c r="S224" s="546"/>
      <c r="T224" s="547"/>
      <c r="U224" s="548"/>
      <c r="V224" s="548"/>
      <c r="W224" s="548"/>
      <c r="X224" s="546"/>
      <c r="Y224" s="547"/>
      <c r="Z224" s="548"/>
      <c r="AA224" s="548"/>
      <c r="AB224" s="546"/>
      <c r="AC224" s="547"/>
      <c r="AD224" s="548"/>
      <c r="AE224" s="548"/>
      <c r="AF224" s="546"/>
      <c r="AG224" s="547"/>
      <c r="AH224" s="548"/>
      <c r="AI224" s="548"/>
      <c r="AJ224" s="546"/>
      <c r="AK224" s="547"/>
      <c r="AL224" s="548"/>
      <c r="AM224" s="548"/>
      <c r="AN224" s="548"/>
      <c r="AO224" s="546"/>
      <c r="AP224" s="547"/>
      <c r="AQ224" s="548"/>
      <c r="AR224" s="548"/>
      <c r="AS224" s="546"/>
      <c r="AT224" s="547"/>
      <c r="AU224" s="548"/>
      <c r="AV224" s="548"/>
      <c r="AW224" s="546"/>
      <c r="AX224" s="547"/>
      <c r="AY224" s="548"/>
      <c r="AZ224" s="548"/>
      <c r="BA224" s="548"/>
      <c r="BB224" s="546"/>
      <c r="BC224" s="547"/>
      <c r="BD224" s="548"/>
      <c r="BE224" s="548"/>
      <c r="BF224" s="546"/>
      <c r="BG224" s="547"/>
      <c r="BH224" s="548"/>
      <c r="BI224" s="548"/>
      <c r="BJ224" s="548"/>
      <c r="BK224" s="546"/>
      <c r="BL224" s="547"/>
      <c r="BM224" s="548"/>
      <c r="BN224" s="548"/>
      <c r="BO224" s="546"/>
      <c r="BP224" s="547"/>
      <c r="BQ224" s="548"/>
      <c r="BR224" s="548"/>
      <c r="BS224" s="546"/>
      <c r="BT224" s="547"/>
      <c r="BU224" s="548"/>
      <c r="BV224" s="548"/>
      <c r="BW224" s="548"/>
      <c r="BX224" s="546"/>
      <c r="BY224" s="547"/>
      <c r="BZ224" s="548"/>
      <c r="CA224" s="560"/>
      <c r="CB224" s="549"/>
    </row>
    <row r="225" spans="1:81" outlineLevel="1">
      <c r="A225" s="515">
        <v>215</v>
      </c>
      <c r="B225" s="556" t="s">
        <v>575</v>
      </c>
      <c r="C225" s="545"/>
      <c r="D225" s="557" t="str">
        <f t="shared" si="27"/>
        <v/>
      </c>
      <c r="E225" s="545">
        <v>36</v>
      </c>
      <c r="F225" s="545" t="s">
        <v>532</v>
      </c>
      <c r="G225" s="589">
        <v>6.5000000000000002E-2</v>
      </c>
      <c r="H225" s="558"/>
      <c r="I225" s="558"/>
      <c r="J225" s="589">
        <f t="shared" si="28"/>
        <v>0</v>
      </c>
      <c r="K225" s="590" t="str">
        <f t="shared" si="9"/>
        <v>C</v>
      </c>
      <c r="L225" s="547"/>
      <c r="M225" s="548"/>
      <c r="N225" s="548"/>
      <c r="O225" s="546"/>
      <c r="P225" s="547"/>
      <c r="Q225" s="548"/>
      <c r="R225" s="548"/>
      <c r="S225" s="546"/>
      <c r="T225" s="547"/>
      <c r="U225" s="548"/>
      <c r="V225" s="548"/>
      <c r="W225" s="548"/>
      <c r="X225" s="546"/>
      <c r="Y225" s="547"/>
      <c r="Z225" s="548"/>
      <c r="AA225" s="548"/>
      <c r="AB225" s="546"/>
      <c r="AC225" s="547"/>
      <c r="AD225" s="548"/>
      <c r="AE225" s="548"/>
      <c r="AF225" s="546"/>
      <c r="AG225" s="547"/>
      <c r="AH225" s="548"/>
      <c r="AI225" s="548"/>
      <c r="AJ225" s="546"/>
      <c r="AK225" s="547"/>
      <c r="AL225" s="548"/>
      <c r="AM225" s="548"/>
      <c r="AN225" s="548"/>
      <c r="AO225" s="546"/>
      <c r="AP225" s="547"/>
      <c r="AQ225" s="548"/>
      <c r="AR225" s="548"/>
      <c r="AS225" s="546"/>
      <c r="AT225" s="547"/>
      <c r="AU225" s="548"/>
      <c r="AV225" s="548"/>
      <c r="AW225" s="546"/>
      <c r="AX225" s="547"/>
      <c r="AY225" s="548"/>
      <c r="AZ225" s="548"/>
      <c r="BA225" s="548"/>
      <c r="BB225" s="546"/>
      <c r="BC225" s="547"/>
      <c r="BD225" s="548"/>
      <c r="BE225" s="548"/>
      <c r="BF225" s="546"/>
      <c r="BG225" s="547"/>
      <c r="BH225" s="548"/>
      <c r="BI225" s="548"/>
      <c r="BJ225" s="548"/>
      <c r="BK225" s="546"/>
      <c r="BL225" s="547"/>
      <c r="BM225" s="548"/>
      <c r="BN225" s="548"/>
      <c r="BO225" s="546"/>
      <c r="BP225" s="547"/>
      <c r="BQ225" s="548"/>
      <c r="BR225" s="548"/>
      <c r="BS225" s="546"/>
      <c r="BT225" s="547"/>
      <c r="BU225" s="548"/>
      <c r="BV225" s="548"/>
      <c r="BW225" s="548"/>
      <c r="BX225" s="546"/>
      <c r="BY225" s="547"/>
      <c r="BZ225" s="548"/>
      <c r="CA225" s="560"/>
      <c r="CB225" s="549"/>
    </row>
    <row r="226" spans="1:81" outlineLevel="1">
      <c r="A226" s="515">
        <v>216</v>
      </c>
      <c r="B226" s="593"/>
      <c r="C226" s="545"/>
      <c r="D226" s="557"/>
      <c r="E226" s="545"/>
      <c r="F226" s="545"/>
      <c r="G226" s="589"/>
      <c r="H226" s="558"/>
      <c r="I226" s="558"/>
      <c r="J226" s="589" t="s">
        <v>624</v>
      </c>
      <c r="K226" s="590" t="str">
        <f t="shared" si="9"/>
        <v/>
      </c>
      <c r="L226" s="547"/>
      <c r="M226" s="548"/>
      <c r="N226" s="548"/>
      <c r="O226" s="546"/>
      <c r="P226" s="547"/>
      <c r="Q226" s="548"/>
      <c r="R226" s="548"/>
      <c r="S226" s="546"/>
      <c r="T226" s="547"/>
      <c r="U226" s="548"/>
      <c r="V226" s="548"/>
      <c r="W226" s="548"/>
      <c r="X226" s="546"/>
      <c r="Y226" s="547"/>
      <c r="Z226" s="548"/>
      <c r="AA226" s="548"/>
      <c r="AB226" s="546"/>
      <c r="AC226" s="547"/>
      <c r="AD226" s="548"/>
      <c r="AE226" s="548"/>
      <c r="AF226" s="546"/>
      <c r="AG226" s="547"/>
      <c r="AH226" s="548"/>
      <c r="AI226" s="548"/>
      <c r="AJ226" s="546"/>
      <c r="AK226" s="547"/>
      <c r="AL226" s="548"/>
      <c r="AM226" s="548"/>
      <c r="AN226" s="548"/>
      <c r="AO226" s="546"/>
      <c r="AP226" s="547"/>
      <c r="AQ226" s="548"/>
      <c r="AR226" s="548"/>
      <c r="AS226" s="546"/>
      <c r="AT226" s="547"/>
      <c r="AU226" s="548"/>
      <c r="AV226" s="548"/>
      <c r="AW226" s="546"/>
      <c r="AX226" s="547"/>
      <c r="AY226" s="548"/>
      <c r="AZ226" s="548"/>
      <c r="BA226" s="548"/>
      <c r="BB226" s="546"/>
      <c r="BC226" s="547"/>
      <c r="BD226" s="548"/>
      <c r="BE226" s="548"/>
      <c r="BF226" s="546"/>
      <c r="BG226" s="547"/>
      <c r="BH226" s="548"/>
      <c r="BI226" s="548"/>
      <c r="BJ226" s="548"/>
      <c r="BK226" s="546"/>
      <c r="BL226" s="547"/>
      <c r="BM226" s="548"/>
      <c r="BN226" s="548"/>
      <c r="BO226" s="546"/>
      <c r="BP226" s="547"/>
      <c r="BQ226" s="548"/>
      <c r="BR226" s="548"/>
      <c r="BS226" s="546"/>
      <c r="BT226" s="547"/>
      <c r="BU226" s="548"/>
      <c r="BV226" s="548"/>
      <c r="BW226" s="548"/>
      <c r="BX226" s="546"/>
      <c r="BY226" s="547"/>
      <c r="BZ226" s="548"/>
      <c r="CA226" s="560"/>
      <c r="CB226" s="549"/>
    </row>
    <row r="227" spans="1:81">
      <c r="A227" s="569">
        <v>217</v>
      </c>
      <c r="B227" s="570" t="s">
        <v>606</v>
      </c>
      <c r="C227" s="571"/>
      <c r="D227" s="572"/>
      <c r="E227" s="572"/>
      <c r="F227" s="572"/>
      <c r="G227" s="572"/>
      <c r="H227" s="573"/>
      <c r="I227" s="574" t="s">
        <v>594</v>
      </c>
      <c r="J227" s="575">
        <f>SUBTOTAL(9,J229:J248)</f>
        <v>62730</v>
      </c>
      <c r="K227" s="576" t="str">
        <f t="shared" si="9"/>
        <v/>
      </c>
      <c r="L227" s="547"/>
      <c r="M227" s="548"/>
      <c r="N227" s="548"/>
      <c r="O227" s="546"/>
      <c r="P227" s="547"/>
      <c r="Q227" s="548"/>
      <c r="R227" s="548"/>
      <c r="S227" s="546"/>
      <c r="T227" s="547"/>
      <c r="U227" s="548"/>
      <c r="V227" s="548"/>
      <c r="W227" s="548"/>
      <c r="X227" s="546"/>
      <c r="Y227" s="547"/>
      <c r="Z227" s="548"/>
      <c r="AA227" s="548"/>
      <c r="AB227" s="546"/>
      <c r="AC227" s="547"/>
      <c r="AD227" s="548"/>
      <c r="AE227" s="548"/>
      <c r="AF227" s="546"/>
      <c r="AG227" s="547"/>
      <c r="AH227" s="548"/>
      <c r="AI227" s="548"/>
      <c r="AJ227" s="546"/>
      <c r="AK227" s="547"/>
      <c r="AL227" s="548"/>
      <c r="AM227" s="548"/>
      <c r="AN227" s="548"/>
      <c r="AO227" s="546"/>
      <c r="AP227" s="547"/>
      <c r="AQ227" s="548"/>
      <c r="AR227" s="548"/>
      <c r="AS227" s="546"/>
      <c r="AT227" s="547"/>
      <c r="AU227" s="548"/>
      <c r="AV227" s="548"/>
      <c r="AW227" s="546"/>
      <c r="AX227" s="547"/>
      <c r="AY227" s="548"/>
      <c r="AZ227" s="548"/>
      <c r="BA227" s="548"/>
      <c r="BB227" s="546"/>
      <c r="BC227" s="547"/>
      <c r="BD227" s="548"/>
      <c r="BE227" s="548"/>
      <c r="BF227" s="546"/>
      <c r="BG227" s="547"/>
      <c r="BH227" s="548"/>
      <c r="BI227" s="548"/>
      <c r="BJ227" s="548"/>
      <c r="BK227" s="546"/>
      <c r="BL227" s="547"/>
      <c r="BM227" s="548"/>
      <c r="BN227" s="548"/>
      <c r="BO227" s="546"/>
      <c r="BP227" s="547"/>
      <c r="BQ227" s="548"/>
      <c r="BR227" s="548"/>
      <c r="BS227" s="546"/>
      <c r="BT227" s="547"/>
      <c r="BU227" s="548"/>
      <c r="BV227" s="548"/>
      <c r="BW227" s="548"/>
      <c r="BX227" s="546"/>
      <c r="BY227" s="547"/>
      <c r="BZ227" s="548"/>
      <c r="CA227" s="560"/>
      <c r="CB227" s="549"/>
    </row>
    <row r="228" spans="1:81">
      <c r="A228" s="569">
        <v>218</v>
      </c>
      <c r="B228" s="577"/>
      <c r="C228" s="578"/>
      <c r="D228" s="578" t="s">
        <v>618</v>
      </c>
      <c r="E228" s="578" t="s">
        <v>523</v>
      </c>
      <c r="F228" s="578" t="s">
        <v>524</v>
      </c>
      <c r="G228" s="578" t="s">
        <v>596</v>
      </c>
      <c r="H228" s="579"/>
      <c r="I228" s="580"/>
      <c r="J228" s="580" t="s">
        <v>597</v>
      </c>
      <c r="K228" s="581" t="str">
        <f>IF(J227=0,"C","")</f>
        <v/>
      </c>
      <c r="L228" s="547"/>
      <c r="M228" s="548"/>
      <c r="N228" s="548"/>
      <c r="O228" s="546"/>
      <c r="P228" s="547"/>
      <c r="Q228" s="548"/>
      <c r="R228" s="548"/>
      <c r="S228" s="546"/>
      <c r="T228" s="547"/>
      <c r="U228" s="548"/>
      <c r="V228" s="548"/>
      <c r="W228" s="548"/>
      <c r="X228" s="546"/>
      <c r="Y228" s="547"/>
      <c r="Z228" s="548"/>
      <c r="AA228" s="548"/>
      <c r="AB228" s="546"/>
      <c r="AC228" s="547"/>
      <c r="AD228" s="548"/>
      <c r="AE228" s="548"/>
      <c r="AF228" s="546"/>
      <c r="AG228" s="547"/>
      <c r="AH228" s="548"/>
      <c r="AI228" s="548"/>
      <c r="AJ228" s="546"/>
      <c r="AK228" s="547"/>
      <c r="AL228" s="548"/>
      <c r="AM228" s="548"/>
      <c r="AN228" s="548"/>
      <c r="AO228" s="546"/>
      <c r="AP228" s="547"/>
      <c r="AQ228" s="548"/>
      <c r="AR228" s="548"/>
      <c r="AS228" s="546"/>
      <c r="AT228" s="547"/>
      <c r="AU228" s="548"/>
      <c r="AV228" s="548"/>
      <c r="AW228" s="546"/>
      <c r="AX228" s="547"/>
      <c r="AY228" s="548"/>
      <c r="AZ228" s="548"/>
      <c r="BA228" s="548"/>
      <c r="BB228" s="546"/>
      <c r="BC228" s="547"/>
      <c r="BD228" s="548"/>
      <c r="BE228" s="548"/>
      <c r="BF228" s="546"/>
      <c r="BG228" s="547"/>
      <c r="BH228" s="548"/>
      <c r="BI228" s="548"/>
      <c r="BJ228" s="548"/>
      <c r="BK228" s="546"/>
      <c r="BL228" s="547"/>
      <c r="BM228" s="548"/>
      <c r="BN228" s="548"/>
      <c r="BO228" s="546"/>
      <c r="BP228" s="547"/>
      <c r="BQ228" s="548"/>
      <c r="BR228" s="548"/>
      <c r="BS228" s="546"/>
      <c r="BT228" s="547"/>
      <c r="BU228" s="548"/>
      <c r="BV228" s="548"/>
      <c r="BW228" s="548"/>
      <c r="BX228" s="546"/>
      <c r="BY228" s="547"/>
      <c r="BZ228" s="548"/>
      <c r="CA228" s="560"/>
      <c r="CB228" s="549"/>
    </row>
    <row r="229" spans="1:81">
      <c r="A229" s="582">
        <v>219</v>
      </c>
      <c r="B229" s="583" t="s">
        <v>444</v>
      </c>
      <c r="C229" s="584"/>
      <c r="D229" s="599">
        <f>D231</f>
        <v>28</v>
      </c>
      <c r="E229" s="584"/>
      <c r="F229" s="584"/>
      <c r="G229" s="584"/>
      <c r="H229" s="585"/>
      <c r="I229" s="586" t="s">
        <v>594</v>
      </c>
      <c r="J229" s="587">
        <f>SUBTOTAL(9,J230:J235)</f>
        <v>62730</v>
      </c>
      <c r="K229" s="588" t="str">
        <f t="shared" ref="K229:K285" si="29">IF(J229=0,"C","")</f>
        <v/>
      </c>
      <c r="L229" s="547"/>
      <c r="M229" s="548"/>
      <c r="N229" s="548"/>
      <c r="O229" s="546"/>
      <c r="P229" s="547"/>
      <c r="Q229" s="548"/>
      <c r="R229" s="548"/>
      <c r="S229" s="546"/>
      <c r="T229" s="547"/>
      <c r="U229" s="548"/>
      <c r="V229" s="548"/>
      <c r="W229" s="548"/>
      <c r="X229" s="546"/>
      <c r="Y229" s="547"/>
      <c r="Z229" s="548"/>
      <c r="AA229" s="548"/>
      <c r="AB229" s="546"/>
      <c r="AC229" s="547"/>
      <c r="AD229" s="548"/>
      <c r="AE229" s="548"/>
      <c r="AF229" s="546"/>
      <c r="AG229" s="547"/>
      <c r="AH229" s="548"/>
      <c r="AI229" s="548"/>
      <c r="AJ229" s="546"/>
      <c r="AK229" s="547"/>
      <c r="AL229" s="548"/>
      <c r="AM229" s="548"/>
      <c r="AN229" s="548"/>
      <c r="AO229" s="546"/>
      <c r="AP229" s="547"/>
      <c r="AQ229" s="548"/>
      <c r="AR229" s="548"/>
      <c r="AS229" s="546"/>
      <c r="AT229" s="547"/>
      <c r="AU229" s="548"/>
      <c r="AV229" s="548"/>
      <c r="AW229" s="546"/>
      <c r="AX229" s="547"/>
      <c r="AY229" s="548"/>
      <c r="AZ229" s="548"/>
      <c r="BA229" s="548"/>
      <c r="BB229" s="546"/>
      <c r="BC229" s="547"/>
      <c r="BD229" s="548"/>
      <c r="BE229" s="548"/>
      <c r="BF229" s="546"/>
      <c r="BG229" s="547"/>
      <c r="BH229" s="548"/>
      <c r="BI229" s="548"/>
      <c r="BJ229" s="548"/>
      <c r="BK229" s="546"/>
      <c r="BL229" s="547"/>
      <c r="BM229" s="548"/>
      <c r="BN229" s="548"/>
      <c r="BO229" s="546"/>
      <c r="BP229" s="547"/>
      <c r="BQ229" s="548"/>
      <c r="BR229" s="548"/>
      <c r="BS229" s="546"/>
      <c r="BT229" s="547"/>
      <c r="BU229" s="548"/>
      <c r="BV229" s="548"/>
      <c r="BW229" s="548"/>
      <c r="BX229" s="546"/>
      <c r="BY229" s="547"/>
      <c r="BZ229" s="548"/>
      <c r="CA229" s="560"/>
      <c r="CB229" s="549"/>
    </row>
    <row r="230" spans="1:81" outlineLevel="1">
      <c r="A230" s="594">
        <v>220</v>
      </c>
      <c r="B230" s="556"/>
      <c r="C230" s="545"/>
      <c r="D230" s="545"/>
      <c r="E230" s="545"/>
      <c r="F230" s="545"/>
      <c r="G230" s="589"/>
      <c r="H230" s="595"/>
      <c r="I230" s="558"/>
      <c r="J230" s="595" t="s">
        <v>624</v>
      </c>
      <c r="K230" s="600" t="str">
        <f t="shared" si="29"/>
        <v/>
      </c>
      <c r="L230" s="547"/>
      <c r="M230" s="548"/>
      <c r="N230" s="548"/>
      <c r="O230" s="546"/>
      <c r="P230" s="547"/>
      <c r="Q230" s="548"/>
      <c r="R230" s="548"/>
      <c r="S230" s="546"/>
      <c r="T230" s="547"/>
      <c r="U230" s="548"/>
      <c r="V230" s="548"/>
      <c r="W230" s="548"/>
      <c r="X230" s="546"/>
      <c r="Y230" s="547"/>
      <c r="Z230" s="548"/>
      <c r="AA230" s="548"/>
      <c r="AB230" s="546"/>
      <c r="AC230" s="547"/>
      <c r="AD230" s="548"/>
      <c r="AE230" s="548"/>
      <c r="AF230" s="546"/>
      <c r="AG230" s="547"/>
      <c r="AH230" s="548"/>
      <c r="AI230" s="548"/>
      <c r="AJ230" s="546"/>
      <c r="AK230" s="547"/>
      <c r="AL230" s="548"/>
      <c r="AM230" s="548"/>
      <c r="AN230" s="548"/>
      <c r="AO230" s="546"/>
      <c r="AP230" s="547"/>
      <c r="AQ230" s="548"/>
      <c r="AR230" s="548"/>
      <c r="AS230" s="546"/>
      <c r="AT230" s="547"/>
      <c r="AU230" s="548"/>
      <c r="AV230" s="548"/>
      <c r="AW230" s="546"/>
      <c r="AX230" s="547"/>
      <c r="AY230" s="548"/>
      <c r="AZ230" s="548"/>
      <c r="BA230" s="548"/>
      <c r="BB230" s="546"/>
      <c r="BC230" s="547"/>
      <c r="BD230" s="548"/>
      <c r="BE230" s="548"/>
      <c r="BF230" s="546"/>
      <c r="BG230" s="547"/>
      <c r="BH230" s="548"/>
      <c r="BI230" s="548"/>
      <c r="BJ230" s="548"/>
      <c r="BK230" s="546"/>
      <c r="BL230" s="547"/>
      <c r="BM230" s="548"/>
      <c r="BN230" s="548"/>
      <c r="BO230" s="546"/>
      <c r="BP230" s="547"/>
      <c r="BQ230" s="548"/>
      <c r="BR230" s="548"/>
      <c r="BS230" s="546"/>
      <c r="BT230" s="547"/>
      <c r="BU230" s="548"/>
      <c r="BV230" s="548"/>
      <c r="BW230" s="548"/>
      <c r="BX230" s="546"/>
      <c r="BY230" s="547"/>
      <c r="BZ230" s="548"/>
      <c r="CA230" s="560"/>
      <c r="CB230" s="549"/>
    </row>
    <row r="231" spans="1:81" ht="12" outlineLevel="1" thickBot="1">
      <c r="A231" s="594">
        <v>221</v>
      </c>
      <c r="B231" s="556" t="s">
        <v>436</v>
      </c>
      <c r="C231" s="545"/>
      <c r="D231" s="557">
        <f>DureeHL($L231:$CB231)</f>
        <v>28</v>
      </c>
      <c r="E231" s="545">
        <v>1</v>
      </c>
      <c r="F231" s="545" t="s">
        <v>532</v>
      </c>
      <c r="G231" s="589">
        <v>180</v>
      </c>
      <c r="H231" s="595"/>
      <c r="I231" s="558"/>
      <c r="J231" s="589">
        <f>IF(D231="Achat",1,IF(D231="",0,D231*7))*E231*G231</f>
        <v>35280</v>
      </c>
      <c r="K231" s="590" t="str">
        <f t="shared" si="29"/>
        <v/>
      </c>
      <c r="L231" s="547"/>
      <c r="M231" s="548"/>
      <c r="N231" s="548"/>
      <c r="O231" s="546"/>
      <c r="P231" s="720"/>
      <c r="Q231" s="721"/>
      <c r="R231" s="721"/>
      <c r="S231" s="722"/>
      <c r="T231" s="720"/>
      <c r="U231" s="721"/>
      <c r="V231" s="721"/>
      <c r="W231" s="721"/>
      <c r="X231" s="722"/>
      <c r="Y231" s="720"/>
      <c r="Z231" s="721"/>
      <c r="AA231" s="721"/>
      <c r="AB231" s="722"/>
      <c r="AC231" s="720"/>
      <c r="AD231" s="721"/>
      <c r="AE231" s="721"/>
      <c r="AF231" s="722"/>
      <c r="AG231" s="720"/>
      <c r="AH231" s="721"/>
      <c r="AI231" s="721"/>
      <c r="AJ231" s="722"/>
      <c r="AK231" s="720"/>
      <c r="AL231" s="721"/>
      <c r="AM231" s="721"/>
      <c r="AN231" s="721"/>
      <c r="AO231" s="722"/>
      <c r="AP231" s="720"/>
      <c r="AQ231" s="721"/>
      <c r="AR231" s="548"/>
      <c r="AS231" s="546"/>
      <c r="AT231" s="547"/>
      <c r="AU231" s="548"/>
      <c r="AV231" s="548"/>
      <c r="AW231" s="546"/>
      <c r="AX231" s="547"/>
      <c r="AY231" s="548"/>
      <c r="AZ231" s="548"/>
      <c r="BA231" s="548"/>
      <c r="BB231" s="546"/>
      <c r="BC231" s="547"/>
      <c r="BD231" s="548"/>
      <c r="BE231" s="548"/>
      <c r="BF231" s="546"/>
      <c r="BG231" s="547"/>
      <c r="BH231" s="548"/>
      <c r="BI231" s="548"/>
      <c r="BJ231" s="548"/>
      <c r="BK231" s="546"/>
      <c r="BL231" s="547"/>
      <c r="BM231" s="548"/>
      <c r="BN231" s="548"/>
      <c r="BO231" s="546"/>
      <c r="BP231" s="547"/>
      <c r="BQ231" s="548"/>
      <c r="BR231" s="548"/>
      <c r="BS231" s="546"/>
      <c r="BT231" s="547"/>
      <c r="BU231" s="548"/>
      <c r="BV231" s="548"/>
      <c r="BW231" s="548"/>
      <c r="BX231" s="546"/>
      <c r="BY231" s="547"/>
      <c r="BZ231" s="548"/>
      <c r="CA231" s="560"/>
      <c r="CB231" s="549"/>
    </row>
    <row r="232" spans="1:81" ht="12" outlineLevel="1" thickTop="1">
      <c r="A232" s="594">
        <v>222</v>
      </c>
      <c r="B232" s="556" t="s">
        <v>607</v>
      </c>
      <c r="C232" s="545"/>
      <c r="D232" s="557" t="s">
        <v>622</v>
      </c>
      <c r="E232" s="545">
        <v>1</v>
      </c>
      <c r="F232" s="545" t="s">
        <v>608</v>
      </c>
      <c r="G232" s="589">
        <f>5*30.5*G231</f>
        <v>27450</v>
      </c>
      <c r="H232" s="595"/>
      <c r="I232" s="558"/>
      <c r="J232" s="589">
        <f>IF(D232="Achat",1,IF(D232="",0,D232*7))*E232*G232</f>
        <v>27450</v>
      </c>
      <c r="K232" s="590" t="str">
        <f t="shared" si="29"/>
        <v/>
      </c>
      <c r="L232" s="547"/>
      <c r="M232" s="548"/>
      <c r="N232" s="548"/>
      <c r="O232" s="546"/>
      <c r="P232" s="709"/>
      <c r="Q232" s="711"/>
      <c r="R232" s="711"/>
      <c r="S232" s="723"/>
      <c r="T232" s="709"/>
      <c r="U232" s="711"/>
      <c r="V232" s="711"/>
      <c r="W232" s="711"/>
      <c r="X232" s="723"/>
      <c r="Y232" s="709"/>
      <c r="Z232" s="711"/>
      <c r="AA232" s="711"/>
      <c r="AB232" s="723"/>
      <c r="AC232" s="709"/>
      <c r="AD232" s="711"/>
      <c r="AE232" s="711"/>
      <c r="AF232" s="723"/>
      <c r="AG232" s="709"/>
      <c r="AH232" s="711"/>
      <c r="AI232" s="711"/>
      <c r="AJ232" s="723"/>
      <c r="AK232" s="709"/>
      <c r="AL232" s="711"/>
      <c r="AM232" s="711"/>
      <c r="AN232" s="711"/>
      <c r="AO232" s="723"/>
      <c r="AP232" s="709"/>
      <c r="AQ232" s="711"/>
      <c r="AR232" s="548"/>
      <c r="AS232" s="546"/>
      <c r="AT232" s="547"/>
      <c r="AU232" s="548"/>
      <c r="AV232" s="548"/>
      <c r="AW232" s="546"/>
      <c r="AX232" s="547"/>
      <c r="AY232" s="548"/>
      <c r="AZ232" s="548"/>
      <c r="BA232" s="548"/>
      <c r="BB232" s="546"/>
      <c r="BC232" s="547"/>
      <c r="BD232" s="548"/>
      <c r="BE232" s="548"/>
      <c r="BF232" s="546"/>
      <c r="BG232" s="547"/>
      <c r="BH232" s="548"/>
      <c r="BI232" s="548"/>
      <c r="BJ232" s="548"/>
      <c r="BK232" s="546"/>
      <c r="BL232" s="547"/>
      <c r="BM232" s="548"/>
      <c r="BN232" s="548"/>
      <c r="BO232" s="546"/>
      <c r="BP232" s="547"/>
      <c r="BQ232" s="548"/>
      <c r="BR232" s="548"/>
      <c r="BS232" s="546"/>
      <c r="BT232" s="547"/>
      <c r="BU232" s="548"/>
      <c r="BV232" s="548"/>
      <c r="BW232" s="548"/>
      <c r="BX232" s="546"/>
      <c r="BY232" s="547"/>
      <c r="BZ232" s="548"/>
      <c r="CA232" s="560"/>
      <c r="CB232" s="549"/>
      <c r="CC232" s="26"/>
    </row>
    <row r="233" spans="1:81" outlineLevel="1">
      <c r="A233" s="594">
        <v>223</v>
      </c>
      <c r="B233" s="556" t="s">
        <v>435</v>
      </c>
      <c r="C233" s="545"/>
      <c r="D233" s="557" t="str">
        <f>DureeHL($L233:$CB233)</f>
        <v/>
      </c>
      <c r="E233" s="545">
        <v>0</v>
      </c>
      <c r="F233" s="545" t="s">
        <v>532</v>
      </c>
      <c r="G233" s="589"/>
      <c r="H233" s="595"/>
      <c r="I233" s="558"/>
      <c r="J233" s="589">
        <f>IF(D233="Achat",1,IF(D233="",0,D233*7))*E233*G233</f>
        <v>0</v>
      </c>
      <c r="K233" s="590" t="str">
        <f t="shared" si="29"/>
        <v>C</v>
      </c>
      <c r="L233" s="547"/>
      <c r="M233" s="548"/>
      <c r="N233" s="548"/>
      <c r="O233" s="546"/>
      <c r="P233" s="547"/>
      <c r="Q233" s="548"/>
      <c r="R233" s="548"/>
      <c r="S233" s="546"/>
      <c r="T233" s="547"/>
      <c r="U233" s="548"/>
      <c r="V233" s="548"/>
      <c r="W233" s="548"/>
      <c r="X233" s="546"/>
      <c r="Y233" s="547"/>
      <c r="Z233" s="548"/>
      <c r="AA233" s="548"/>
      <c r="AB233" s="546"/>
      <c r="AC233" s="547"/>
      <c r="AD233" s="548"/>
      <c r="AE233" s="548"/>
      <c r="AF233" s="546"/>
      <c r="AG233" s="547"/>
      <c r="AH233" s="548"/>
      <c r="AI233" s="548"/>
      <c r="AJ233" s="546"/>
      <c r="AK233" s="547"/>
      <c r="AL233" s="548"/>
      <c r="AM233" s="548"/>
      <c r="AN233" s="548"/>
      <c r="AO233" s="546"/>
      <c r="AP233" s="547"/>
      <c r="AQ233" s="548"/>
      <c r="AR233" s="548"/>
      <c r="AS233" s="546"/>
      <c r="AT233" s="547"/>
      <c r="AU233" s="548"/>
      <c r="AV233" s="548"/>
      <c r="AW233" s="546"/>
      <c r="AX233" s="547"/>
      <c r="AY233" s="548"/>
      <c r="AZ233" s="548"/>
      <c r="BA233" s="548"/>
      <c r="BB233" s="546"/>
      <c r="BC233" s="547"/>
      <c r="BD233" s="548"/>
      <c r="BE233" s="548"/>
      <c r="BF233" s="546"/>
      <c r="BG233" s="547"/>
      <c r="BH233" s="548"/>
      <c r="BI233" s="548"/>
      <c r="BJ233" s="548"/>
      <c r="BK233" s="546"/>
      <c r="BL233" s="547"/>
      <c r="BM233" s="548"/>
      <c r="BN233" s="548"/>
      <c r="BO233" s="546"/>
      <c r="BP233" s="547"/>
      <c r="BQ233" s="548"/>
      <c r="BR233" s="548"/>
      <c r="BS233" s="546"/>
      <c r="BT233" s="547"/>
      <c r="BU233" s="548"/>
      <c r="BV233" s="548"/>
      <c r="BW233" s="548"/>
      <c r="BX233" s="546"/>
      <c r="BY233" s="547"/>
      <c r="BZ233" s="548"/>
      <c r="CA233" s="560"/>
      <c r="CB233" s="549"/>
    </row>
    <row r="234" spans="1:81" outlineLevel="1">
      <c r="A234" s="594">
        <v>224</v>
      </c>
      <c r="B234" s="556" t="s">
        <v>607</v>
      </c>
      <c r="C234" s="545"/>
      <c r="D234" s="557" t="s">
        <v>622</v>
      </c>
      <c r="E234" s="545">
        <v>0</v>
      </c>
      <c r="F234" s="545" t="s">
        <v>608</v>
      </c>
      <c r="G234" s="589"/>
      <c r="H234" s="595"/>
      <c r="I234" s="558"/>
      <c r="J234" s="589">
        <f>IF(D234="Achat",1,IF(D234="",0,D234*7))*E234*G234</f>
        <v>0</v>
      </c>
      <c r="K234" s="590" t="str">
        <f t="shared" si="29"/>
        <v>C</v>
      </c>
      <c r="L234" s="547"/>
      <c r="M234" s="548"/>
      <c r="N234" s="548"/>
      <c r="O234" s="546"/>
      <c r="P234" s="547"/>
      <c r="Q234" s="548"/>
      <c r="R234" s="548"/>
      <c r="S234" s="546"/>
      <c r="T234" s="547"/>
      <c r="U234" s="548"/>
      <c r="V234" s="548"/>
      <c r="W234" s="548"/>
      <c r="X234" s="546"/>
      <c r="Y234" s="547"/>
      <c r="Z234" s="548"/>
      <c r="AA234" s="548"/>
      <c r="AB234" s="546"/>
      <c r="AC234" s="547"/>
      <c r="AD234" s="548"/>
      <c r="AE234" s="548"/>
      <c r="AF234" s="546"/>
      <c r="AG234" s="547"/>
      <c r="AH234" s="548"/>
      <c r="AI234" s="548"/>
      <c r="AJ234" s="546"/>
      <c r="AK234" s="547"/>
      <c r="AL234" s="548"/>
      <c r="AM234" s="548"/>
      <c r="AN234" s="548"/>
      <c r="AO234" s="546"/>
      <c r="AP234" s="547"/>
      <c r="AQ234" s="548"/>
      <c r="AR234" s="548"/>
      <c r="AS234" s="546"/>
      <c r="AT234" s="547"/>
      <c r="AU234" s="548"/>
      <c r="AV234" s="548"/>
      <c r="AW234" s="546"/>
      <c r="AX234" s="547"/>
      <c r="AY234" s="548"/>
      <c r="AZ234" s="548"/>
      <c r="BA234" s="548"/>
      <c r="BB234" s="546"/>
      <c r="BC234" s="547"/>
      <c r="BD234" s="548"/>
      <c r="BE234" s="548"/>
      <c r="BF234" s="546"/>
      <c r="BG234" s="547"/>
      <c r="BH234" s="548"/>
      <c r="BI234" s="548"/>
      <c r="BJ234" s="548"/>
      <c r="BK234" s="546"/>
      <c r="BL234" s="547"/>
      <c r="BM234" s="548"/>
      <c r="BN234" s="548"/>
      <c r="BO234" s="546"/>
      <c r="BP234" s="547"/>
      <c r="BQ234" s="548"/>
      <c r="BR234" s="548"/>
      <c r="BS234" s="546"/>
      <c r="BT234" s="547"/>
      <c r="BU234" s="548"/>
      <c r="BV234" s="548"/>
      <c r="BW234" s="548"/>
      <c r="BX234" s="546"/>
      <c r="BY234" s="547"/>
      <c r="BZ234" s="548"/>
      <c r="CA234" s="560"/>
      <c r="CB234" s="549"/>
      <c r="CC234" s="26"/>
    </row>
    <row r="235" spans="1:81" outlineLevel="1">
      <c r="A235" s="601">
        <v>225</v>
      </c>
      <c r="B235" s="602"/>
      <c r="C235" s="545"/>
      <c r="D235" s="545"/>
      <c r="E235" s="545"/>
      <c r="F235" s="545"/>
      <c r="G235" s="589"/>
      <c r="H235" s="595"/>
      <c r="I235" s="558"/>
      <c r="J235" s="595" t="s">
        <v>624</v>
      </c>
      <c r="K235" s="600" t="str">
        <f t="shared" si="29"/>
        <v/>
      </c>
      <c r="L235" s="547"/>
      <c r="M235" s="548"/>
      <c r="N235" s="548"/>
      <c r="O235" s="546"/>
      <c r="P235" s="547"/>
      <c r="Q235" s="548"/>
      <c r="R235" s="548"/>
      <c r="S235" s="546"/>
      <c r="T235" s="547"/>
      <c r="U235" s="548"/>
      <c r="V235" s="548"/>
      <c r="W235" s="548"/>
      <c r="X235" s="546"/>
      <c r="Y235" s="547"/>
      <c r="Z235" s="548"/>
      <c r="AA235" s="548"/>
      <c r="AB235" s="546"/>
      <c r="AC235" s="547"/>
      <c r="AD235" s="548"/>
      <c r="AE235" s="548"/>
      <c r="AF235" s="546"/>
      <c r="AG235" s="547"/>
      <c r="AH235" s="548"/>
      <c r="AI235" s="548"/>
      <c r="AJ235" s="546"/>
      <c r="AK235" s="547"/>
      <c r="AL235" s="548"/>
      <c r="AM235" s="548"/>
      <c r="AN235" s="548"/>
      <c r="AO235" s="546"/>
      <c r="AP235" s="547"/>
      <c r="AQ235" s="548"/>
      <c r="AR235" s="548"/>
      <c r="AS235" s="546"/>
      <c r="AT235" s="547"/>
      <c r="AU235" s="548"/>
      <c r="AV235" s="548"/>
      <c r="AW235" s="546"/>
      <c r="AX235" s="547"/>
      <c r="AY235" s="548"/>
      <c r="AZ235" s="548"/>
      <c r="BA235" s="548"/>
      <c r="BB235" s="546"/>
      <c r="BC235" s="547"/>
      <c r="BD235" s="548"/>
      <c r="BE235" s="548"/>
      <c r="BF235" s="546"/>
      <c r="BG235" s="547"/>
      <c r="BH235" s="548"/>
      <c r="BI235" s="548"/>
      <c r="BJ235" s="548"/>
      <c r="BK235" s="546"/>
      <c r="BL235" s="547"/>
      <c r="BM235" s="548"/>
      <c r="BN235" s="548"/>
      <c r="BO235" s="546"/>
      <c r="BP235" s="547"/>
      <c r="BQ235" s="548"/>
      <c r="BR235" s="548"/>
      <c r="BS235" s="546"/>
      <c r="BT235" s="547"/>
      <c r="BU235" s="548"/>
      <c r="BV235" s="548"/>
      <c r="BW235" s="548"/>
      <c r="BX235" s="546"/>
      <c r="BY235" s="547"/>
      <c r="BZ235" s="548"/>
      <c r="CA235" s="560"/>
      <c r="CB235" s="549"/>
    </row>
    <row r="236" spans="1:81">
      <c r="A236" s="582">
        <v>226</v>
      </c>
      <c r="B236" s="583" t="s">
        <v>609</v>
      </c>
      <c r="C236" s="584"/>
      <c r="D236" s="584"/>
      <c r="E236" s="584"/>
      <c r="F236" s="584"/>
      <c r="G236" s="584" t="s">
        <v>594</v>
      </c>
      <c r="H236" s="585"/>
      <c r="I236" s="586" t="s">
        <v>594</v>
      </c>
      <c r="J236" s="587">
        <f>SUBTOTAL(9,J237:J248)</f>
        <v>0</v>
      </c>
      <c r="K236" s="588" t="str">
        <f t="shared" si="29"/>
        <v>C</v>
      </c>
      <c r="L236" s="547"/>
      <c r="M236" s="548"/>
      <c r="N236" s="548"/>
      <c r="O236" s="546"/>
      <c r="P236" s="547"/>
      <c r="Q236" s="548"/>
      <c r="R236" s="548"/>
      <c r="S236" s="546"/>
      <c r="T236" s="547"/>
      <c r="U236" s="548"/>
      <c r="V236" s="548"/>
      <c r="W236" s="548"/>
      <c r="X236" s="546"/>
      <c r="Y236" s="547"/>
      <c r="Z236" s="548"/>
      <c r="AA236" s="548"/>
      <c r="AB236" s="546"/>
      <c r="AC236" s="547"/>
      <c r="AD236" s="548"/>
      <c r="AE236" s="548"/>
      <c r="AF236" s="546"/>
      <c r="AG236" s="547"/>
      <c r="AH236" s="548"/>
      <c r="AI236" s="548"/>
      <c r="AJ236" s="546"/>
      <c r="AK236" s="547"/>
      <c r="AL236" s="548"/>
      <c r="AM236" s="548"/>
      <c r="AN236" s="548"/>
      <c r="AO236" s="546"/>
      <c r="AP236" s="547"/>
      <c r="AQ236" s="548"/>
      <c r="AR236" s="548"/>
      <c r="AS236" s="546"/>
      <c r="AT236" s="547"/>
      <c r="AU236" s="548"/>
      <c r="AV236" s="548"/>
      <c r="AW236" s="546"/>
      <c r="AX236" s="547"/>
      <c r="AY236" s="548"/>
      <c r="AZ236" s="548"/>
      <c r="BA236" s="548"/>
      <c r="BB236" s="546"/>
      <c r="BC236" s="547"/>
      <c r="BD236" s="548"/>
      <c r="BE236" s="548"/>
      <c r="BF236" s="546"/>
      <c r="BG236" s="547"/>
      <c r="BH236" s="548"/>
      <c r="BI236" s="548"/>
      <c r="BJ236" s="548"/>
      <c r="BK236" s="546"/>
      <c r="BL236" s="547"/>
      <c r="BM236" s="548"/>
      <c r="BN236" s="548"/>
      <c r="BO236" s="546"/>
      <c r="BP236" s="547"/>
      <c r="BQ236" s="548"/>
      <c r="BR236" s="548"/>
      <c r="BS236" s="546"/>
      <c r="BT236" s="547"/>
      <c r="BU236" s="548"/>
      <c r="BV236" s="548"/>
      <c r="BW236" s="548"/>
      <c r="BX236" s="546"/>
      <c r="BY236" s="547"/>
      <c r="BZ236" s="548"/>
      <c r="CA236" s="560"/>
      <c r="CB236" s="549"/>
    </row>
    <row r="237" spans="1:81" outlineLevel="1">
      <c r="A237" s="594">
        <v>227</v>
      </c>
      <c r="B237" s="556"/>
      <c r="C237" s="545"/>
      <c r="D237" s="545"/>
      <c r="E237" s="545"/>
      <c r="F237" s="545"/>
      <c r="G237" s="589"/>
      <c r="H237" s="595"/>
      <c r="I237" s="558"/>
      <c r="J237" s="595" t="s">
        <v>624</v>
      </c>
      <c r="K237" s="600" t="str">
        <f t="shared" si="29"/>
        <v/>
      </c>
      <c r="L237" s="547"/>
      <c r="M237" s="548"/>
      <c r="N237" s="548"/>
      <c r="O237" s="546"/>
      <c r="P237" s="547"/>
      <c r="Q237" s="548"/>
      <c r="R237" s="548"/>
      <c r="S237" s="546"/>
      <c r="T237" s="547"/>
      <c r="U237" s="548"/>
      <c r="V237" s="548"/>
      <c r="W237" s="548"/>
      <c r="X237" s="546"/>
      <c r="Y237" s="547"/>
      <c r="Z237" s="548"/>
      <c r="AA237" s="548"/>
      <c r="AB237" s="546"/>
      <c r="AC237" s="547"/>
      <c r="AD237" s="548"/>
      <c r="AE237" s="548"/>
      <c r="AF237" s="546"/>
      <c r="AG237" s="547"/>
      <c r="AH237" s="548"/>
      <c r="AI237" s="548"/>
      <c r="AJ237" s="546"/>
      <c r="AK237" s="547"/>
      <c r="AL237" s="548"/>
      <c r="AM237" s="548"/>
      <c r="AN237" s="548"/>
      <c r="AO237" s="546"/>
      <c r="AP237" s="547"/>
      <c r="AQ237" s="548"/>
      <c r="AR237" s="548"/>
      <c r="AS237" s="546"/>
      <c r="AT237" s="547"/>
      <c r="AU237" s="548"/>
      <c r="AV237" s="548"/>
      <c r="AW237" s="546"/>
      <c r="AX237" s="547"/>
      <c r="AY237" s="548"/>
      <c r="AZ237" s="548"/>
      <c r="BA237" s="548"/>
      <c r="BB237" s="546"/>
      <c r="BC237" s="547"/>
      <c r="BD237" s="548"/>
      <c r="BE237" s="548"/>
      <c r="BF237" s="546"/>
      <c r="BG237" s="547"/>
      <c r="BH237" s="548"/>
      <c r="BI237" s="548"/>
      <c r="BJ237" s="548"/>
      <c r="BK237" s="546"/>
      <c r="BL237" s="547"/>
      <c r="BM237" s="548"/>
      <c r="BN237" s="548"/>
      <c r="BO237" s="546"/>
      <c r="BP237" s="547"/>
      <c r="BQ237" s="548"/>
      <c r="BR237" s="548"/>
      <c r="BS237" s="546"/>
      <c r="BT237" s="547"/>
      <c r="BU237" s="548"/>
      <c r="BV237" s="548"/>
      <c r="BW237" s="548"/>
      <c r="BX237" s="546"/>
      <c r="BY237" s="547"/>
      <c r="BZ237" s="548"/>
      <c r="CA237" s="560"/>
      <c r="CB237" s="549"/>
    </row>
    <row r="238" spans="1:81" outlineLevel="1">
      <c r="A238" s="594">
        <v>228</v>
      </c>
      <c r="B238" s="556" t="s">
        <v>571</v>
      </c>
      <c r="C238" s="545"/>
      <c r="D238" s="557">
        <v>0</v>
      </c>
      <c r="E238" s="545">
        <v>4</v>
      </c>
      <c r="F238" s="545" t="s">
        <v>532</v>
      </c>
      <c r="G238" s="589">
        <v>3</v>
      </c>
      <c r="H238" s="595"/>
      <c r="I238" s="558"/>
      <c r="J238" s="589">
        <f t="shared" ref="J238:J247" si="30">IF(D238="Achat",1,IF(D238="",0,D238*7))*E238*G238</f>
        <v>0</v>
      </c>
      <c r="K238" s="590" t="str">
        <f t="shared" si="29"/>
        <v>C</v>
      </c>
      <c r="L238" s="547"/>
      <c r="M238" s="548"/>
      <c r="N238" s="548"/>
      <c r="O238" s="546"/>
      <c r="P238" s="547"/>
      <c r="Q238" s="548"/>
      <c r="R238" s="548"/>
      <c r="S238" s="546"/>
      <c r="T238" s="547"/>
      <c r="U238" s="548"/>
      <c r="V238" s="548"/>
      <c r="W238" s="548"/>
      <c r="X238" s="546"/>
      <c r="Y238" s="547"/>
      <c r="Z238" s="548"/>
      <c r="AA238" s="548"/>
      <c r="AB238" s="546"/>
      <c r="AC238" s="547"/>
      <c r="AD238" s="548"/>
      <c r="AE238" s="548"/>
      <c r="AF238" s="546"/>
      <c r="AG238" s="547"/>
      <c r="AH238" s="548"/>
      <c r="AI238" s="548"/>
      <c r="AJ238" s="546"/>
      <c r="AK238" s="547"/>
      <c r="AL238" s="548"/>
      <c r="AM238" s="548"/>
      <c r="AN238" s="548"/>
      <c r="AO238" s="546"/>
      <c r="AP238" s="547"/>
      <c r="AQ238" s="548"/>
      <c r="AR238" s="548"/>
      <c r="AS238" s="546"/>
      <c r="AT238" s="547"/>
      <c r="AU238" s="548"/>
      <c r="AV238" s="548"/>
      <c r="AW238" s="546"/>
      <c r="AX238" s="547"/>
      <c r="AY238" s="548"/>
      <c r="AZ238" s="548"/>
      <c r="BA238" s="548"/>
      <c r="BB238" s="546"/>
      <c r="BC238" s="547"/>
      <c r="BD238" s="548"/>
      <c r="BE238" s="548"/>
      <c r="BF238" s="546"/>
      <c r="BG238" s="547"/>
      <c r="BH238" s="548"/>
      <c r="BI238" s="548"/>
      <c r="BJ238" s="548"/>
      <c r="BK238" s="546"/>
      <c r="BL238" s="547"/>
      <c r="BM238" s="548"/>
      <c r="BN238" s="548"/>
      <c r="BO238" s="546"/>
      <c r="BP238" s="547"/>
      <c r="BQ238" s="548"/>
      <c r="BR238" s="548"/>
      <c r="BS238" s="546"/>
      <c r="BT238" s="547"/>
      <c r="BU238" s="548"/>
      <c r="BV238" s="548"/>
      <c r="BW238" s="548"/>
      <c r="BX238" s="546"/>
      <c r="BY238" s="547"/>
      <c r="BZ238" s="548"/>
      <c r="CA238" s="560"/>
      <c r="CB238" s="549"/>
    </row>
    <row r="239" spans="1:81" outlineLevel="1">
      <c r="A239" s="594">
        <v>229</v>
      </c>
      <c r="B239" s="556" t="s">
        <v>542</v>
      </c>
      <c r="C239" s="545"/>
      <c r="D239" s="557">
        <v>0</v>
      </c>
      <c r="E239" s="545">
        <v>1</v>
      </c>
      <c r="F239" s="545" t="s">
        <v>532</v>
      </c>
      <c r="G239" s="589">
        <v>18</v>
      </c>
      <c r="H239" s="595"/>
      <c r="I239" s="558"/>
      <c r="J239" s="589">
        <f t="shared" si="30"/>
        <v>0</v>
      </c>
      <c r="K239" s="590" t="str">
        <f t="shared" si="29"/>
        <v>C</v>
      </c>
      <c r="L239" s="547"/>
      <c r="M239" s="548"/>
      <c r="N239" s="548"/>
      <c r="O239" s="546"/>
      <c r="P239" s="547"/>
      <c r="Q239" s="548"/>
      <c r="R239" s="548"/>
      <c r="S239" s="546"/>
      <c r="T239" s="547"/>
      <c r="U239" s="548"/>
      <c r="V239" s="548"/>
      <c r="W239" s="548"/>
      <c r="X239" s="546"/>
      <c r="Y239" s="547"/>
      <c r="Z239" s="548"/>
      <c r="AA239" s="548"/>
      <c r="AB239" s="546"/>
      <c r="AC239" s="547"/>
      <c r="AD239" s="548"/>
      <c r="AE239" s="548"/>
      <c r="AF239" s="546"/>
      <c r="AG239" s="547"/>
      <c r="AH239" s="548"/>
      <c r="AI239" s="548"/>
      <c r="AJ239" s="546"/>
      <c r="AK239" s="547"/>
      <c r="AL239" s="548"/>
      <c r="AM239" s="548"/>
      <c r="AN239" s="548"/>
      <c r="AO239" s="546"/>
      <c r="AP239" s="547"/>
      <c r="AQ239" s="548"/>
      <c r="AR239" s="548"/>
      <c r="AS239" s="546"/>
      <c r="AT239" s="547"/>
      <c r="AU239" s="548"/>
      <c r="AV239" s="548"/>
      <c r="AW239" s="546"/>
      <c r="AX239" s="547"/>
      <c r="AY239" s="548"/>
      <c r="AZ239" s="548"/>
      <c r="BA239" s="548"/>
      <c r="BB239" s="546"/>
      <c r="BC239" s="547"/>
      <c r="BD239" s="548"/>
      <c r="BE239" s="548"/>
      <c r="BF239" s="546"/>
      <c r="BG239" s="547"/>
      <c r="BH239" s="548"/>
      <c r="BI239" s="548"/>
      <c r="BJ239" s="548"/>
      <c r="BK239" s="546"/>
      <c r="BL239" s="547"/>
      <c r="BM239" s="548"/>
      <c r="BN239" s="548"/>
      <c r="BO239" s="546"/>
      <c r="BP239" s="547"/>
      <c r="BQ239" s="548"/>
      <c r="BR239" s="548"/>
      <c r="BS239" s="546"/>
      <c r="BT239" s="547"/>
      <c r="BU239" s="548"/>
      <c r="BV239" s="548"/>
      <c r="BW239" s="548"/>
      <c r="BX239" s="546"/>
      <c r="BY239" s="547"/>
      <c r="BZ239" s="548"/>
      <c r="CA239" s="560"/>
      <c r="CB239" s="549"/>
    </row>
    <row r="240" spans="1:81" outlineLevel="1">
      <c r="A240" s="594">
        <v>230</v>
      </c>
      <c r="B240" s="556" t="s">
        <v>541</v>
      </c>
      <c r="C240" s="545"/>
      <c r="D240" s="557">
        <v>0</v>
      </c>
      <c r="E240" s="545">
        <v>4</v>
      </c>
      <c r="F240" s="545" t="s">
        <v>532</v>
      </c>
      <c r="G240" s="589">
        <v>3</v>
      </c>
      <c r="H240" s="595"/>
      <c r="I240" s="558"/>
      <c r="J240" s="589">
        <f t="shared" si="30"/>
        <v>0</v>
      </c>
      <c r="K240" s="590" t="str">
        <f t="shared" si="29"/>
        <v>C</v>
      </c>
      <c r="L240" s="547"/>
      <c r="M240" s="548"/>
      <c r="N240" s="548"/>
      <c r="O240" s="546"/>
      <c r="P240" s="547"/>
      <c r="Q240" s="548"/>
      <c r="R240" s="548"/>
      <c r="S240" s="546"/>
      <c r="T240" s="547"/>
      <c r="U240" s="548"/>
      <c r="V240" s="548"/>
      <c r="W240" s="548"/>
      <c r="X240" s="546"/>
      <c r="Y240" s="547"/>
      <c r="Z240" s="548"/>
      <c r="AA240" s="548"/>
      <c r="AB240" s="546"/>
      <c r="AC240" s="547"/>
      <c r="AD240" s="548"/>
      <c r="AE240" s="548"/>
      <c r="AF240" s="546"/>
      <c r="AG240" s="547"/>
      <c r="AH240" s="548"/>
      <c r="AI240" s="548"/>
      <c r="AJ240" s="546"/>
      <c r="AK240" s="547"/>
      <c r="AL240" s="548"/>
      <c r="AM240" s="548"/>
      <c r="AN240" s="548"/>
      <c r="AO240" s="546"/>
      <c r="AP240" s="547"/>
      <c r="AQ240" s="548"/>
      <c r="AR240" s="548"/>
      <c r="AS240" s="546"/>
      <c r="AT240" s="547"/>
      <c r="AU240" s="548"/>
      <c r="AV240" s="548"/>
      <c r="AW240" s="546"/>
      <c r="AX240" s="547"/>
      <c r="AY240" s="548"/>
      <c r="AZ240" s="548"/>
      <c r="BA240" s="548"/>
      <c r="BB240" s="546"/>
      <c r="BC240" s="547"/>
      <c r="BD240" s="548"/>
      <c r="BE240" s="548"/>
      <c r="BF240" s="546"/>
      <c r="BG240" s="547"/>
      <c r="BH240" s="548"/>
      <c r="BI240" s="548"/>
      <c r="BJ240" s="548"/>
      <c r="BK240" s="546"/>
      <c r="BL240" s="547"/>
      <c r="BM240" s="548"/>
      <c r="BN240" s="548"/>
      <c r="BO240" s="546"/>
      <c r="BP240" s="547"/>
      <c r="BQ240" s="548"/>
      <c r="BR240" s="548"/>
      <c r="BS240" s="546"/>
      <c r="BT240" s="547"/>
      <c r="BU240" s="548"/>
      <c r="BV240" s="548"/>
      <c r="BW240" s="548"/>
      <c r="BX240" s="546"/>
      <c r="BY240" s="547"/>
      <c r="BZ240" s="548"/>
      <c r="CA240" s="560"/>
      <c r="CB240" s="549"/>
    </row>
    <row r="241" spans="1:80" outlineLevel="1">
      <c r="A241" s="594">
        <v>231</v>
      </c>
      <c r="B241" s="556" t="s">
        <v>540</v>
      </c>
      <c r="C241" s="545"/>
      <c r="D241" s="557">
        <v>0</v>
      </c>
      <c r="E241" s="545">
        <v>1</v>
      </c>
      <c r="F241" s="545" t="s">
        <v>532</v>
      </c>
      <c r="G241" s="589">
        <v>16</v>
      </c>
      <c r="H241" s="595"/>
      <c r="I241" s="558"/>
      <c r="J241" s="589">
        <f t="shared" si="30"/>
        <v>0</v>
      </c>
      <c r="K241" s="590" t="str">
        <f t="shared" si="29"/>
        <v>C</v>
      </c>
      <c r="L241" s="547"/>
      <c r="M241" s="548"/>
      <c r="N241" s="548"/>
      <c r="O241" s="546"/>
      <c r="P241" s="547"/>
      <c r="Q241" s="548"/>
      <c r="R241" s="548"/>
      <c r="S241" s="546"/>
      <c r="T241" s="547"/>
      <c r="U241" s="548"/>
      <c r="V241" s="548"/>
      <c r="W241" s="548"/>
      <c r="X241" s="546"/>
      <c r="Y241" s="547"/>
      <c r="Z241" s="548"/>
      <c r="AA241" s="548"/>
      <c r="AB241" s="546"/>
      <c r="AC241" s="547"/>
      <c r="AD241" s="548"/>
      <c r="AE241" s="548"/>
      <c r="AF241" s="546"/>
      <c r="AG241" s="547"/>
      <c r="AH241" s="548"/>
      <c r="AI241" s="548"/>
      <c r="AJ241" s="546"/>
      <c r="AK241" s="547"/>
      <c r="AL241" s="548"/>
      <c r="AM241" s="548"/>
      <c r="AN241" s="548"/>
      <c r="AO241" s="546"/>
      <c r="AP241" s="547"/>
      <c r="AQ241" s="548"/>
      <c r="AR241" s="548"/>
      <c r="AS241" s="546"/>
      <c r="AT241" s="547"/>
      <c r="AU241" s="548"/>
      <c r="AV241" s="548"/>
      <c r="AW241" s="546"/>
      <c r="AX241" s="547"/>
      <c r="AY241" s="548"/>
      <c r="AZ241" s="548"/>
      <c r="BA241" s="548"/>
      <c r="BB241" s="546"/>
      <c r="BC241" s="547"/>
      <c r="BD241" s="548"/>
      <c r="BE241" s="548"/>
      <c r="BF241" s="546"/>
      <c r="BG241" s="547"/>
      <c r="BH241" s="548"/>
      <c r="BI241" s="548"/>
      <c r="BJ241" s="548"/>
      <c r="BK241" s="546"/>
      <c r="BL241" s="547"/>
      <c r="BM241" s="548"/>
      <c r="BN241" s="548"/>
      <c r="BO241" s="546"/>
      <c r="BP241" s="547"/>
      <c r="BQ241" s="548"/>
      <c r="BR241" s="548"/>
      <c r="BS241" s="546"/>
      <c r="BT241" s="547"/>
      <c r="BU241" s="548"/>
      <c r="BV241" s="548"/>
      <c r="BW241" s="548"/>
      <c r="BX241" s="546"/>
      <c r="BY241" s="547"/>
      <c r="BZ241" s="548"/>
      <c r="CA241" s="560"/>
      <c r="CB241" s="549"/>
    </row>
    <row r="242" spans="1:80" outlineLevel="1">
      <c r="A242" s="594">
        <v>232</v>
      </c>
      <c r="B242" s="556" t="s">
        <v>610</v>
      </c>
      <c r="C242" s="545"/>
      <c r="D242" s="557">
        <v>0</v>
      </c>
      <c r="E242" s="545">
        <v>0</v>
      </c>
      <c r="F242" s="545" t="s">
        <v>532</v>
      </c>
      <c r="G242" s="589">
        <v>2.4</v>
      </c>
      <c r="H242" s="595"/>
      <c r="I242" s="558"/>
      <c r="J242" s="589">
        <f t="shared" si="30"/>
        <v>0</v>
      </c>
      <c r="K242" s="590" t="str">
        <f t="shared" si="29"/>
        <v>C</v>
      </c>
      <c r="L242" s="547"/>
      <c r="M242" s="548"/>
      <c r="N242" s="548"/>
      <c r="O242" s="546"/>
      <c r="P242" s="547"/>
      <c r="Q242" s="548"/>
      <c r="R242" s="548"/>
      <c r="S242" s="546"/>
      <c r="T242" s="547"/>
      <c r="U242" s="548"/>
      <c r="V242" s="548"/>
      <c r="W242" s="548"/>
      <c r="X242" s="546"/>
      <c r="Y242" s="547"/>
      <c r="Z242" s="548"/>
      <c r="AA242" s="548"/>
      <c r="AB242" s="546"/>
      <c r="AC242" s="547"/>
      <c r="AD242" s="548"/>
      <c r="AE242" s="548"/>
      <c r="AF242" s="546"/>
      <c r="AG242" s="547"/>
      <c r="AH242" s="548"/>
      <c r="AI242" s="548"/>
      <c r="AJ242" s="546"/>
      <c r="AK242" s="547"/>
      <c r="AL242" s="548"/>
      <c r="AM242" s="548"/>
      <c r="AN242" s="548"/>
      <c r="AO242" s="546"/>
      <c r="AP242" s="547"/>
      <c r="AQ242" s="548"/>
      <c r="AR242" s="548"/>
      <c r="AS242" s="546"/>
      <c r="AT242" s="547"/>
      <c r="AU242" s="548"/>
      <c r="AV242" s="548"/>
      <c r="AW242" s="546"/>
      <c r="AX242" s="547"/>
      <c r="AY242" s="548"/>
      <c r="AZ242" s="548"/>
      <c r="BA242" s="548"/>
      <c r="BB242" s="546"/>
      <c r="BC242" s="547"/>
      <c r="BD242" s="548"/>
      <c r="BE242" s="548"/>
      <c r="BF242" s="546"/>
      <c r="BG242" s="547"/>
      <c r="BH242" s="548"/>
      <c r="BI242" s="548"/>
      <c r="BJ242" s="548"/>
      <c r="BK242" s="546"/>
      <c r="BL242" s="547"/>
      <c r="BM242" s="548"/>
      <c r="BN242" s="548"/>
      <c r="BO242" s="546"/>
      <c r="BP242" s="547"/>
      <c r="BQ242" s="548"/>
      <c r="BR242" s="548"/>
      <c r="BS242" s="546"/>
      <c r="BT242" s="547"/>
      <c r="BU242" s="548"/>
      <c r="BV242" s="548"/>
      <c r="BW242" s="548"/>
      <c r="BX242" s="546"/>
      <c r="BY242" s="547"/>
      <c r="BZ242" s="548"/>
      <c r="CA242" s="560"/>
      <c r="CB242" s="549"/>
    </row>
    <row r="243" spans="1:80" outlineLevel="1">
      <c r="A243" s="594">
        <v>233</v>
      </c>
      <c r="B243" s="556" t="s">
        <v>611</v>
      </c>
      <c r="C243" s="545"/>
      <c r="D243" s="557">
        <v>0</v>
      </c>
      <c r="E243" s="545">
        <v>1</v>
      </c>
      <c r="F243" s="545" t="s">
        <v>532</v>
      </c>
      <c r="G243" s="589">
        <v>0.95499999999999996</v>
      </c>
      <c r="H243" s="595"/>
      <c r="I243" s="558"/>
      <c r="J243" s="589">
        <f t="shared" si="30"/>
        <v>0</v>
      </c>
      <c r="K243" s="590" t="str">
        <f t="shared" si="29"/>
        <v>C</v>
      </c>
      <c r="L243" s="547"/>
      <c r="M243" s="548"/>
      <c r="N243" s="548"/>
      <c r="O243" s="546"/>
      <c r="P243" s="547"/>
      <c r="Q243" s="548"/>
      <c r="R243" s="548"/>
      <c r="S243" s="546"/>
      <c r="T243" s="547"/>
      <c r="U243" s="548"/>
      <c r="V243" s="548"/>
      <c r="W243" s="548"/>
      <c r="X243" s="546"/>
      <c r="Y243" s="547"/>
      <c r="Z243" s="548"/>
      <c r="AA243" s="548"/>
      <c r="AB243" s="546"/>
      <c r="AC243" s="547"/>
      <c r="AD243" s="548"/>
      <c r="AE243" s="548"/>
      <c r="AF243" s="546"/>
      <c r="AG243" s="547"/>
      <c r="AH243" s="548"/>
      <c r="AI243" s="548"/>
      <c r="AJ243" s="546"/>
      <c r="AK243" s="547"/>
      <c r="AL243" s="548"/>
      <c r="AM243" s="548"/>
      <c r="AN243" s="548"/>
      <c r="AO243" s="546"/>
      <c r="AP243" s="547"/>
      <c r="AQ243" s="548"/>
      <c r="AR243" s="548"/>
      <c r="AS243" s="546"/>
      <c r="AT243" s="547"/>
      <c r="AU243" s="548"/>
      <c r="AV243" s="548"/>
      <c r="AW243" s="546"/>
      <c r="AX243" s="547"/>
      <c r="AY243" s="548"/>
      <c r="AZ243" s="548"/>
      <c r="BA243" s="548"/>
      <c r="BB243" s="546"/>
      <c r="BC243" s="547"/>
      <c r="BD243" s="548"/>
      <c r="BE243" s="548"/>
      <c r="BF243" s="546"/>
      <c r="BG243" s="547"/>
      <c r="BH243" s="548"/>
      <c r="BI243" s="548"/>
      <c r="BJ243" s="548"/>
      <c r="BK243" s="546"/>
      <c r="BL243" s="547"/>
      <c r="BM243" s="548"/>
      <c r="BN243" s="548"/>
      <c r="BO243" s="546"/>
      <c r="BP243" s="547"/>
      <c r="BQ243" s="548"/>
      <c r="BR243" s="548"/>
      <c r="BS243" s="546"/>
      <c r="BT243" s="547"/>
      <c r="BU243" s="548"/>
      <c r="BV243" s="548"/>
      <c r="BW243" s="548"/>
      <c r="BX243" s="546"/>
      <c r="BY243" s="547"/>
      <c r="BZ243" s="548"/>
      <c r="CA243" s="560"/>
      <c r="CB243" s="549"/>
    </row>
    <row r="244" spans="1:80" outlineLevel="1">
      <c r="A244" s="594">
        <v>234</v>
      </c>
      <c r="B244" s="556" t="s">
        <v>612</v>
      </c>
      <c r="C244" s="545"/>
      <c r="D244" s="557">
        <v>0</v>
      </c>
      <c r="E244" s="545">
        <v>1</v>
      </c>
      <c r="F244" s="545" t="s">
        <v>532</v>
      </c>
      <c r="G244" s="589">
        <v>3.7</v>
      </c>
      <c r="H244" s="595"/>
      <c r="I244" s="558"/>
      <c r="J244" s="589">
        <f t="shared" si="30"/>
        <v>0</v>
      </c>
      <c r="K244" s="590" t="str">
        <f t="shared" si="29"/>
        <v>C</v>
      </c>
      <c r="L244" s="547"/>
      <c r="M244" s="548"/>
      <c r="N244" s="548"/>
      <c r="O244" s="546"/>
      <c r="P244" s="547"/>
      <c r="Q244" s="548"/>
      <c r="R244" s="548"/>
      <c r="S244" s="546"/>
      <c r="T244" s="547"/>
      <c r="U244" s="548"/>
      <c r="V244" s="548"/>
      <c r="W244" s="548"/>
      <c r="X244" s="546"/>
      <c r="Y244" s="547"/>
      <c r="Z244" s="548"/>
      <c r="AA244" s="548"/>
      <c r="AB244" s="546"/>
      <c r="AC244" s="547"/>
      <c r="AD244" s="548"/>
      <c r="AE244" s="548"/>
      <c r="AF244" s="546"/>
      <c r="AG244" s="547"/>
      <c r="AH244" s="548"/>
      <c r="AI244" s="548"/>
      <c r="AJ244" s="546"/>
      <c r="AK244" s="547"/>
      <c r="AL244" s="548"/>
      <c r="AM244" s="548"/>
      <c r="AN244" s="548"/>
      <c r="AO244" s="546"/>
      <c r="AP244" s="547"/>
      <c r="AQ244" s="548"/>
      <c r="AR244" s="548"/>
      <c r="AS244" s="546"/>
      <c r="AT244" s="547"/>
      <c r="AU244" s="548"/>
      <c r="AV244" s="548"/>
      <c r="AW244" s="546"/>
      <c r="AX244" s="547"/>
      <c r="AY244" s="548"/>
      <c r="AZ244" s="548"/>
      <c r="BA244" s="548"/>
      <c r="BB244" s="546"/>
      <c r="BC244" s="547"/>
      <c r="BD244" s="548"/>
      <c r="BE244" s="548"/>
      <c r="BF244" s="546"/>
      <c r="BG244" s="547"/>
      <c r="BH244" s="548"/>
      <c r="BI244" s="548"/>
      <c r="BJ244" s="548"/>
      <c r="BK244" s="546"/>
      <c r="BL244" s="547"/>
      <c r="BM244" s="548"/>
      <c r="BN244" s="548"/>
      <c r="BO244" s="546"/>
      <c r="BP244" s="547"/>
      <c r="BQ244" s="548"/>
      <c r="BR244" s="548"/>
      <c r="BS244" s="546"/>
      <c r="BT244" s="547"/>
      <c r="BU244" s="548"/>
      <c r="BV244" s="548"/>
      <c r="BW244" s="548"/>
      <c r="BX244" s="546"/>
      <c r="BY244" s="547"/>
      <c r="BZ244" s="548"/>
      <c r="CA244" s="560"/>
      <c r="CB244" s="549"/>
    </row>
    <row r="245" spans="1:80" outlineLevel="1">
      <c r="A245" s="594">
        <v>235</v>
      </c>
      <c r="B245" s="556" t="s">
        <v>613</v>
      </c>
      <c r="C245" s="545"/>
      <c r="D245" s="557">
        <v>0</v>
      </c>
      <c r="E245" s="545">
        <v>1</v>
      </c>
      <c r="F245" s="545" t="s">
        <v>532</v>
      </c>
      <c r="G245" s="589">
        <v>4.3</v>
      </c>
      <c r="H245" s="595"/>
      <c r="I245" s="558"/>
      <c r="J245" s="589">
        <f t="shared" si="30"/>
        <v>0</v>
      </c>
      <c r="K245" s="590" t="str">
        <f t="shared" si="29"/>
        <v>C</v>
      </c>
      <c r="L245" s="547"/>
      <c r="M245" s="548"/>
      <c r="N245" s="548"/>
      <c r="O245" s="546"/>
      <c r="P245" s="547"/>
      <c r="Q245" s="548"/>
      <c r="R245" s="548"/>
      <c r="S245" s="546"/>
      <c r="T245" s="547"/>
      <c r="U245" s="548"/>
      <c r="V245" s="548"/>
      <c r="W245" s="548"/>
      <c r="X245" s="546"/>
      <c r="Y245" s="547"/>
      <c r="Z245" s="548"/>
      <c r="AA245" s="548"/>
      <c r="AB245" s="546"/>
      <c r="AC245" s="547"/>
      <c r="AD245" s="548"/>
      <c r="AE245" s="548"/>
      <c r="AF245" s="546"/>
      <c r="AG245" s="547"/>
      <c r="AH245" s="548"/>
      <c r="AI245" s="548"/>
      <c r="AJ245" s="546"/>
      <c r="AK245" s="547"/>
      <c r="AL245" s="548"/>
      <c r="AM245" s="548"/>
      <c r="AN245" s="548"/>
      <c r="AO245" s="546"/>
      <c r="AP245" s="547"/>
      <c r="AQ245" s="548"/>
      <c r="AR245" s="548"/>
      <c r="AS245" s="546"/>
      <c r="AT245" s="547"/>
      <c r="AU245" s="548"/>
      <c r="AV245" s="548"/>
      <c r="AW245" s="546"/>
      <c r="AX245" s="547"/>
      <c r="AY245" s="548"/>
      <c r="AZ245" s="548"/>
      <c r="BA245" s="548"/>
      <c r="BB245" s="546"/>
      <c r="BC245" s="547"/>
      <c r="BD245" s="548"/>
      <c r="BE245" s="548"/>
      <c r="BF245" s="546"/>
      <c r="BG245" s="547"/>
      <c r="BH245" s="548"/>
      <c r="BI245" s="548"/>
      <c r="BJ245" s="548"/>
      <c r="BK245" s="546"/>
      <c r="BL245" s="547"/>
      <c r="BM245" s="548"/>
      <c r="BN245" s="548"/>
      <c r="BO245" s="546"/>
      <c r="BP245" s="547"/>
      <c r="BQ245" s="548"/>
      <c r="BR245" s="548"/>
      <c r="BS245" s="546"/>
      <c r="BT245" s="547"/>
      <c r="BU245" s="548"/>
      <c r="BV245" s="548"/>
      <c r="BW245" s="548"/>
      <c r="BX245" s="546"/>
      <c r="BY245" s="547"/>
      <c r="BZ245" s="548"/>
      <c r="CA245" s="560"/>
      <c r="CB245" s="549"/>
    </row>
    <row r="246" spans="1:80" outlineLevel="1">
      <c r="A246" s="594">
        <v>236</v>
      </c>
      <c r="B246" s="556" t="s">
        <v>536</v>
      </c>
      <c r="C246" s="545"/>
      <c r="D246" s="557">
        <v>0</v>
      </c>
      <c r="E246" s="545">
        <v>1</v>
      </c>
      <c r="F246" s="545" t="s">
        <v>532</v>
      </c>
      <c r="G246" s="589">
        <v>3.33</v>
      </c>
      <c r="H246" s="558"/>
      <c r="I246" s="558"/>
      <c r="J246" s="589">
        <f t="shared" si="30"/>
        <v>0</v>
      </c>
      <c r="K246" s="590" t="str">
        <f t="shared" si="29"/>
        <v>C</v>
      </c>
      <c r="L246" s="547"/>
      <c r="M246" s="548"/>
      <c r="N246" s="548"/>
      <c r="O246" s="546"/>
      <c r="P246" s="547"/>
      <c r="Q246" s="548"/>
      <c r="R246" s="548"/>
      <c r="S246" s="546"/>
      <c r="T246" s="547"/>
      <c r="U246" s="548"/>
      <c r="V246" s="548"/>
      <c r="W246" s="548"/>
      <c r="X246" s="546"/>
      <c r="Y246" s="547"/>
      <c r="Z246" s="548"/>
      <c r="AA246" s="548"/>
      <c r="AB246" s="546"/>
      <c r="AC246" s="547"/>
      <c r="AD246" s="548"/>
      <c r="AE246" s="548"/>
      <c r="AF246" s="546"/>
      <c r="AG246" s="547"/>
      <c r="AH246" s="548"/>
      <c r="AI246" s="548"/>
      <c r="AJ246" s="546"/>
      <c r="AK246" s="547"/>
      <c r="AL246" s="548"/>
      <c r="AM246" s="548"/>
      <c r="AN246" s="548"/>
      <c r="AO246" s="546"/>
      <c r="AP246" s="547"/>
      <c r="AQ246" s="548"/>
      <c r="AR246" s="548"/>
      <c r="AS246" s="546"/>
      <c r="AT246" s="547"/>
      <c r="AU246" s="548"/>
      <c r="AV246" s="548"/>
      <c r="AW246" s="546"/>
      <c r="AX246" s="547"/>
      <c r="AY246" s="548"/>
      <c r="AZ246" s="548"/>
      <c r="BA246" s="548"/>
      <c r="BB246" s="546"/>
      <c r="BC246" s="547"/>
      <c r="BD246" s="548"/>
      <c r="BE246" s="548"/>
      <c r="BF246" s="546"/>
      <c r="BG246" s="547"/>
      <c r="BH246" s="548"/>
      <c r="BI246" s="548"/>
      <c r="BJ246" s="548"/>
      <c r="BK246" s="546"/>
      <c r="BL246" s="547"/>
      <c r="BM246" s="548"/>
      <c r="BN246" s="548"/>
      <c r="BO246" s="546"/>
      <c r="BP246" s="547"/>
      <c r="BQ246" s="548"/>
      <c r="BR246" s="548"/>
      <c r="BS246" s="546"/>
      <c r="BT246" s="547"/>
      <c r="BU246" s="548"/>
      <c r="BV246" s="548"/>
      <c r="BW246" s="548"/>
      <c r="BX246" s="546"/>
      <c r="BY246" s="547"/>
      <c r="BZ246" s="548"/>
      <c r="CA246" s="560"/>
      <c r="CB246" s="549"/>
    </row>
    <row r="247" spans="1:80" outlineLevel="1">
      <c r="A247" s="594">
        <v>237</v>
      </c>
      <c r="B247" s="556" t="s">
        <v>537</v>
      </c>
      <c r="C247" s="545"/>
      <c r="D247" s="557">
        <v>0</v>
      </c>
      <c r="E247" s="545">
        <v>1</v>
      </c>
      <c r="F247" s="545" t="s">
        <v>532</v>
      </c>
      <c r="G247" s="589">
        <v>2.1</v>
      </c>
      <c r="H247" s="558"/>
      <c r="I247" s="558"/>
      <c r="J247" s="589">
        <f t="shared" si="30"/>
        <v>0</v>
      </c>
      <c r="K247" s="590" t="str">
        <f t="shared" si="29"/>
        <v>C</v>
      </c>
      <c r="L247" s="547"/>
      <c r="M247" s="548"/>
      <c r="N247" s="548"/>
      <c r="O247" s="546"/>
      <c r="P247" s="547"/>
      <c r="Q247" s="548"/>
      <c r="R247" s="548"/>
      <c r="S247" s="546"/>
      <c r="T247" s="547"/>
      <c r="U247" s="548"/>
      <c r="V247" s="548"/>
      <c r="W247" s="548"/>
      <c r="X247" s="546"/>
      <c r="Y247" s="547"/>
      <c r="Z247" s="548"/>
      <c r="AA247" s="548"/>
      <c r="AB247" s="546"/>
      <c r="AC247" s="547"/>
      <c r="AD247" s="548"/>
      <c r="AE247" s="548"/>
      <c r="AF247" s="546"/>
      <c r="AG247" s="547"/>
      <c r="AH247" s="548"/>
      <c r="AI247" s="548"/>
      <c r="AJ247" s="546"/>
      <c r="AK247" s="547"/>
      <c r="AL247" s="548"/>
      <c r="AM247" s="548"/>
      <c r="AN247" s="548"/>
      <c r="AO247" s="546"/>
      <c r="AP247" s="547"/>
      <c r="AQ247" s="548"/>
      <c r="AR247" s="548"/>
      <c r="AS247" s="546"/>
      <c r="AT247" s="547"/>
      <c r="AU247" s="548"/>
      <c r="AV247" s="548"/>
      <c r="AW247" s="546"/>
      <c r="AX247" s="547"/>
      <c r="AY247" s="548"/>
      <c r="AZ247" s="548"/>
      <c r="BA247" s="548"/>
      <c r="BB247" s="546"/>
      <c r="BC247" s="547"/>
      <c r="BD247" s="548"/>
      <c r="BE247" s="548"/>
      <c r="BF247" s="546"/>
      <c r="BG247" s="547"/>
      <c r="BH247" s="548"/>
      <c r="BI247" s="548"/>
      <c r="BJ247" s="548"/>
      <c r="BK247" s="546"/>
      <c r="BL247" s="547"/>
      <c r="BM247" s="548"/>
      <c r="BN247" s="548"/>
      <c r="BO247" s="546"/>
      <c r="BP247" s="547"/>
      <c r="BQ247" s="548"/>
      <c r="BR247" s="548"/>
      <c r="BS247" s="546"/>
      <c r="BT247" s="547"/>
      <c r="BU247" s="548"/>
      <c r="BV247" s="548"/>
      <c r="BW247" s="548"/>
      <c r="BX247" s="546"/>
      <c r="BY247" s="547"/>
      <c r="BZ247" s="548"/>
      <c r="CA247" s="560"/>
      <c r="CB247" s="549"/>
    </row>
    <row r="248" spans="1:80" outlineLevel="1">
      <c r="A248" s="515">
        <v>238</v>
      </c>
      <c r="B248" s="545"/>
      <c r="C248" s="545"/>
      <c r="D248" s="545"/>
      <c r="E248" s="545"/>
      <c r="F248" s="545"/>
      <c r="G248" s="589"/>
      <c r="H248" s="545"/>
      <c r="I248" s="545"/>
      <c r="J248" s="589" t="s">
        <v>624</v>
      </c>
      <c r="K248" s="590" t="str">
        <f t="shared" si="29"/>
        <v/>
      </c>
      <c r="L248" s="547"/>
      <c r="M248" s="548"/>
      <c r="N248" s="548"/>
      <c r="O248" s="546"/>
      <c r="P248" s="547"/>
      <c r="Q248" s="548"/>
      <c r="R248" s="548"/>
      <c r="S248" s="546"/>
      <c r="T248" s="547"/>
      <c r="U248" s="548"/>
      <c r="V248" s="548"/>
      <c r="W248" s="548"/>
      <c r="X248" s="546"/>
      <c r="Y248" s="547"/>
      <c r="Z248" s="548"/>
      <c r="AA248" s="548"/>
      <c r="AB248" s="546"/>
      <c r="AC248" s="547"/>
      <c r="AD248" s="548"/>
      <c r="AE248" s="548"/>
      <c r="AF248" s="546"/>
      <c r="AG248" s="547"/>
      <c r="AH248" s="548"/>
      <c r="AI248" s="548"/>
      <c r="AJ248" s="546"/>
      <c r="AK248" s="547"/>
      <c r="AL248" s="548"/>
      <c r="AM248" s="548"/>
      <c r="AN248" s="548"/>
      <c r="AO248" s="546"/>
      <c r="AP248" s="547"/>
      <c r="AQ248" s="548"/>
      <c r="AR248" s="548"/>
      <c r="AS248" s="546"/>
      <c r="AT248" s="547"/>
      <c r="AU248" s="548"/>
      <c r="AV248" s="548"/>
      <c r="AW248" s="546"/>
      <c r="AX248" s="547"/>
      <c r="AY248" s="548"/>
      <c r="AZ248" s="548"/>
      <c r="BA248" s="548"/>
      <c r="BB248" s="546"/>
      <c r="BC248" s="547"/>
      <c r="BD248" s="548"/>
      <c r="BE248" s="548"/>
      <c r="BF248" s="546"/>
      <c r="BG248" s="547"/>
      <c r="BH248" s="548"/>
      <c r="BI248" s="548"/>
      <c r="BJ248" s="548"/>
      <c r="BK248" s="546"/>
      <c r="BL248" s="547"/>
      <c r="BM248" s="548"/>
      <c r="BN248" s="548"/>
      <c r="BO248" s="546"/>
      <c r="BP248" s="547"/>
      <c r="BQ248" s="548"/>
      <c r="BR248" s="548"/>
      <c r="BS248" s="546"/>
      <c r="BT248" s="547"/>
      <c r="BU248" s="548"/>
      <c r="BV248" s="548"/>
      <c r="BW248" s="548"/>
      <c r="BX248" s="546"/>
      <c r="BY248" s="547"/>
      <c r="BZ248" s="548"/>
      <c r="CA248" s="560"/>
      <c r="CB248" s="549"/>
    </row>
    <row r="249" spans="1:80">
      <c r="A249" s="569">
        <v>239</v>
      </c>
      <c r="B249" s="570" t="s">
        <v>627</v>
      </c>
      <c r="C249" s="571"/>
      <c r="D249" s="572"/>
      <c r="E249" s="572"/>
      <c r="F249" s="572"/>
      <c r="G249" s="572"/>
      <c r="H249" s="573"/>
      <c r="I249" s="574" t="s">
        <v>594</v>
      </c>
      <c r="J249" s="575">
        <f>SUBTOTAL(9,J251:J285)</f>
        <v>0</v>
      </c>
      <c r="K249" s="576" t="str">
        <f t="shared" si="29"/>
        <v>C</v>
      </c>
      <c r="L249" s="547"/>
      <c r="M249" s="548"/>
      <c r="N249" s="548"/>
      <c r="O249" s="546"/>
      <c r="P249" s="547"/>
      <c r="Q249" s="548"/>
      <c r="R249" s="548"/>
      <c r="S249" s="546"/>
      <c r="T249" s="547"/>
      <c r="U249" s="548"/>
      <c r="V249" s="548"/>
      <c r="W249" s="548"/>
      <c r="X249" s="546"/>
      <c r="Y249" s="547"/>
      <c r="Z249" s="548"/>
      <c r="AA249" s="548"/>
      <c r="AB249" s="546"/>
      <c r="AC249" s="547"/>
      <c r="AD249" s="548"/>
      <c r="AE249" s="548"/>
      <c r="AF249" s="546"/>
      <c r="AG249" s="547"/>
      <c r="AH249" s="548"/>
      <c r="AI249" s="548"/>
      <c r="AJ249" s="546"/>
      <c r="AK249" s="547"/>
      <c r="AL249" s="548"/>
      <c r="AM249" s="548"/>
      <c r="AN249" s="548"/>
      <c r="AO249" s="546"/>
      <c r="AP249" s="547"/>
      <c r="AQ249" s="548"/>
      <c r="AR249" s="548"/>
      <c r="AS249" s="546"/>
      <c r="AT249" s="547"/>
      <c r="AU249" s="548"/>
      <c r="AV249" s="548"/>
      <c r="AW249" s="546"/>
      <c r="AX249" s="547"/>
      <c r="AY249" s="548"/>
      <c r="AZ249" s="548"/>
      <c r="BA249" s="548"/>
      <c r="BB249" s="546"/>
      <c r="BC249" s="547"/>
      <c r="BD249" s="548"/>
      <c r="BE249" s="548"/>
      <c r="BF249" s="546"/>
      <c r="BG249" s="547"/>
      <c r="BH249" s="548"/>
      <c r="BI249" s="548"/>
      <c r="BJ249" s="548"/>
      <c r="BK249" s="546"/>
      <c r="BL249" s="547"/>
      <c r="BM249" s="548"/>
      <c r="BN249" s="548"/>
      <c r="BO249" s="546"/>
      <c r="BP249" s="547"/>
      <c r="BQ249" s="548"/>
      <c r="BR249" s="548"/>
      <c r="BS249" s="546"/>
      <c r="BT249" s="547"/>
      <c r="BU249" s="548"/>
      <c r="BV249" s="548"/>
      <c r="BW249" s="548"/>
      <c r="BX249" s="546"/>
      <c r="BY249" s="547"/>
      <c r="BZ249" s="548"/>
      <c r="CA249" s="560"/>
      <c r="CB249" s="549"/>
    </row>
    <row r="250" spans="1:80">
      <c r="A250" s="569">
        <v>240</v>
      </c>
      <c r="B250" s="577"/>
      <c r="C250" s="578"/>
      <c r="D250" s="578" t="s">
        <v>618</v>
      </c>
      <c r="E250" s="578" t="s">
        <v>523</v>
      </c>
      <c r="F250" s="578" t="s">
        <v>524</v>
      </c>
      <c r="G250" s="578" t="s">
        <v>596</v>
      </c>
      <c r="H250" s="579"/>
      <c r="I250" s="580"/>
      <c r="J250" s="580" t="s">
        <v>597</v>
      </c>
      <c r="K250" s="581" t="str">
        <f>IF(J249=0,"C","")</f>
        <v>C</v>
      </c>
      <c r="L250" s="547"/>
      <c r="M250" s="548"/>
      <c r="N250" s="548"/>
      <c r="O250" s="546"/>
      <c r="P250" s="547"/>
      <c r="Q250" s="548"/>
      <c r="R250" s="548"/>
      <c r="S250" s="546"/>
      <c r="T250" s="547"/>
      <c r="U250" s="548"/>
      <c r="V250" s="548"/>
      <c r="W250" s="548"/>
      <c r="X250" s="546"/>
      <c r="Y250" s="547"/>
      <c r="Z250" s="548"/>
      <c r="AA250" s="548"/>
      <c r="AB250" s="546"/>
      <c r="AC250" s="547"/>
      <c r="AD250" s="548"/>
      <c r="AE250" s="548"/>
      <c r="AF250" s="546"/>
      <c r="AG250" s="547"/>
      <c r="AH250" s="548"/>
      <c r="AI250" s="548"/>
      <c r="AJ250" s="546"/>
      <c r="AK250" s="547"/>
      <c r="AL250" s="548"/>
      <c r="AM250" s="548"/>
      <c r="AN250" s="548"/>
      <c r="AO250" s="546"/>
      <c r="AP250" s="547"/>
      <c r="AQ250" s="548"/>
      <c r="AR250" s="548"/>
      <c r="AS250" s="546"/>
      <c r="AT250" s="547"/>
      <c r="AU250" s="548"/>
      <c r="AV250" s="548"/>
      <c r="AW250" s="546"/>
      <c r="AX250" s="547"/>
      <c r="AY250" s="548"/>
      <c r="AZ250" s="548"/>
      <c r="BA250" s="548"/>
      <c r="BB250" s="546"/>
      <c r="BC250" s="547"/>
      <c r="BD250" s="548"/>
      <c r="BE250" s="548"/>
      <c r="BF250" s="546"/>
      <c r="BG250" s="547"/>
      <c r="BH250" s="548"/>
      <c r="BI250" s="548"/>
      <c r="BJ250" s="548"/>
      <c r="BK250" s="546"/>
      <c r="BL250" s="547"/>
      <c r="BM250" s="548"/>
      <c r="BN250" s="548"/>
      <c r="BO250" s="546"/>
      <c r="BP250" s="547"/>
      <c r="BQ250" s="548"/>
      <c r="BR250" s="548"/>
      <c r="BS250" s="546"/>
      <c r="BT250" s="547"/>
      <c r="BU250" s="548"/>
      <c r="BV250" s="548"/>
      <c r="BW250" s="548"/>
      <c r="BX250" s="546"/>
      <c r="BY250" s="547"/>
      <c r="BZ250" s="548"/>
      <c r="CA250" s="560"/>
      <c r="CB250" s="549"/>
    </row>
    <row r="251" spans="1:80">
      <c r="A251" s="582">
        <v>241</v>
      </c>
      <c r="B251" s="583" t="s">
        <v>620</v>
      </c>
      <c r="C251" s="584"/>
      <c r="D251" s="584"/>
      <c r="E251" s="584"/>
      <c r="F251" s="584"/>
      <c r="G251" s="584"/>
      <c r="H251" s="585"/>
      <c r="I251" s="586" t="s">
        <v>594</v>
      </c>
      <c r="J251" s="587">
        <f>SUBTOTAL(9,J252:J271)</f>
        <v>0</v>
      </c>
      <c r="K251" s="588" t="str">
        <f t="shared" si="29"/>
        <v>C</v>
      </c>
      <c r="L251" s="547"/>
      <c r="M251" s="548"/>
      <c r="N251" s="548"/>
      <c r="O251" s="546"/>
      <c r="P251" s="547"/>
      <c r="Q251" s="548"/>
      <c r="R251" s="548"/>
      <c r="S251" s="546"/>
      <c r="T251" s="547"/>
      <c r="U251" s="548"/>
      <c r="V251" s="548"/>
      <c r="W251" s="548"/>
      <c r="X251" s="546"/>
      <c r="Y251" s="547"/>
      <c r="Z251" s="548"/>
      <c r="AA251" s="548"/>
      <c r="AB251" s="546"/>
      <c r="AC251" s="547"/>
      <c r="AD251" s="548"/>
      <c r="AE251" s="548"/>
      <c r="AF251" s="546"/>
      <c r="AG251" s="547"/>
      <c r="AH251" s="548"/>
      <c r="AI251" s="548"/>
      <c r="AJ251" s="546"/>
      <c r="AK251" s="547"/>
      <c r="AL251" s="548"/>
      <c r="AM251" s="548"/>
      <c r="AN251" s="548"/>
      <c r="AO251" s="546"/>
      <c r="AP251" s="547"/>
      <c r="AQ251" s="548"/>
      <c r="AR251" s="548"/>
      <c r="AS251" s="546"/>
      <c r="AT251" s="547"/>
      <c r="AU251" s="548"/>
      <c r="AV251" s="548"/>
      <c r="AW251" s="546"/>
      <c r="AX251" s="547"/>
      <c r="AY251" s="548"/>
      <c r="AZ251" s="548"/>
      <c r="BA251" s="548"/>
      <c r="BB251" s="546"/>
      <c r="BC251" s="547"/>
      <c r="BD251" s="548"/>
      <c r="BE251" s="548"/>
      <c r="BF251" s="546"/>
      <c r="BG251" s="547"/>
      <c r="BH251" s="548"/>
      <c r="BI251" s="548"/>
      <c r="BJ251" s="548"/>
      <c r="BK251" s="546"/>
      <c r="BL251" s="547"/>
      <c r="BM251" s="548"/>
      <c r="BN251" s="548"/>
      <c r="BO251" s="546"/>
      <c r="BP251" s="547"/>
      <c r="BQ251" s="548"/>
      <c r="BR251" s="548"/>
      <c r="BS251" s="546"/>
      <c r="BT251" s="547"/>
      <c r="BU251" s="548"/>
      <c r="BV251" s="548"/>
      <c r="BW251" s="548"/>
      <c r="BX251" s="546"/>
      <c r="BY251" s="547"/>
      <c r="BZ251" s="548"/>
      <c r="CA251" s="560"/>
      <c r="CB251" s="549"/>
    </row>
    <row r="252" spans="1:80" outlineLevel="1">
      <c r="A252" s="594">
        <v>242</v>
      </c>
      <c r="B252" s="556"/>
      <c r="C252" s="545"/>
      <c r="D252" s="557"/>
      <c r="E252" s="545"/>
      <c r="F252" s="545"/>
      <c r="G252" s="589"/>
      <c r="H252" s="595"/>
      <c r="I252" s="558"/>
      <c r="J252" s="589" t="s">
        <v>624</v>
      </c>
      <c r="K252" s="590" t="str">
        <f t="shared" si="29"/>
        <v/>
      </c>
      <c r="L252" s="547"/>
      <c r="M252" s="548"/>
      <c r="N252" s="548"/>
      <c r="O252" s="546"/>
      <c r="P252" s="547"/>
      <c r="Q252" s="548"/>
      <c r="R252" s="548"/>
      <c r="S252" s="546"/>
      <c r="T252" s="547"/>
      <c r="U252" s="548"/>
      <c r="V252" s="548"/>
      <c r="W252" s="548"/>
      <c r="X252" s="546"/>
      <c r="Y252" s="547"/>
      <c r="Z252" s="548"/>
      <c r="AA252" s="548"/>
      <c r="AB252" s="546"/>
      <c r="AC252" s="547"/>
      <c r="AD252" s="548"/>
      <c r="AE252" s="548"/>
      <c r="AF252" s="546"/>
      <c r="AG252" s="547"/>
      <c r="AH252" s="548"/>
      <c r="AI252" s="548"/>
      <c r="AJ252" s="546"/>
      <c r="AK252" s="547"/>
      <c r="AL252" s="548"/>
      <c r="AM252" s="548"/>
      <c r="AN252" s="548"/>
      <c r="AO252" s="546"/>
      <c r="AP252" s="547"/>
      <c r="AQ252" s="548"/>
      <c r="AR252" s="548"/>
      <c r="AS252" s="546"/>
      <c r="AT252" s="547"/>
      <c r="AU252" s="548"/>
      <c r="AV252" s="548"/>
      <c r="AW252" s="546"/>
      <c r="AX252" s="547"/>
      <c r="AY252" s="548"/>
      <c r="AZ252" s="548"/>
      <c r="BA252" s="548"/>
      <c r="BB252" s="546"/>
      <c r="BC252" s="547"/>
      <c r="BD252" s="548"/>
      <c r="BE252" s="548"/>
      <c r="BF252" s="546"/>
      <c r="BG252" s="547"/>
      <c r="BH252" s="548"/>
      <c r="BI252" s="548"/>
      <c r="BJ252" s="548"/>
      <c r="BK252" s="546"/>
      <c r="BL252" s="547"/>
      <c r="BM252" s="548"/>
      <c r="BN252" s="548"/>
      <c r="BO252" s="546"/>
      <c r="BP252" s="547"/>
      <c r="BQ252" s="548"/>
      <c r="BR252" s="548"/>
      <c r="BS252" s="546"/>
      <c r="BT252" s="547"/>
      <c r="BU252" s="548"/>
      <c r="BV252" s="548"/>
      <c r="BW252" s="548"/>
      <c r="BX252" s="546"/>
      <c r="BY252" s="547"/>
      <c r="BZ252" s="548"/>
      <c r="CA252" s="560"/>
      <c r="CB252" s="549"/>
    </row>
    <row r="253" spans="1:80" outlineLevel="1">
      <c r="A253" s="594">
        <v>243</v>
      </c>
      <c r="B253" s="556" t="s">
        <v>614</v>
      </c>
      <c r="C253" s="545"/>
      <c r="D253" s="557" t="str">
        <f t="shared" ref="D253:D260" si="31">DureeHL($L253:$CB253)</f>
        <v/>
      </c>
      <c r="E253" s="545">
        <v>2</v>
      </c>
      <c r="F253" s="545" t="s">
        <v>532</v>
      </c>
      <c r="G253" s="589">
        <v>4.25</v>
      </c>
      <c r="H253" s="595"/>
      <c r="I253" s="558"/>
      <c r="J253" s="589">
        <f t="shared" ref="J253:J260" si="32">IF(D253="Achat",1,IF(D253="",0,D253*7))*E253*G253</f>
        <v>0</v>
      </c>
      <c r="K253" s="590" t="str">
        <f t="shared" si="29"/>
        <v>C</v>
      </c>
      <c r="L253" s="547"/>
      <c r="M253" s="548"/>
      <c r="N253" s="548"/>
      <c r="O253" s="546"/>
      <c r="P253" s="547"/>
      <c r="Q253" s="548"/>
      <c r="R253" s="548"/>
      <c r="S253" s="546"/>
      <c r="T253" s="547"/>
      <c r="U253" s="548"/>
      <c r="V253" s="548"/>
      <c r="W253" s="548"/>
      <c r="X253" s="546"/>
      <c r="Y253" s="547"/>
      <c r="Z253" s="548"/>
      <c r="AA253" s="548"/>
      <c r="AB253" s="546"/>
      <c r="AC253" s="547"/>
      <c r="AD253" s="548"/>
      <c r="AE253" s="548"/>
      <c r="AF253" s="546"/>
      <c r="AG253" s="547"/>
      <c r="AH253" s="548"/>
      <c r="AI253" s="548"/>
      <c r="AJ253" s="546"/>
      <c r="AK253" s="547"/>
      <c r="AL253" s="548"/>
      <c r="AM253" s="548"/>
      <c r="AN253" s="548"/>
      <c r="AO253" s="546"/>
      <c r="AP253" s="547"/>
      <c r="AQ253" s="548"/>
      <c r="AR253" s="548"/>
      <c r="AS253" s="546"/>
      <c r="AT253" s="547"/>
      <c r="AU253" s="548"/>
      <c r="AV253" s="548"/>
      <c r="AW253" s="546"/>
      <c r="AX253" s="547"/>
      <c r="AY253" s="548"/>
      <c r="AZ253" s="548"/>
      <c r="BA253" s="548"/>
      <c r="BB253" s="546"/>
      <c r="BC253" s="547"/>
      <c r="BD253" s="548"/>
      <c r="BE253" s="548"/>
      <c r="BF253" s="546"/>
      <c r="BG253" s="547"/>
      <c r="BH253" s="548"/>
      <c r="BI253" s="548"/>
      <c r="BJ253" s="548"/>
      <c r="BK253" s="546"/>
      <c r="BL253" s="547"/>
      <c r="BM253" s="548"/>
      <c r="BN253" s="548"/>
      <c r="BO253" s="546"/>
      <c r="BP253" s="547"/>
      <c r="BQ253" s="548"/>
      <c r="BR253" s="548"/>
      <c r="BS253" s="546"/>
      <c r="BT253" s="547"/>
      <c r="BU253" s="548"/>
      <c r="BV253" s="548"/>
      <c r="BW253" s="548"/>
      <c r="BX253" s="546"/>
      <c r="BY253" s="547"/>
      <c r="BZ253" s="548"/>
      <c r="CA253" s="560"/>
      <c r="CB253" s="549"/>
    </row>
    <row r="254" spans="1:80" outlineLevel="1">
      <c r="A254" s="594">
        <v>244</v>
      </c>
      <c r="B254" s="556" t="s">
        <v>615</v>
      </c>
      <c r="C254" s="545"/>
      <c r="D254" s="557" t="str">
        <f t="shared" si="31"/>
        <v/>
      </c>
      <c r="E254" s="545">
        <v>1</v>
      </c>
      <c r="F254" s="545" t="s">
        <v>532</v>
      </c>
      <c r="G254" s="589">
        <v>7.2</v>
      </c>
      <c r="H254" s="595"/>
      <c r="I254" s="558"/>
      <c r="J254" s="589">
        <f t="shared" si="32"/>
        <v>0</v>
      </c>
      <c r="K254" s="590" t="str">
        <f t="shared" si="29"/>
        <v>C</v>
      </c>
      <c r="L254" s="547"/>
      <c r="M254" s="548"/>
      <c r="N254" s="548"/>
      <c r="O254" s="546"/>
      <c r="P254" s="547"/>
      <c r="Q254" s="548"/>
      <c r="R254" s="548"/>
      <c r="S254" s="546"/>
      <c r="T254" s="547"/>
      <c r="U254" s="548"/>
      <c r="V254" s="548"/>
      <c r="W254" s="548"/>
      <c r="X254" s="546"/>
      <c r="Y254" s="547"/>
      <c r="Z254" s="548"/>
      <c r="AA254" s="548"/>
      <c r="AB254" s="546"/>
      <c r="AC254" s="547"/>
      <c r="AD254" s="548"/>
      <c r="AE254" s="548"/>
      <c r="AF254" s="546"/>
      <c r="AG254" s="547"/>
      <c r="AH254" s="548"/>
      <c r="AI254" s="548"/>
      <c r="AJ254" s="546"/>
      <c r="AK254" s="547"/>
      <c r="AL254" s="548"/>
      <c r="AM254" s="548"/>
      <c r="AN254" s="548"/>
      <c r="AO254" s="546"/>
      <c r="AP254" s="547"/>
      <c r="AQ254" s="548"/>
      <c r="AR254" s="548"/>
      <c r="AS254" s="546"/>
      <c r="AT254" s="547"/>
      <c r="AU254" s="548"/>
      <c r="AV254" s="548"/>
      <c r="AW254" s="546"/>
      <c r="AX254" s="547"/>
      <c r="AY254" s="548"/>
      <c r="AZ254" s="548"/>
      <c r="BA254" s="548"/>
      <c r="BB254" s="546"/>
      <c r="BC254" s="547"/>
      <c r="BD254" s="548"/>
      <c r="BE254" s="548"/>
      <c r="BF254" s="546"/>
      <c r="BG254" s="547"/>
      <c r="BH254" s="548"/>
      <c r="BI254" s="548"/>
      <c r="BJ254" s="548"/>
      <c r="BK254" s="546"/>
      <c r="BL254" s="547"/>
      <c r="BM254" s="548"/>
      <c r="BN254" s="548"/>
      <c r="BO254" s="546"/>
      <c r="BP254" s="547"/>
      <c r="BQ254" s="548"/>
      <c r="BR254" s="548"/>
      <c r="BS254" s="546"/>
      <c r="BT254" s="547"/>
      <c r="BU254" s="548"/>
      <c r="BV254" s="548"/>
      <c r="BW254" s="548"/>
      <c r="BX254" s="546"/>
      <c r="BY254" s="547"/>
      <c r="BZ254" s="548"/>
      <c r="CA254" s="560"/>
      <c r="CB254" s="549"/>
    </row>
    <row r="255" spans="1:80" outlineLevel="1">
      <c r="A255" s="594">
        <v>245</v>
      </c>
      <c r="B255" s="556" t="s">
        <v>616</v>
      </c>
      <c r="C255" s="545"/>
      <c r="D255" s="557" t="str">
        <f t="shared" si="31"/>
        <v/>
      </c>
      <c r="E255" s="545">
        <v>2</v>
      </c>
      <c r="F255" s="545" t="s">
        <v>532</v>
      </c>
      <c r="G255" s="589">
        <v>4.25</v>
      </c>
      <c r="H255" s="595"/>
      <c r="I255" s="558"/>
      <c r="J255" s="589">
        <f t="shared" si="32"/>
        <v>0</v>
      </c>
      <c r="K255" s="590" t="str">
        <f t="shared" si="29"/>
        <v>C</v>
      </c>
      <c r="L255" s="547"/>
      <c r="M255" s="548"/>
      <c r="N255" s="548"/>
      <c r="O255" s="546"/>
      <c r="P255" s="547"/>
      <c r="Q255" s="548"/>
      <c r="R255" s="548"/>
      <c r="S255" s="546"/>
      <c r="T255" s="547"/>
      <c r="U255" s="548"/>
      <c r="V255" s="548"/>
      <c r="W255" s="548"/>
      <c r="X255" s="546"/>
      <c r="Y255" s="547"/>
      <c r="Z255" s="548"/>
      <c r="AA255" s="548"/>
      <c r="AB255" s="546"/>
      <c r="AC255" s="547"/>
      <c r="AD255" s="548"/>
      <c r="AE255" s="548"/>
      <c r="AF255" s="546"/>
      <c r="AG255" s="547"/>
      <c r="AH255" s="548"/>
      <c r="AI255" s="548"/>
      <c r="AJ255" s="546"/>
      <c r="AK255" s="547"/>
      <c r="AL255" s="548"/>
      <c r="AM255" s="548"/>
      <c r="AN255" s="548"/>
      <c r="AO255" s="546"/>
      <c r="AP255" s="547"/>
      <c r="AQ255" s="548"/>
      <c r="AR255" s="548"/>
      <c r="AS255" s="546"/>
      <c r="AT255" s="547"/>
      <c r="AU255" s="548"/>
      <c r="AV255" s="548"/>
      <c r="AW255" s="546"/>
      <c r="AX255" s="547"/>
      <c r="AY255" s="548"/>
      <c r="AZ255" s="548"/>
      <c r="BA255" s="548"/>
      <c r="BB255" s="546"/>
      <c r="BC255" s="547"/>
      <c r="BD255" s="548"/>
      <c r="BE255" s="548"/>
      <c r="BF255" s="546"/>
      <c r="BG255" s="547"/>
      <c r="BH255" s="548"/>
      <c r="BI255" s="548"/>
      <c r="BJ255" s="548"/>
      <c r="BK255" s="546"/>
      <c r="BL255" s="547"/>
      <c r="BM255" s="548"/>
      <c r="BN255" s="548"/>
      <c r="BO255" s="546"/>
      <c r="BP255" s="547"/>
      <c r="BQ255" s="548"/>
      <c r="BR255" s="548"/>
      <c r="BS255" s="546"/>
      <c r="BT255" s="547"/>
      <c r="BU255" s="548"/>
      <c r="BV255" s="548"/>
      <c r="BW255" s="548"/>
      <c r="BX255" s="546"/>
      <c r="BY255" s="547"/>
      <c r="BZ255" s="548"/>
      <c r="CA255" s="560"/>
      <c r="CB255" s="549"/>
    </row>
    <row r="256" spans="1:80" outlineLevel="1">
      <c r="A256" s="594">
        <v>246</v>
      </c>
      <c r="B256" s="556" t="s">
        <v>569</v>
      </c>
      <c r="C256" s="545"/>
      <c r="D256" s="557" t="str">
        <f t="shared" si="31"/>
        <v/>
      </c>
      <c r="E256" s="545">
        <v>1</v>
      </c>
      <c r="F256" s="545" t="s">
        <v>532</v>
      </c>
      <c r="G256" s="589">
        <v>4.18</v>
      </c>
      <c r="H256" s="595"/>
      <c r="I256" s="558"/>
      <c r="J256" s="589">
        <f t="shared" si="32"/>
        <v>0</v>
      </c>
      <c r="K256" s="590" t="str">
        <f t="shared" si="29"/>
        <v>C</v>
      </c>
      <c r="L256" s="547"/>
      <c r="M256" s="548"/>
      <c r="N256" s="548"/>
      <c r="O256" s="546"/>
      <c r="P256" s="547"/>
      <c r="Q256" s="548"/>
      <c r="R256" s="548"/>
      <c r="S256" s="546"/>
      <c r="T256" s="547"/>
      <c r="U256" s="548"/>
      <c r="V256" s="548"/>
      <c r="W256" s="548"/>
      <c r="X256" s="546"/>
      <c r="Y256" s="547"/>
      <c r="Z256" s="548"/>
      <c r="AA256" s="548"/>
      <c r="AB256" s="546"/>
      <c r="AC256" s="547"/>
      <c r="AD256" s="548"/>
      <c r="AE256" s="548"/>
      <c r="AF256" s="546"/>
      <c r="AG256" s="547"/>
      <c r="AH256" s="548"/>
      <c r="AI256" s="548"/>
      <c r="AJ256" s="546"/>
      <c r="AK256" s="547"/>
      <c r="AL256" s="548"/>
      <c r="AM256" s="548"/>
      <c r="AN256" s="548"/>
      <c r="AO256" s="546"/>
      <c r="AP256" s="547"/>
      <c r="AQ256" s="548"/>
      <c r="AR256" s="548"/>
      <c r="AS256" s="546"/>
      <c r="AT256" s="547"/>
      <c r="AU256" s="548"/>
      <c r="AV256" s="548"/>
      <c r="AW256" s="546"/>
      <c r="AX256" s="547"/>
      <c r="AY256" s="548"/>
      <c r="AZ256" s="548"/>
      <c r="BA256" s="548"/>
      <c r="BB256" s="546"/>
      <c r="BC256" s="547"/>
      <c r="BD256" s="548"/>
      <c r="BE256" s="548"/>
      <c r="BF256" s="546"/>
      <c r="BG256" s="547"/>
      <c r="BH256" s="548"/>
      <c r="BI256" s="548"/>
      <c r="BJ256" s="548"/>
      <c r="BK256" s="546"/>
      <c r="BL256" s="547"/>
      <c r="BM256" s="548"/>
      <c r="BN256" s="548"/>
      <c r="BO256" s="546"/>
      <c r="BP256" s="547"/>
      <c r="BQ256" s="548"/>
      <c r="BR256" s="548"/>
      <c r="BS256" s="546"/>
      <c r="BT256" s="547"/>
      <c r="BU256" s="548"/>
      <c r="BV256" s="548"/>
      <c r="BW256" s="548"/>
      <c r="BX256" s="546"/>
      <c r="BY256" s="547"/>
      <c r="BZ256" s="548"/>
      <c r="CA256" s="560"/>
      <c r="CB256" s="549"/>
    </row>
    <row r="257" spans="1:80" outlineLevel="1">
      <c r="A257" s="594">
        <v>247</v>
      </c>
      <c r="B257" s="556" t="s">
        <v>568</v>
      </c>
      <c r="C257" s="545"/>
      <c r="D257" s="557" t="str">
        <f t="shared" si="31"/>
        <v/>
      </c>
      <c r="E257" s="545">
        <v>1</v>
      </c>
      <c r="F257" s="545" t="s">
        <v>532</v>
      </c>
      <c r="G257" s="589">
        <v>2.78</v>
      </c>
      <c r="H257" s="595"/>
      <c r="I257" s="558"/>
      <c r="J257" s="589">
        <f t="shared" si="32"/>
        <v>0</v>
      </c>
      <c r="K257" s="590" t="str">
        <f t="shared" si="29"/>
        <v>C</v>
      </c>
      <c r="L257" s="547"/>
      <c r="M257" s="548"/>
      <c r="N257" s="548"/>
      <c r="O257" s="546"/>
      <c r="P257" s="547"/>
      <c r="Q257" s="548"/>
      <c r="R257" s="548"/>
      <c r="S257" s="546"/>
      <c r="T257" s="547"/>
      <c r="U257" s="548"/>
      <c r="V257" s="548"/>
      <c r="W257" s="548"/>
      <c r="X257" s="546"/>
      <c r="Y257" s="547"/>
      <c r="Z257" s="548"/>
      <c r="AA257" s="548"/>
      <c r="AB257" s="546"/>
      <c r="AC257" s="547"/>
      <c r="AD257" s="548"/>
      <c r="AE257" s="548"/>
      <c r="AF257" s="546"/>
      <c r="AG257" s="547"/>
      <c r="AH257" s="548"/>
      <c r="AI257" s="548"/>
      <c r="AJ257" s="546"/>
      <c r="AK257" s="547"/>
      <c r="AL257" s="548"/>
      <c r="AM257" s="548"/>
      <c r="AN257" s="548"/>
      <c r="AO257" s="546"/>
      <c r="AP257" s="547"/>
      <c r="AQ257" s="548"/>
      <c r="AR257" s="548"/>
      <c r="AS257" s="546"/>
      <c r="AT257" s="547"/>
      <c r="AU257" s="548"/>
      <c r="AV257" s="548"/>
      <c r="AW257" s="546"/>
      <c r="AX257" s="547"/>
      <c r="AY257" s="548"/>
      <c r="AZ257" s="548"/>
      <c r="BA257" s="548"/>
      <c r="BB257" s="546"/>
      <c r="BC257" s="547"/>
      <c r="BD257" s="548"/>
      <c r="BE257" s="548"/>
      <c r="BF257" s="546"/>
      <c r="BG257" s="547"/>
      <c r="BH257" s="548"/>
      <c r="BI257" s="548"/>
      <c r="BJ257" s="548"/>
      <c r="BK257" s="546"/>
      <c r="BL257" s="547"/>
      <c r="BM257" s="548"/>
      <c r="BN257" s="548"/>
      <c r="BO257" s="546"/>
      <c r="BP257" s="547"/>
      <c r="BQ257" s="548"/>
      <c r="BR257" s="548"/>
      <c r="BS257" s="546"/>
      <c r="BT257" s="547"/>
      <c r="BU257" s="548"/>
      <c r="BV257" s="548"/>
      <c r="BW257" s="548"/>
      <c r="BX257" s="546"/>
      <c r="BY257" s="547"/>
      <c r="BZ257" s="548"/>
      <c r="CA257" s="560"/>
      <c r="CB257" s="549"/>
    </row>
    <row r="258" spans="1:80" outlineLevel="1">
      <c r="A258" s="594">
        <v>248</v>
      </c>
      <c r="B258" s="556" t="s">
        <v>570</v>
      </c>
      <c r="C258" s="545"/>
      <c r="D258" s="557" t="str">
        <f t="shared" si="31"/>
        <v/>
      </c>
      <c r="E258" s="545">
        <v>2</v>
      </c>
      <c r="F258" s="545" t="s">
        <v>532</v>
      </c>
      <c r="G258" s="589">
        <v>2</v>
      </c>
      <c r="H258" s="595"/>
      <c r="I258" s="558"/>
      <c r="J258" s="589">
        <f t="shared" si="32"/>
        <v>0</v>
      </c>
      <c r="K258" s="590" t="str">
        <f t="shared" si="29"/>
        <v>C</v>
      </c>
      <c r="L258" s="547"/>
      <c r="M258" s="548"/>
      <c r="N258" s="548"/>
      <c r="O258" s="546"/>
      <c r="P258" s="547"/>
      <c r="Q258" s="548"/>
      <c r="R258" s="548"/>
      <c r="S258" s="546"/>
      <c r="T258" s="547"/>
      <c r="U258" s="548"/>
      <c r="V258" s="548"/>
      <c r="W258" s="548"/>
      <c r="X258" s="546"/>
      <c r="Y258" s="547"/>
      <c r="Z258" s="548"/>
      <c r="AA258" s="548"/>
      <c r="AB258" s="546"/>
      <c r="AC258" s="547"/>
      <c r="AD258" s="548"/>
      <c r="AE258" s="548"/>
      <c r="AF258" s="546"/>
      <c r="AG258" s="547"/>
      <c r="AH258" s="548"/>
      <c r="AI258" s="548"/>
      <c r="AJ258" s="546"/>
      <c r="AK258" s="547"/>
      <c r="AL258" s="548"/>
      <c r="AM258" s="548"/>
      <c r="AN258" s="548"/>
      <c r="AO258" s="546"/>
      <c r="AP258" s="547"/>
      <c r="AQ258" s="548"/>
      <c r="AR258" s="548"/>
      <c r="AS258" s="546"/>
      <c r="AT258" s="547"/>
      <c r="AU258" s="548"/>
      <c r="AV258" s="548"/>
      <c r="AW258" s="546"/>
      <c r="AX258" s="547"/>
      <c r="AY258" s="548"/>
      <c r="AZ258" s="548"/>
      <c r="BA258" s="548"/>
      <c r="BB258" s="546"/>
      <c r="BC258" s="547"/>
      <c r="BD258" s="548"/>
      <c r="BE258" s="548"/>
      <c r="BF258" s="546"/>
      <c r="BG258" s="547"/>
      <c r="BH258" s="548"/>
      <c r="BI258" s="548"/>
      <c r="BJ258" s="548"/>
      <c r="BK258" s="546"/>
      <c r="BL258" s="547"/>
      <c r="BM258" s="548"/>
      <c r="BN258" s="548"/>
      <c r="BO258" s="546"/>
      <c r="BP258" s="547"/>
      <c r="BQ258" s="548"/>
      <c r="BR258" s="548"/>
      <c r="BS258" s="546"/>
      <c r="BT258" s="547"/>
      <c r="BU258" s="548"/>
      <c r="BV258" s="548"/>
      <c r="BW258" s="548"/>
      <c r="BX258" s="546"/>
      <c r="BY258" s="547"/>
      <c r="BZ258" s="548"/>
      <c r="CA258" s="560"/>
      <c r="CB258" s="549"/>
    </row>
    <row r="259" spans="1:80" outlineLevel="1">
      <c r="A259" s="594">
        <v>249</v>
      </c>
      <c r="B259" s="556" t="s">
        <v>569</v>
      </c>
      <c r="C259" s="545"/>
      <c r="D259" s="557" t="str">
        <f t="shared" si="31"/>
        <v/>
      </c>
      <c r="E259" s="545">
        <v>1</v>
      </c>
      <c r="F259" s="545" t="s">
        <v>532</v>
      </c>
      <c r="G259" s="589">
        <v>4.18</v>
      </c>
      <c r="H259" s="595"/>
      <c r="I259" s="558"/>
      <c r="J259" s="589">
        <f t="shared" si="32"/>
        <v>0</v>
      </c>
      <c r="K259" s="590" t="str">
        <f t="shared" si="29"/>
        <v>C</v>
      </c>
      <c r="L259" s="547"/>
      <c r="M259" s="548"/>
      <c r="N259" s="548"/>
      <c r="O259" s="546"/>
      <c r="P259" s="547"/>
      <c r="Q259" s="548"/>
      <c r="R259" s="548"/>
      <c r="S259" s="546"/>
      <c r="T259" s="547"/>
      <c r="U259" s="548"/>
      <c r="V259" s="548"/>
      <c r="W259" s="548"/>
      <c r="X259" s="546"/>
      <c r="Y259" s="547"/>
      <c r="Z259" s="548"/>
      <c r="AA259" s="548"/>
      <c r="AB259" s="546"/>
      <c r="AC259" s="547"/>
      <c r="AD259" s="548"/>
      <c r="AE259" s="548"/>
      <c r="AF259" s="546"/>
      <c r="AG259" s="547"/>
      <c r="AH259" s="548"/>
      <c r="AI259" s="548"/>
      <c r="AJ259" s="546"/>
      <c r="AK259" s="547"/>
      <c r="AL259" s="548"/>
      <c r="AM259" s="548"/>
      <c r="AN259" s="548"/>
      <c r="AO259" s="546"/>
      <c r="AP259" s="547"/>
      <c r="AQ259" s="548"/>
      <c r="AR259" s="548"/>
      <c r="AS259" s="546"/>
      <c r="AT259" s="547"/>
      <c r="AU259" s="548"/>
      <c r="AV259" s="548"/>
      <c r="AW259" s="546"/>
      <c r="AX259" s="547"/>
      <c r="AY259" s="548"/>
      <c r="AZ259" s="548"/>
      <c r="BA259" s="548"/>
      <c r="BB259" s="546"/>
      <c r="BC259" s="547"/>
      <c r="BD259" s="548"/>
      <c r="BE259" s="548"/>
      <c r="BF259" s="546"/>
      <c r="BG259" s="547"/>
      <c r="BH259" s="548"/>
      <c r="BI259" s="548"/>
      <c r="BJ259" s="548"/>
      <c r="BK259" s="546"/>
      <c r="BL259" s="547"/>
      <c r="BM259" s="548"/>
      <c r="BN259" s="548"/>
      <c r="BO259" s="546"/>
      <c r="BP259" s="547"/>
      <c r="BQ259" s="548"/>
      <c r="BR259" s="548"/>
      <c r="BS259" s="546"/>
      <c r="BT259" s="547"/>
      <c r="BU259" s="548"/>
      <c r="BV259" s="548"/>
      <c r="BW259" s="548"/>
      <c r="BX259" s="546"/>
      <c r="BY259" s="547"/>
      <c r="BZ259" s="548"/>
      <c r="CA259" s="560"/>
      <c r="CB259" s="549"/>
    </row>
    <row r="260" spans="1:80" outlineLevel="1">
      <c r="A260" s="594">
        <v>250</v>
      </c>
      <c r="B260" s="556" t="s">
        <v>617</v>
      </c>
      <c r="C260" s="545"/>
      <c r="D260" s="557" t="str">
        <f t="shared" si="31"/>
        <v/>
      </c>
      <c r="E260" s="545">
        <v>1</v>
      </c>
      <c r="F260" s="545" t="s">
        <v>532</v>
      </c>
      <c r="G260" s="589">
        <v>5.5</v>
      </c>
      <c r="H260" s="595"/>
      <c r="I260" s="558"/>
      <c r="J260" s="589">
        <f t="shared" si="32"/>
        <v>0</v>
      </c>
      <c r="K260" s="590" t="str">
        <f t="shared" si="29"/>
        <v>C</v>
      </c>
      <c r="L260" s="547"/>
      <c r="M260" s="548"/>
      <c r="N260" s="548"/>
      <c r="O260" s="546"/>
      <c r="P260" s="547"/>
      <c r="Q260" s="548"/>
      <c r="R260" s="548"/>
      <c r="S260" s="546"/>
      <c r="T260" s="547"/>
      <c r="U260" s="548"/>
      <c r="V260" s="548"/>
      <c r="W260" s="548"/>
      <c r="X260" s="546"/>
      <c r="Y260" s="547"/>
      <c r="Z260" s="548"/>
      <c r="AA260" s="548"/>
      <c r="AB260" s="546"/>
      <c r="AC260" s="547"/>
      <c r="AD260" s="548"/>
      <c r="AE260" s="548"/>
      <c r="AF260" s="546"/>
      <c r="AG260" s="547"/>
      <c r="AH260" s="548"/>
      <c r="AI260" s="548"/>
      <c r="AJ260" s="546"/>
      <c r="AK260" s="547"/>
      <c r="AL260" s="548"/>
      <c r="AM260" s="548"/>
      <c r="AN260" s="548"/>
      <c r="AO260" s="546"/>
      <c r="AP260" s="547"/>
      <c r="AQ260" s="548"/>
      <c r="AR260" s="548"/>
      <c r="AS260" s="546"/>
      <c r="AT260" s="547"/>
      <c r="AU260" s="548"/>
      <c r="AV260" s="548"/>
      <c r="AW260" s="546"/>
      <c r="AX260" s="547"/>
      <c r="AY260" s="548"/>
      <c r="AZ260" s="548"/>
      <c r="BA260" s="548"/>
      <c r="BB260" s="546"/>
      <c r="BC260" s="547"/>
      <c r="BD260" s="548"/>
      <c r="BE260" s="548"/>
      <c r="BF260" s="546"/>
      <c r="BG260" s="547"/>
      <c r="BH260" s="548"/>
      <c r="BI260" s="548"/>
      <c r="BJ260" s="548"/>
      <c r="BK260" s="546"/>
      <c r="BL260" s="547"/>
      <c r="BM260" s="548"/>
      <c r="BN260" s="548"/>
      <c r="BO260" s="546"/>
      <c r="BP260" s="547"/>
      <c r="BQ260" s="548"/>
      <c r="BR260" s="548"/>
      <c r="BS260" s="546"/>
      <c r="BT260" s="547"/>
      <c r="BU260" s="548"/>
      <c r="BV260" s="548"/>
      <c r="BW260" s="548"/>
      <c r="BX260" s="546"/>
      <c r="BY260" s="547"/>
      <c r="BZ260" s="548"/>
      <c r="CA260" s="560"/>
      <c r="CB260" s="549"/>
    </row>
    <row r="261" spans="1:80" outlineLevel="1">
      <c r="A261" s="594">
        <v>251</v>
      </c>
      <c r="B261" s="556"/>
      <c r="C261" s="545"/>
      <c r="D261" s="557"/>
      <c r="E261" s="545"/>
      <c r="F261" s="545"/>
      <c r="G261" s="589"/>
      <c r="H261" s="595"/>
      <c r="I261" s="558"/>
      <c r="J261" s="589" t="s">
        <v>624</v>
      </c>
      <c r="K261" s="590" t="str">
        <f t="shared" si="29"/>
        <v/>
      </c>
      <c r="L261" s="547"/>
      <c r="M261" s="548"/>
      <c r="N261" s="548"/>
      <c r="O261" s="546"/>
      <c r="P261" s="547"/>
      <c r="Q261" s="548"/>
      <c r="R261" s="548"/>
      <c r="S261" s="546"/>
      <c r="T261" s="547"/>
      <c r="U261" s="548"/>
      <c r="V261" s="548"/>
      <c r="W261" s="548"/>
      <c r="X261" s="546"/>
      <c r="Y261" s="547"/>
      <c r="Z261" s="548"/>
      <c r="AA261" s="548"/>
      <c r="AB261" s="546"/>
      <c r="AC261" s="547"/>
      <c r="AD261" s="548"/>
      <c r="AE261" s="548"/>
      <c r="AF261" s="546"/>
      <c r="AG261" s="547"/>
      <c r="AH261" s="548"/>
      <c r="AI261" s="548"/>
      <c r="AJ261" s="546"/>
      <c r="AK261" s="547"/>
      <c r="AL261" s="548"/>
      <c r="AM261" s="548"/>
      <c r="AN261" s="548"/>
      <c r="AO261" s="546"/>
      <c r="AP261" s="547"/>
      <c r="AQ261" s="548"/>
      <c r="AR261" s="548"/>
      <c r="AS261" s="546"/>
      <c r="AT261" s="547"/>
      <c r="AU261" s="548"/>
      <c r="AV261" s="548"/>
      <c r="AW261" s="546"/>
      <c r="AX261" s="547"/>
      <c r="AY261" s="548"/>
      <c r="AZ261" s="548"/>
      <c r="BA261" s="548"/>
      <c r="BB261" s="546"/>
      <c r="BC261" s="547"/>
      <c r="BD261" s="548"/>
      <c r="BE261" s="548"/>
      <c r="BF261" s="546"/>
      <c r="BG261" s="547"/>
      <c r="BH261" s="548"/>
      <c r="BI261" s="548"/>
      <c r="BJ261" s="548"/>
      <c r="BK261" s="546"/>
      <c r="BL261" s="547"/>
      <c r="BM261" s="548"/>
      <c r="BN261" s="548"/>
      <c r="BO261" s="546"/>
      <c r="BP261" s="547"/>
      <c r="BQ261" s="548"/>
      <c r="BR261" s="548"/>
      <c r="BS261" s="546"/>
      <c r="BT261" s="547"/>
      <c r="BU261" s="548"/>
      <c r="BV261" s="548"/>
      <c r="BW261" s="548"/>
      <c r="BX261" s="546"/>
      <c r="BY261" s="547"/>
      <c r="BZ261" s="548"/>
      <c r="CA261" s="560"/>
      <c r="CB261" s="549"/>
    </row>
    <row r="262" spans="1:80" outlineLevel="1">
      <c r="A262" s="594">
        <v>252</v>
      </c>
      <c r="B262" s="556"/>
      <c r="C262" s="545"/>
      <c r="D262" s="557"/>
      <c r="E262" s="545"/>
      <c r="F262" s="545"/>
      <c r="G262" s="589"/>
      <c r="H262" s="595"/>
      <c r="I262" s="558"/>
      <c r="J262" s="589" t="s">
        <v>624</v>
      </c>
      <c r="K262" s="590" t="str">
        <f t="shared" si="29"/>
        <v/>
      </c>
      <c r="L262" s="547"/>
      <c r="M262" s="548"/>
      <c r="N262" s="548"/>
      <c r="O262" s="546"/>
      <c r="P262" s="547"/>
      <c r="Q262" s="548"/>
      <c r="R262" s="548"/>
      <c r="S262" s="546"/>
      <c r="T262" s="547"/>
      <c r="U262" s="548"/>
      <c r="V262" s="548"/>
      <c r="W262" s="548"/>
      <c r="X262" s="546"/>
      <c r="Y262" s="547"/>
      <c r="Z262" s="548"/>
      <c r="AA262" s="548"/>
      <c r="AB262" s="546"/>
      <c r="AC262" s="547"/>
      <c r="AD262" s="548"/>
      <c r="AE262" s="548"/>
      <c r="AF262" s="546"/>
      <c r="AG262" s="547"/>
      <c r="AH262" s="548"/>
      <c r="AI262" s="548"/>
      <c r="AJ262" s="546"/>
      <c r="AK262" s="547"/>
      <c r="AL262" s="548"/>
      <c r="AM262" s="548"/>
      <c r="AN262" s="548"/>
      <c r="AO262" s="546"/>
      <c r="AP262" s="547"/>
      <c r="AQ262" s="548"/>
      <c r="AR262" s="548"/>
      <c r="AS262" s="546"/>
      <c r="AT262" s="547"/>
      <c r="AU262" s="548"/>
      <c r="AV262" s="548"/>
      <c r="AW262" s="546"/>
      <c r="AX262" s="547"/>
      <c r="AY262" s="548"/>
      <c r="AZ262" s="548"/>
      <c r="BA262" s="548"/>
      <c r="BB262" s="546"/>
      <c r="BC262" s="547"/>
      <c r="BD262" s="548"/>
      <c r="BE262" s="548"/>
      <c r="BF262" s="546"/>
      <c r="BG262" s="547"/>
      <c r="BH262" s="548"/>
      <c r="BI262" s="548"/>
      <c r="BJ262" s="548"/>
      <c r="BK262" s="546"/>
      <c r="BL262" s="547"/>
      <c r="BM262" s="548"/>
      <c r="BN262" s="548"/>
      <c r="BO262" s="546"/>
      <c r="BP262" s="547"/>
      <c r="BQ262" s="548"/>
      <c r="BR262" s="548"/>
      <c r="BS262" s="546"/>
      <c r="BT262" s="547"/>
      <c r="BU262" s="548"/>
      <c r="BV262" s="548"/>
      <c r="BW262" s="548"/>
      <c r="BX262" s="546"/>
      <c r="BY262" s="547"/>
      <c r="BZ262" s="548"/>
      <c r="CA262" s="560"/>
      <c r="CB262" s="549"/>
    </row>
    <row r="263" spans="1:80" outlineLevel="1">
      <c r="A263" s="594">
        <v>253</v>
      </c>
      <c r="B263" s="556" t="s">
        <v>434</v>
      </c>
      <c r="C263" s="545"/>
      <c r="D263" s="557" t="str">
        <f t="shared" ref="D263:D270" si="33">DureeHL($L263:$CB263)</f>
        <v/>
      </c>
      <c r="E263" s="545">
        <v>1</v>
      </c>
      <c r="F263" s="545" t="s">
        <v>532</v>
      </c>
      <c r="G263" s="589">
        <v>4.25</v>
      </c>
      <c r="H263" s="595"/>
      <c r="I263" s="558"/>
      <c r="J263" s="589">
        <f t="shared" ref="J263:J270" si="34">IF(D263="Achat",1,IF(D263="",0,D263*7))*E263*G263</f>
        <v>0</v>
      </c>
      <c r="K263" s="590" t="str">
        <f t="shared" si="29"/>
        <v>C</v>
      </c>
      <c r="L263" s="547"/>
      <c r="M263" s="548"/>
      <c r="N263" s="548"/>
      <c r="O263" s="546"/>
      <c r="P263" s="547"/>
      <c r="Q263" s="548"/>
      <c r="R263" s="548"/>
      <c r="S263" s="546"/>
      <c r="T263" s="547"/>
      <c r="U263" s="548"/>
      <c r="V263" s="548"/>
      <c r="W263" s="548"/>
      <c r="X263" s="546"/>
      <c r="Y263" s="547"/>
      <c r="Z263" s="548"/>
      <c r="AA263" s="548"/>
      <c r="AB263" s="546"/>
      <c r="AC263" s="547"/>
      <c r="AD263" s="548"/>
      <c r="AE263" s="548"/>
      <c r="AF263" s="546"/>
      <c r="AG263" s="547"/>
      <c r="AH263" s="548"/>
      <c r="AI263" s="548"/>
      <c r="AJ263" s="546"/>
      <c r="AK263" s="547"/>
      <c r="AL263" s="548"/>
      <c r="AM263" s="548"/>
      <c r="AN263" s="548"/>
      <c r="AO263" s="546"/>
      <c r="AP263" s="547"/>
      <c r="AQ263" s="548"/>
      <c r="AR263" s="548"/>
      <c r="AS263" s="546"/>
      <c r="AT263" s="547"/>
      <c r="AU263" s="548"/>
      <c r="AV263" s="548"/>
      <c r="AW263" s="546"/>
      <c r="AX263" s="547"/>
      <c r="AY263" s="548"/>
      <c r="AZ263" s="548"/>
      <c r="BA263" s="548"/>
      <c r="BB263" s="546"/>
      <c r="BC263" s="547"/>
      <c r="BD263" s="548"/>
      <c r="BE263" s="548"/>
      <c r="BF263" s="546"/>
      <c r="BG263" s="547"/>
      <c r="BH263" s="548"/>
      <c r="BI263" s="548"/>
      <c r="BJ263" s="548"/>
      <c r="BK263" s="546"/>
      <c r="BL263" s="547"/>
      <c r="BM263" s="548"/>
      <c r="BN263" s="548"/>
      <c r="BO263" s="546"/>
      <c r="BP263" s="547"/>
      <c r="BQ263" s="548"/>
      <c r="BR263" s="548"/>
      <c r="BS263" s="546"/>
      <c r="BT263" s="547"/>
      <c r="BU263" s="548"/>
      <c r="BV263" s="548"/>
      <c r="BW263" s="548"/>
      <c r="BX263" s="546"/>
      <c r="BY263" s="547"/>
      <c r="BZ263" s="548"/>
      <c r="CA263" s="560"/>
      <c r="CB263" s="549"/>
    </row>
    <row r="264" spans="1:80" outlineLevel="1">
      <c r="A264" s="594">
        <v>254</v>
      </c>
      <c r="B264" s="556" t="s">
        <v>615</v>
      </c>
      <c r="C264" s="545"/>
      <c r="D264" s="557" t="str">
        <f t="shared" si="33"/>
        <v/>
      </c>
      <c r="E264" s="545">
        <v>1</v>
      </c>
      <c r="F264" s="545" t="s">
        <v>532</v>
      </c>
      <c r="G264" s="589">
        <v>7.2</v>
      </c>
      <c r="H264" s="595"/>
      <c r="I264" s="558"/>
      <c r="J264" s="589">
        <f t="shared" si="34"/>
        <v>0</v>
      </c>
      <c r="K264" s="590" t="str">
        <f t="shared" si="29"/>
        <v>C</v>
      </c>
      <c r="L264" s="547"/>
      <c r="M264" s="548"/>
      <c r="N264" s="548"/>
      <c r="O264" s="546"/>
      <c r="P264" s="547"/>
      <c r="Q264" s="548"/>
      <c r="R264" s="548"/>
      <c r="S264" s="546"/>
      <c r="T264" s="547"/>
      <c r="U264" s="548"/>
      <c r="V264" s="548"/>
      <c r="W264" s="548"/>
      <c r="X264" s="546"/>
      <c r="Y264" s="547"/>
      <c r="Z264" s="548"/>
      <c r="AA264" s="548"/>
      <c r="AB264" s="546"/>
      <c r="AC264" s="547"/>
      <c r="AD264" s="548"/>
      <c r="AE264" s="548"/>
      <c r="AF264" s="546"/>
      <c r="AG264" s="547"/>
      <c r="AH264" s="548"/>
      <c r="AI264" s="548"/>
      <c r="AJ264" s="546"/>
      <c r="AK264" s="547"/>
      <c r="AL264" s="548"/>
      <c r="AM264" s="548"/>
      <c r="AN264" s="548"/>
      <c r="AO264" s="546"/>
      <c r="AP264" s="547"/>
      <c r="AQ264" s="548"/>
      <c r="AR264" s="548"/>
      <c r="AS264" s="546"/>
      <c r="AT264" s="547"/>
      <c r="AU264" s="548"/>
      <c r="AV264" s="548"/>
      <c r="AW264" s="546"/>
      <c r="AX264" s="547"/>
      <c r="AY264" s="548"/>
      <c r="AZ264" s="548"/>
      <c r="BA264" s="548"/>
      <c r="BB264" s="546"/>
      <c r="BC264" s="547"/>
      <c r="BD264" s="548"/>
      <c r="BE264" s="548"/>
      <c r="BF264" s="546"/>
      <c r="BG264" s="547"/>
      <c r="BH264" s="548"/>
      <c r="BI264" s="548"/>
      <c r="BJ264" s="548"/>
      <c r="BK264" s="546"/>
      <c r="BL264" s="547"/>
      <c r="BM264" s="548"/>
      <c r="BN264" s="548"/>
      <c r="BO264" s="546"/>
      <c r="BP264" s="547"/>
      <c r="BQ264" s="548"/>
      <c r="BR264" s="548"/>
      <c r="BS264" s="546"/>
      <c r="BT264" s="547"/>
      <c r="BU264" s="548"/>
      <c r="BV264" s="548"/>
      <c r="BW264" s="548"/>
      <c r="BX264" s="546"/>
      <c r="BY264" s="547"/>
      <c r="BZ264" s="548"/>
      <c r="CA264" s="560"/>
      <c r="CB264" s="549"/>
    </row>
    <row r="265" spans="1:80" outlineLevel="1">
      <c r="A265" s="594">
        <v>255</v>
      </c>
      <c r="B265" s="556" t="s">
        <v>616</v>
      </c>
      <c r="C265" s="545"/>
      <c r="D265" s="557" t="str">
        <f t="shared" si="33"/>
        <v/>
      </c>
      <c r="E265" s="545">
        <v>1</v>
      </c>
      <c r="F265" s="545" t="s">
        <v>532</v>
      </c>
      <c r="G265" s="589">
        <v>4.25</v>
      </c>
      <c r="H265" s="595"/>
      <c r="I265" s="558"/>
      <c r="J265" s="589">
        <f t="shared" si="34"/>
        <v>0</v>
      </c>
      <c r="K265" s="590" t="str">
        <f t="shared" si="29"/>
        <v>C</v>
      </c>
      <c r="L265" s="547"/>
      <c r="M265" s="548"/>
      <c r="N265" s="548"/>
      <c r="O265" s="546"/>
      <c r="P265" s="547"/>
      <c r="Q265" s="548"/>
      <c r="R265" s="548"/>
      <c r="S265" s="546"/>
      <c r="T265" s="547"/>
      <c r="U265" s="548"/>
      <c r="V265" s="548"/>
      <c r="W265" s="548"/>
      <c r="X265" s="546"/>
      <c r="Y265" s="547"/>
      <c r="Z265" s="548"/>
      <c r="AA265" s="548"/>
      <c r="AB265" s="546"/>
      <c r="AC265" s="547"/>
      <c r="AD265" s="548"/>
      <c r="AE265" s="548"/>
      <c r="AF265" s="546"/>
      <c r="AG265" s="547"/>
      <c r="AH265" s="548"/>
      <c r="AI265" s="548"/>
      <c r="AJ265" s="546"/>
      <c r="AK265" s="547"/>
      <c r="AL265" s="548"/>
      <c r="AM265" s="548"/>
      <c r="AN265" s="548"/>
      <c r="AO265" s="546"/>
      <c r="AP265" s="547"/>
      <c r="AQ265" s="548"/>
      <c r="AR265" s="548"/>
      <c r="AS265" s="546"/>
      <c r="AT265" s="547"/>
      <c r="AU265" s="548"/>
      <c r="AV265" s="548"/>
      <c r="AW265" s="546"/>
      <c r="AX265" s="547"/>
      <c r="AY265" s="548"/>
      <c r="AZ265" s="548"/>
      <c r="BA265" s="548"/>
      <c r="BB265" s="546"/>
      <c r="BC265" s="547"/>
      <c r="BD265" s="548"/>
      <c r="BE265" s="548"/>
      <c r="BF265" s="546"/>
      <c r="BG265" s="547"/>
      <c r="BH265" s="548"/>
      <c r="BI265" s="548"/>
      <c r="BJ265" s="548"/>
      <c r="BK265" s="546"/>
      <c r="BL265" s="547"/>
      <c r="BM265" s="548"/>
      <c r="BN265" s="548"/>
      <c r="BO265" s="546"/>
      <c r="BP265" s="547"/>
      <c r="BQ265" s="548"/>
      <c r="BR265" s="548"/>
      <c r="BS265" s="546"/>
      <c r="BT265" s="547"/>
      <c r="BU265" s="548"/>
      <c r="BV265" s="548"/>
      <c r="BW265" s="548"/>
      <c r="BX265" s="546"/>
      <c r="BY265" s="547"/>
      <c r="BZ265" s="548"/>
      <c r="CA265" s="560"/>
      <c r="CB265" s="549"/>
    </row>
    <row r="266" spans="1:80" outlineLevel="1">
      <c r="A266" s="594">
        <v>256</v>
      </c>
      <c r="B266" s="556" t="s">
        <v>569</v>
      </c>
      <c r="C266" s="545"/>
      <c r="D266" s="557" t="str">
        <f t="shared" si="33"/>
        <v/>
      </c>
      <c r="E266" s="545">
        <v>0</v>
      </c>
      <c r="F266" s="545" t="s">
        <v>532</v>
      </c>
      <c r="G266" s="589">
        <v>4.18</v>
      </c>
      <c r="H266" s="595"/>
      <c r="I266" s="558"/>
      <c r="J266" s="589">
        <f t="shared" si="34"/>
        <v>0</v>
      </c>
      <c r="K266" s="590" t="str">
        <f t="shared" si="29"/>
        <v>C</v>
      </c>
      <c r="L266" s="547"/>
      <c r="M266" s="548"/>
      <c r="N266" s="548"/>
      <c r="O266" s="546"/>
      <c r="P266" s="547"/>
      <c r="Q266" s="548"/>
      <c r="R266" s="548"/>
      <c r="S266" s="546"/>
      <c r="T266" s="547"/>
      <c r="U266" s="548"/>
      <c r="V266" s="548"/>
      <c r="W266" s="548"/>
      <c r="X266" s="546"/>
      <c r="Y266" s="547"/>
      <c r="Z266" s="548"/>
      <c r="AA266" s="548"/>
      <c r="AB266" s="546"/>
      <c r="AC266" s="547"/>
      <c r="AD266" s="548"/>
      <c r="AE266" s="548"/>
      <c r="AF266" s="546"/>
      <c r="AG266" s="547"/>
      <c r="AH266" s="548"/>
      <c r="AI266" s="548"/>
      <c r="AJ266" s="546"/>
      <c r="AK266" s="547"/>
      <c r="AL266" s="548"/>
      <c r="AM266" s="548"/>
      <c r="AN266" s="548"/>
      <c r="AO266" s="546"/>
      <c r="AP266" s="547"/>
      <c r="AQ266" s="548"/>
      <c r="AR266" s="548"/>
      <c r="AS266" s="546"/>
      <c r="AT266" s="547"/>
      <c r="AU266" s="548"/>
      <c r="AV266" s="548"/>
      <c r="AW266" s="546"/>
      <c r="AX266" s="547"/>
      <c r="AY266" s="548"/>
      <c r="AZ266" s="548"/>
      <c r="BA266" s="548"/>
      <c r="BB266" s="546"/>
      <c r="BC266" s="547"/>
      <c r="BD266" s="548"/>
      <c r="BE266" s="548"/>
      <c r="BF266" s="546"/>
      <c r="BG266" s="547"/>
      <c r="BH266" s="548"/>
      <c r="BI266" s="548"/>
      <c r="BJ266" s="548"/>
      <c r="BK266" s="546"/>
      <c r="BL266" s="547"/>
      <c r="BM266" s="548"/>
      <c r="BN266" s="548"/>
      <c r="BO266" s="546"/>
      <c r="BP266" s="547"/>
      <c r="BQ266" s="548"/>
      <c r="BR266" s="548"/>
      <c r="BS266" s="546"/>
      <c r="BT266" s="547"/>
      <c r="BU266" s="548"/>
      <c r="BV266" s="548"/>
      <c r="BW266" s="548"/>
      <c r="BX266" s="546"/>
      <c r="BY266" s="547"/>
      <c r="BZ266" s="548"/>
      <c r="CA266" s="560"/>
      <c r="CB266" s="549"/>
    </row>
    <row r="267" spans="1:80" outlineLevel="1">
      <c r="A267" s="594">
        <v>257</v>
      </c>
      <c r="B267" s="556" t="s">
        <v>568</v>
      </c>
      <c r="C267" s="545"/>
      <c r="D267" s="557" t="str">
        <f t="shared" si="33"/>
        <v/>
      </c>
      <c r="E267" s="545">
        <v>1</v>
      </c>
      <c r="F267" s="545" t="s">
        <v>532</v>
      </c>
      <c r="G267" s="589">
        <v>2.78</v>
      </c>
      <c r="H267" s="595"/>
      <c r="I267" s="558"/>
      <c r="J267" s="589">
        <f t="shared" si="34"/>
        <v>0</v>
      </c>
      <c r="K267" s="590" t="str">
        <f t="shared" si="29"/>
        <v>C</v>
      </c>
      <c r="L267" s="547"/>
      <c r="M267" s="548"/>
      <c r="N267" s="548"/>
      <c r="O267" s="546"/>
      <c r="P267" s="547"/>
      <c r="Q267" s="548"/>
      <c r="R267" s="548"/>
      <c r="S267" s="546"/>
      <c r="T267" s="547"/>
      <c r="U267" s="548"/>
      <c r="V267" s="548"/>
      <c r="W267" s="548"/>
      <c r="X267" s="546"/>
      <c r="Y267" s="547"/>
      <c r="Z267" s="548"/>
      <c r="AA267" s="548"/>
      <c r="AB267" s="546"/>
      <c r="AC267" s="547"/>
      <c r="AD267" s="548"/>
      <c r="AE267" s="548"/>
      <c r="AF267" s="546"/>
      <c r="AG267" s="547"/>
      <c r="AH267" s="548"/>
      <c r="AI267" s="548"/>
      <c r="AJ267" s="546"/>
      <c r="AK267" s="547"/>
      <c r="AL267" s="548"/>
      <c r="AM267" s="548"/>
      <c r="AN267" s="548"/>
      <c r="AO267" s="546"/>
      <c r="AP267" s="547"/>
      <c r="AQ267" s="548"/>
      <c r="AR267" s="548"/>
      <c r="AS267" s="546"/>
      <c r="AT267" s="547"/>
      <c r="AU267" s="548"/>
      <c r="AV267" s="548"/>
      <c r="AW267" s="546"/>
      <c r="AX267" s="547"/>
      <c r="AY267" s="548"/>
      <c r="AZ267" s="548"/>
      <c r="BA267" s="548"/>
      <c r="BB267" s="546"/>
      <c r="BC267" s="547"/>
      <c r="BD267" s="548"/>
      <c r="BE267" s="548"/>
      <c r="BF267" s="546"/>
      <c r="BG267" s="547"/>
      <c r="BH267" s="548"/>
      <c r="BI267" s="548"/>
      <c r="BJ267" s="548"/>
      <c r="BK267" s="546"/>
      <c r="BL267" s="547"/>
      <c r="BM267" s="548"/>
      <c r="BN267" s="548"/>
      <c r="BO267" s="546"/>
      <c r="BP267" s="547"/>
      <c r="BQ267" s="548"/>
      <c r="BR267" s="548"/>
      <c r="BS267" s="546"/>
      <c r="BT267" s="547"/>
      <c r="BU267" s="548"/>
      <c r="BV267" s="548"/>
      <c r="BW267" s="548"/>
      <c r="BX267" s="546"/>
      <c r="BY267" s="547"/>
      <c r="BZ267" s="548"/>
      <c r="CA267" s="560"/>
      <c r="CB267" s="549"/>
    </row>
    <row r="268" spans="1:80" outlineLevel="1">
      <c r="A268" s="594">
        <v>258</v>
      </c>
      <c r="B268" s="556" t="s">
        <v>570</v>
      </c>
      <c r="C268" s="545"/>
      <c r="D268" s="557" t="str">
        <f t="shared" si="33"/>
        <v/>
      </c>
      <c r="E268" s="545">
        <v>0</v>
      </c>
      <c r="F268" s="545" t="s">
        <v>532</v>
      </c>
      <c r="G268" s="589">
        <v>2</v>
      </c>
      <c r="H268" s="595"/>
      <c r="I268" s="558"/>
      <c r="J268" s="589">
        <f t="shared" si="34"/>
        <v>0</v>
      </c>
      <c r="K268" s="590" t="str">
        <f t="shared" si="29"/>
        <v>C</v>
      </c>
      <c r="L268" s="547"/>
      <c r="M268" s="548"/>
      <c r="N268" s="548"/>
      <c r="O268" s="546"/>
      <c r="P268" s="547"/>
      <c r="Q268" s="548"/>
      <c r="R268" s="548"/>
      <c r="S268" s="546"/>
      <c r="T268" s="547"/>
      <c r="U268" s="548"/>
      <c r="V268" s="548"/>
      <c r="W268" s="548"/>
      <c r="X268" s="546"/>
      <c r="Y268" s="547"/>
      <c r="Z268" s="548"/>
      <c r="AA268" s="548"/>
      <c r="AB268" s="546"/>
      <c r="AC268" s="547"/>
      <c r="AD268" s="548"/>
      <c r="AE268" s="548"/>
      <c r="AF268" s="546"/>
      <c r="AG268" s="547"/>
      <c r="AH268" s="548"/>
      <c r="AI268" s="548"/>
      <c r="AJ268" s="546"/>
      <c r="AK268" s="547"/>
      <c r="AL268" s="548"/>
      <c r="AM268" s="548"/>
      <c r="AN268" s="548"/>
      <c r="AO268" s="546"/>
      <c r="AP268" s="547"/>
      <c r="AQ268" s="548"/>
      <c r="AR268" s="548"/>
      <c r="AS268" s="546"/>
      <c r="AT268" s="547"/>
      <c r="AU268" s="548"/>
      <c r="AV268" s="548"/>
      <c r="AW268" s="546"/>
      <c r="AX268" s="547"/>
      <c r="AY268" s="548"/>
      <c r="AZ268" s="548"/>
      <c r="BA268" s="548"/>
      <c r="BB268" s="546"/>
      <c r="BC268" s="547"/>
      <c r="BD268" s="548"/>
      <c r="BE268" s="548"/>
      <c r="BF268" s="546"/>
      <c r="BG268" s="547"/>
      <c r="BH268" s="548"/>
      <c r="BI268" s="548"/>
      <c r="BJ268" s="548"/>
      <c r="BK268" s="546"/>
      <c r="BL268" s="547"/>
      <c r="BM268" s="548"/>
      <c r="BN268" s="548"/>
      <c r="BO268" s="546"/>
      <c r="BP268" s="547"/>
      <c r="BQ268" s="548"/>
      <c r="BR268" s="548"/>
      <c r="BS268" s="546"/>
      <c r="BT268" s="547"/>
      <c r="BU268" s="548"/>
      <c r="BV268" s="548"/>
      <c r="BW268" s="548"/>
      <c r="BX268" s="546"/>
      <c r="BY268" s="547"/>
      <c r="BZ268" s="548"/>
      <c r="CA268" s="560"/>
      <c r="CB268" s="549"/>
    </row>
    <row r="269" spans="1:80" outlineLevel="1">
      <c r="A269" s="594">
        <v>259</v>
      </c>
      <c r="B269" s="556" t="s">
        <v>569</v>
      </c>
      <c r="C269" s="545"/>
      <c r="D269" s="557" t="str">
        <f t="shared" si="33"/>
        <v/>
      </c>
      <c r="E269" s="545">
        <v>1</v>
      </c>
      <c r="F269" s="545" t="s">
        <v>532</v>
      </c>
      <c r="G269" s="589">
        <v>4.18</v>
      </c>
      <c r="H269" s="595"/>
      <c r="I269" s="558"/>
      <c r="J269" s="589">
        <f t="shared" si="34"/>
        <v>0</v>
      </c>
      <c r="K269" s="590" t="str">
        <f t="shared" si="29"/>
        <v>C</v>
      </c>
      <c r="L269" s="547"/>
      <c r="M269" s="548"/>
      <c r="N269" s="548"/>
      <c r="O269" s="546"/>
      <c r="P269" s="547"/>
      <c r="Q269" s="548"/>
      <c r="R269" s="548"/>
      <c r="S269" s="546"/>
      <c r="T269" s="547"/>
      <c r="U269" s="548"/>
      <c r="V269" s="548"/>
      <c r="W269" s="548"/>
      <c r="X269" s="546"/>
      <c r="Y269" s="547"/>
      <c r="Z269" s="548"/>
      <c r="AA269" s="548"/>
      <c r="AB269" s="546"/>
      <c r="AC269" s="547"/>
      <c r="AD269" s="548"/>
      <c r="AE269" s="548"/>
      <c r="AF269" s="546"/>
      <c r="AG269" s="547"/>
      <c r="AH269" s="548"/>
      <c r="AI269" s="548"/>
      <c r="AJ269" s="546"/>
      <c r="AK269" s="547"/>
      <c r="AL269" s="548"/>
      <c r="AM269" s="548"/>
      <c r="AN269" s="548"/>
      <c r="AO269" s="546"/>
      <c r="AP269" s="547"/>
      <c r="AQ269" s="548"/>
      <c r="AR269" s="548"/>
      <c r="AS269" s="546"/>
      <c r="AT269" s="547"/>
      <c r="AU269" s="548"/>
      <c r="AV269" s="548"/>
      <c r="AW269" s="546"/>
      <c r="AX269" s="547"/>
      <c r="AY269" s="548"/>
      <c r="AZ269" s="548"/>
      <c r="BA269" s="548"/>
      <c r="BB269" s="546"/>
      <c r="BC269" s="547"/>
      <c r="BD269" s="548"/>
      <c r="BE269" s="548"/>
      <c r="BF269" s="546"/>
      <c r="BG269" s="547"/>
      <c r="BH269" s="548"/>
      <c r="BI269" s="548"/>
      <c r="BJ269" s="548"/>
      <c r="BK269" s="546"/>
      <c r="BL269" s="547"/>
      <c r="BM269" s="548"/>
      <c r="BN269" s="548"/>
      <c r="BO269" s="546"/>
      <c r="BP269" s="547"/>
      <c r="BQ269" s="548"/>
      <c r="BR269" s="548"/>
      <c r="BS269" s="546"/>
      <c r="BT269" s="547"/>
      <c r="BU269" s="548"/>
      <c r="BV269" s="548"/>
      <c r="BW269" s="548"/>
      <c r="BX269" s="546"/>
      <c r="BY269" s="547"/>
      <c r="BZ269" s="548"/>
      <c r="CA269" s="560"/>
      <c r="CB269" s="549"/>
    </row>
    <row r="270" spans="1:80" outlineLevel="1">
      <c r="A270" s="594">
        <v>260</v>
      </c>
      <c r="B270" s="556" t="s">
        <v>617</v>
      </c>
      <c r="C270" s="545"/>
      <c r="D270" s="557" t="str">
        <f t="shared" si="33"/>
        <v/>
      </c>
      <c r="E270" s="545">
        <v>1</v>
      </c>
      <c r="F270" s="545" t="s">
        <v>532</v>
      </c>
      <c r="G270" s="589">
        <v>5.5</v>
      </c>
      <c r="H270" s="595"/>
      <c r="I270" s="558"/>
      <c r="J270" s="589">
        <f t="shared" si="34"/>
        <v>0</v>
      </c>
      <c r="K270" s="590" t="str">
        <f t="shared" si="29"/>
        <v>C</v>
      </c>
      <c r="L270" s="547"/>
      <c r="M270" s="548"/>
      <c r="N270" s="548"/>
      <c r="O270" s="546"/>
      <c r="P270" s="547"/>
      <c r="Q270" s="548"/>
      <c r="R270" s="548"/>
      <c r="S270" s="546"/>
      <c r="T270" s="547"/>
      <c r="U270" s="548"/>
      <c r="V270" s="548"/>
      <c r="W270" s="548"/>
      <c r="X270" s="546"/>
      <c r="Y270" s="547"/>
      <c r="Z270" s="548"/>
      <c r="AA270" s="548"/>
      <c r="AB270" s="546"/>
      <c r="AC270" s="547"/>
      <c r="AD270" s="548"/>
      <c r="AE270" s="548"/>
      <c r="AF270" s="546"/>
      <c r="AG270" s="547"/>
      <c r="AH270" s="548"/>
      <c r="AI270" s="548"/>
      <c r="AJ270" s="546"/>
      <c r="AK270" s="547"/>
      <c r="AL270" s="548"/>
      <c r="AM270" s="548"/>
      <c r="AN270" s="548"/>
      <c r="AO270" s="546"/>
      <c r="AP270" s="547"/>
      <c r="AQ270" s="548"/>
      <c r="AR270" s="548"/>
      <c r="AS270" s="546"/>
      <c r="AT270" s="547"/>
      <c r="AU270" s="548"/>
      <c r="AV270" s="548"/>
      <c r="AW270" s="546"/>
      <c r="AX270" s="547"/>
      <c r="AY270" s="548"/>
      <c r="AZ270" s="548"/>
      <c r="BA270" s="548"/>
      <c r="BB270" s="546"/>
      <c r="BC270" s="547"/>
      <c r="BD270" s="548"/>
      <c r="BE270" s="548"/>
      <c r="BF270" s="546"/>
      <c r="BG270" s="547"/>
      <c r="BH270" s="548"/>
      <c r="BI270" s="548"/>
      <c r="BJ270" s="548"/>
      <c r="BK270" s="546"/>
      <c r="BL270" s="547"/>
      <c r="BM270" s="548"/>
      <c r="BN270" s="548"/>
      <c r="BO270" s="546"/>
      <c r="BP270" s="547"/>
      <c r="BQ270" s="548"/>
      <c r="BR270" s="548"/>
      <c r="BS270" s="546"/>
      <c r="BT270" s="547"/>
      <c r="BU270" s="548"/>
      <c r="BV270" s="548"/>
      <c r="BW270" s="548"/>
      <c r="BX270" s="546"/>
      <c r="BY270" s="547"/>
      <c r="BZ270" s="548"/>
      <c r="CA270" s="560"/>
      <c r="CB270" s="549"/>
    </row>
    <row r="271" spans="1:80">
      <c r="A271" s="594">
        <v>261</v>
      </c>
      <c r="B271" s="556"/>
      <c r="C271" s="545"/>
      <c r="D271" s="557"/>
      <c r="E271" s="545"/>
      <c r="F271" s="545"/>
      <c r="G271" s="589"/>
      <c r="H271" s="595"/>
      <c r="I271" s="558"/>
      <c r="J271" s="589" t="s">
        <v>624</v>
      </c>
      <c r="K271" s="590" t="str">
        <f t="shared" si="29"/>
        <v/>
      </c>
      <c r="L271" s="547"/>
      <c r="M271" s="548"/>
      <c r="N271" s="548"/>
      <c r="O271" s="546"/>
      <c r="P271" s="547"/>
      <c r="Q271" s="548"/>
      <c r="R271" s="548"/>
      <c r="S271" s="546"/>
      <c r="T271" s="547"/>
      <c r="U271" s="548"/>
      <c r="V271" s="548"/>
      <c r="W271" s="548"/>
      <c r="X271" s="546"/>
      <c r="Y271" s="547"/>
      <c r="Z271" s="548"/>
      <c r="AA271" s="548"/>
      <c r="AB271" s="546"/>
      <c r="AC271" s="547"/>
      <c r="AD271" s="548"/>
      <c r="AE271" s="548"/>
      <c r="AF271" s="546"/>
      <c r="AG271" s="547"/>
      <c r="AH271" s="548"/>
      <c r="AI271" s="548"/>
      <c r="AJ271" s="546"/>
      <c r="AK271" s="547"/>
      <c r="AL271" s="548"/>
      <c r="AM271" s="548"/>
      <c r="AN271" s="548"/>
      <c r="AO271" s="546"/>
      <c r="AP271" s="547"/>
      <c r="AQ271" s="548"/>
      <c r="AR271" s="548"/>
      <c r="AS271" s="546"/>
      <c r="AT271" s="547"/>
      <c r="AU271" s="548"/>
      <c r="AV271" s="548"/>
      <c r="AW271" s="546"/>
      <c r="AX271" s="547"/>
      <c r="AY271" s="548"/>
      <c r="AZ271" s="548"/>
      <c r="BA271" s="548"/>
      <c r="BB271" s="546"/>
      <c r="BC271" s="547"/>
      <c r="BD271" s="548"/>
      <c r="BE271" s="548"/>
      <c r="BF271" s="546"/>
      <c r="BG271" s="547"/>
      <c r="BH271" s="548"/>
      <c r="BI271" s="548"/>
      <c r="BJ271" s="548"/>
      <c r="BK271" s="546"/>
      <c r="BL271" s="547"/>
      <c r="BM271" s="548"/>
      <c r="BN271" s="548"/>
      <c r="BO271" s="546"/>
      <c r="BP271" s="547"/>
      <c r="BQ271" s="548"/>
      <c r="BR271" s="548"/>
      <c r="BS271" s="546"/>
      <c r="BT271" s="547"/>
      <c r="BU271" s="548"/>
      <c r="BV271" s="548"/>
      <c r="BW271" s="548"/>
      <c r="BX271" s="546"/>
      <c r="BY271" s="547"/>
      <c r="BZ271" s="548"/>
      <c r="CA271" s="560"/>
      <c r="CB271" s="549"/>
    </row>
    <row r="272" spans="1:80">
      <c r="A272" s="582">
        <v>262</v>
      </c>
      <c r="B272" s="583" t="s">
        <v>633</v>
      </c>
      <c r="C272" s="584"/>
      <c r="D272" s="584"/>
      <c r="E272" s="584"/>
      <c r="F272" s="584"/>
      <c r="G272" s="584"/>
      <c r="H272" s="585"/>
      <c r="I272" s="586" t="s">
        <v>594</v>
      </c>
      <c r="J272" s="587">
        <f>SUBTOTAL(9,J273:J278)</f>
        <v>0</v>
      </c>
      <c r="K272" s="588" t="str">
        <f t="shared" si="29"/>
        <v>C</v>
      </c>
      <c r="L272" s="547"/>
      <c r="M272" s="548"/>
      <c r="N272" s="548"/>
      <c r="O272" s="546"/>
      <c r="P272" s="547"/>
      <c r="Q272" s="548"/>
      <c r="R272" s="548"/>
      <c r="S272" s="546"/>
      <c r="T272" s="547"/>
      <c r="U272" s="548"/>
      <c r="V272" s="548"/>
      <c r="W272" s="548"/>
      <c r="X272" s="546"/>
      <c r="Y272" s="547"/>
      <c r="Z272" s="548"/>
      <c r="AA272" s="548"/>
      <c r="AB272" s="546"/>
      <c r="AC272" s="547"/>
      <c r="AD272" s="548"/>
      <c r="AE272" s="548"/>
      <c r="AF272" s="546"/>
      <c r="AG272" s="547"/>
      <c r="AH272" s="548"/>
      <c r="AI272" s="548"/>
      <c r="AJ272" s="546"/>
      <c r="AK272" s="547"/>
      <c r="AL272" s="548"/>
      <c r="AM272" s="548"/>
      <c r="AN272" s="548"/>
      <c r="AO272" s="546"/>
      <c r="AP272" s="547"/>
      <c r="AQ272" s="548"/>
      <c r="AR272" s="548"/>
      <c r="AS272" s="546"/>
      <c r="AT272" s="547"/>
      <c r="AU272" s="548"/>
      <c r="AV272" s="548"/>
      <c r="AW272" s="546"/>
      <c r="AX272" s="547"/>
      <c r="AY272" s="548"/>
      <c r="AZ272" s="548"/>
      <c r="BA272" s="548"/>
      <c r="BB272" s="546"/>
      <c r="BC272" s="547"/>
      <c r="BD272" s="548"/>
      <c r="BE272" s="548"/>
      <c r="BF272" s="546"/>
      <c r="BG272" s="547"/>
      <c r="BH272" s="548"/>
      <c r="BI272" s="548"/>
      <c r="BJ272" s="548"/>
      <c r="BK272" s="546"/>
      <c r="BL272" s="547"/>
      <c r="BM272" s="548"/>
      <c r="BN272" s="548"/>
      <c r="BO272" s="546"/>
      <c r="BP272" s="547"/>
      <c r="BQ272" s="548"/>
      <c r="BR272" s="548"/>
      <c r="BS272" s="546"/>
      <c r="BT272" s="547"/>
      <c r="BU272" s="548"/>
      <c r="BV272" s="548"/>
      <c r="BW272" s="548"/>
      <c r="BX272" s="546"/>
      <c r="BY272" s="547"/>
      <c r="BZ272" s="548"/>
      <c r="CA272" s="560"/>
      <c r="CB272" s="549"/>
    </row>
    <row r="273" spans="1:80" outlineLevel="1">
      <c r="A273" s="594">
        <v>263</v>
      </c>
      <c r="B273" s="556"/>
      <c r="C273" s="545"/>
      <c r="D273" s="557"/>
      <c r="E273" s="545"/>
      <c r="F273" s="545"/>
      <c r="G273" s="589"/>
      <c r="H273" s="595"/>
      <c r="I273" s="558"/>
      <c r="J273" s="589" t="s">
        <v>624</v>
      </c>
      <c r="K273" s="590" t="str">
        <f t="shared" si="29"/>
        <v/>
      </c>
      <c r="L273" s="547"/>
      <c r="M273" s="548"/>
      <c r="N273" s="548"/>
      <c r="O273" s="546"/>
      <c r="P273" s="547"/>
      <c r="Q273" s="548"/>
      <c r="R273" s="548"/>
      <c r="S273" s="546"/>
      <c r="T273" s="547"/>
      <c r="U273" s="548"/>
      <c r="V273" s="548"/>
      <c r="W273" s="548"/>
      <c r="X273" s="546"/>
      <c r="Y273" s="547"/>
      <c r="Z273" s="548"/>
      <c r="AA273" s="548"/>
      <c r="AB273" s="546"/>
      <c r="AC273" s="547"/>
      <c r="AD273" s="548"/>
      <c r="AE273" s="548"/>
      <c r="AF273" s="546"/>
      <c r="AG273" s="547"/>
      <c r="AH273" s="548"/>
      <c r="AI273" s="548"/>
      <c r="AJ273" s="546"/>
      <c r="AK273" s="547"/>
      <c r="AL273" s="548"/>
      <c r="AM273" s="548"/>
      <c r="AN273" s="548"/>
      <c r="AO273" s="546"/>
      <c r="AP273" s="547"/>
      <c r="AQ273" s="548"/>
      <c r="AR273" s="548"/>
      <c r="AS273" s="546"/>
      <c r="AT273" s="547"/>
      <c r="AU273" s="548"/>
      <c r="AV273" s="548"/>
      <c r="AW273" s="546"/>
      <c r="AX273" s="547"/>
      <c r="AY273" s="548"/>
      <c r="AZ273" s="548"/>
      <c r="BA273" s="548"/>
      <c r="BB273" s="546"/>
      <c r="BC273" s="547"/>
      <c r="BD273" s="548"/>
      <c r="BE273" s="548"/>
      <c r="BF273" s="546"/>
      <c r="BG273" s="547"/>
      <c r="BH273" s="548"/>
      <c r="BI273" s="548"/>
      <c r="BJ273" s="548"/>
      <c r="BK273" s="546"/>
      <c r="BL273" s="547"/>
      <c r="BM273" s="548"/>
      <c r="BN273" s="548"/>
      <c r="BO273" s="546"/>
      <c r="BP273" s="547"/>
      <c r="BQ273" s="548"/>
      <c r="BR273" s="548"/>
      <c r="BS273" s="546"/>
      <c r="BT273" s="547"/>
      <c r="BU273" s="548"/>
      <c r="BV273" s="548"/>
      <c r="BW273" s="548"/>
      <c r="BX273" s="546"/>
      <c r="BY273" s="547"/>
      <c r="BZ273" s="548"/>
      <c r="CA273" s="560"/>
      <c r="CB273" s="549"/>
    </row>
    <row r="274" spans="1:80" outlineLevel="1">
      <c r="A274" s="594">
        <v>264</v>
      </c>
      <c r="B274" s="556" t="s">
        <v>581</v>
      </c>
      <c r="C274" s="545"/>
      <c r="D274" s="557" t="str">
        <f>DureeHL($L274:$CB274)</f>
        <v/>
      </c>
      <c r="E274" s="545"/>
      <c r="F274" s="545" t="s">
        <v>532</v>
      </c>
      <c r="G274" s="589">
        <v>0.04</v>
      </c>
      <c r="H274" s="595"/>
      <c r="I274" s="558"/>
      <c r="J274" s="589">
        <f>IF(D274="Achat",1,IF(D274="",0,D274*7))*E274*G274</f>
        <v>0</v>
      </c>
      <c r="K274" s="590" t="str">
        <f t="shared" si="29"/>
        <v>C</v>
      </c>
      <c r="L274" s="547"/>
      <c r="M274" s="548"/>
      <c r="N274" s="548"/>
      <c r="O274" s="546"/>
      <c r="P274" s="547"/>
      <c r="Q274" s="548"/>
      <c r="R274" s="548"/>
      <c r="S274" s="546"/>
      <c r="T274" s="547"/>
      <c r="U274" s="548"/>
      <c r="V274" s="548"/>
      <c r="W274" s="548"/>
      <c r="X274" s="546"/>
      <c r="Y274" s="547"/>
      <c r="Z274" s="548"/>
      <c r="AA274" s="548"/>
      <c r="AB274" s="546"/>
      <c r="AC274" s="547"/>
      <c r="AD274" s="548"/>
      <c r="AE274" s="548"/>
      <c r="AF274" s="546"/>
      <c r="AG274" s="547"/>
      <c r="AH274" s="548"/>
      <c r="AI274" s="548"/>
      <c r="AJ274" s="546"/>
      <c r="AK274" s="547"/>
      <c r="AL274" s="548"/>
      <c r="AM274" s="548"/>
      <c r="AN274" s="548"/>
      <c r="AO274" s="546"/>
      <c r="AP274" s="547"/>
      <c r="AQ274" s="548"/>
      <c r="AR274" s="548"/>
      <c r="AS274" s="546"/>
      <c r="AT274" s="547"/>
      <c r="AU274" s="548"/>
      <c r="AV274" s="548"/>
      <c r="AW274" s="546"/>
      <c r="AX274" s="547"/>
      <c r="AY274" s="548"/>
      <c r="AZ274" s="548"/>
      <c r="BA274" s="548"/>
      <c r="BB274" s="546"/>
      <c r="BC274" s="547"/>
      <c r="BD274" s="548"/>
      <c r="BE274" s="548"/>
      <c r="BF274" s="546"/>
      <c r="BG274" s="547"/>
      <c r="BH274" s="548"/>
      <c r="BI274" s="548"/>
      <c r="BJ274" s="548"/>
      <c r="BK274" s="546"/>
      <c r="BL274" s="547"/>
      <c r="BM274" s="548"/>
      <c r="BN274" s="548"/>
      <c r="BO274" s="546"/>
      <c r="BP274" s="547"/>
      <c r="BQ274" s="548"/>
      <c r="BR274" s="548"/>
      <c r="BS274" s="546"/>
      <c r="BT274" s="547"/>
      <c r="BU274" s="548"/>
      <c r="BV274" s="548"/>
      <c r="BW274" s="548"/>
      <c r="BX274" s="546"/>
      <c r="BY274" s="547"/>
      <c r="BZ274" s="548"/>
      <c r="CA274" s="560"/>
      <c r="CB274" s="549"/>
    </row>
    <row r="275" spans="1:80" outlineLevel="1">
      <c r="A275" s="594">
        <v>265</v>
      </c>
      <c r="B275" s="556" t="s">
        <v>582</v>
      </c>
      <c r="C275" s="545"/>
      <c r="D275" s="557" t="str">
        <f>DureeHL($L275:$CB275)</f>
        <v/>
      </c>
      <c r="E275" s="545">
        <v>1</v>
      </c>
      <c r="F275" s="545" t="s">
        <v>532</v>
      </c>
      <c r="G275" s="589">
        <v>0.09</v>
      </c>
      <c r="H275" s="595"/>
      <c r="I275" s="558"/>
      <c r="J275" s="589">
        <f>IF(D275="Achat",1,IF(D275="",0,D275*7))*E275*G275</f>
        <v>0</v>
      </c>
      <c r="K275" s="590" t="str">
        <f t="shared" si="29"/>
        <v>C</v>
      </c>
      <c r="L275" s="547"/>
      <c r="M275" s="548"/>
      <c r="N275" s="548"/>
      <c r="O275" s="546"/>
      <c r="P275" s="547"/>
      <c r="Q275" s="548"/>
      <c r="R275" s="548"/>
      <c r="S275" s="546"/>
      <c r="T275" s="547"/>
      <c r="U275" s="548"/>
      <c r="V275" s="548"/>
      <c r="W275" s="548"/>
      <c r="X275" s="546"/>
      <c r="Y275" s="547"/>
      <c r="Z275" s="548"/>
      <c r="AA275" s="548"/>
      <c r="AB275" s="546"/>
      <c r="AC275" s="547"/>
      <c r="AD275" s="548"/>
      <c r="AE275" s="548"/>
      <c r="AF275" s="546"/>
      <c r="AG275" s="547"/>
      <c r="AH275" s="548"/>
      <c r="AI275" s="548"/>
      <c r="AJ275" s="546"/>
      <c r="AK275" s="547"/>
      <c r="AL275" s="548"/>
      <c r="AM275" s="548"/>
      <c r="AN275" s="548"/>
      <c r="AO275" s="546"/>
      <c r="AP275" s="547"/>
      <c r="AQ275" s="548"/>
      <c r="AR275" s="548"/>
      <c r="AS275" s="546"/>
      <c r="AT275" s="547"/>
      <c r="AU275" s="548"/>
      <c r="AV275" s="548"/>
      <c r="AW275" s="546"/>
      <c r="AX275" s="547"/>
      <c r="AY275" s="548"/>
      <c r="AZ275" s="548"/>
      <c r="BA275" s="548"/>
      <c r="BB275" s="546"/>
      <c r="BC275" s="547"/>
      <c r="BD275" s="548"/>
      <c r="BE275" s="548"/>
      <c r="BF275" s="546"/>
      <c r="BG275" s="547"/>
      <c r="BH275" s="548"/>
      <c r="BI275" s="548"/>
      <c r="BJ275" s="548"/>
      <c r="BK275" s="546"/>
      <c r="BL275" s="547"/>
      <c r="BM275" s="548"/>
      <c r="BN275" s="548"/>
      <c r="BO275" s="546"/>
      <c r="BP275" s="547"/>
      <c r="BQ275" s="548"/>
      <c r="BR275" s="548"/>
      <c r="BS275" s="546"/>
      <c r="BT275" s="547"/>
      <c r="BU275" s="548"/>
      <c r="BV275" s="548"/>
      <c r="BW275" s="548"/>
      <c r="BX275" s="546"/>
      <c r="BY275" s="547"/>
      <c r="BZ275" s="548"/>
      <c r="CA275" s="560"/>
      <c r="CB275" s="549"/>
    </row>
    <row r="276" spans="1:80" outlineLevel="1">
      <c r="A276" s="594">
        <v>266</v>
      </c>
      <c r="B276" s="556" t="s">
        <v>629</v>
      </c>
      <c r="C276" s="545"/>
      <c r="D276" s="557" t="str">
        <f>DureeHL($L276:$CB276)</f>
        <v/>
      </c>
      <c r="E276" s="545"/>
      <c r="F276" s="545" t="s">
        <v>532</v>
      </c>
      <c r="G276" s="589">
        <v>0.04</v>
      </c>
      <c r="H276" s="595"/>
      <c r="I276" s="558"/>
      <c r="J276" s="589">
        <f>IF(D276="Achat",1,IF(D276="",0,D276*7))*E276*G276</f>
        <v>0</v>
      </c>
      <c r="K276" s="590" t="str">
        <f t="shared" si="29"/>
        <v>C</v>
      </c>
      <c r="L276" s="547"/>
      <c r="M276" s="548"/>
      <c r="N276" s="548"/>
      <c r="O276" s="546"/>
      <c r="P276" s="547"/>
      <c r="Q276" s="548"/>
      <c r="R276" s="548"/>
      <c r="S276" s="546"/>
      <c r="T276" s="547"/>
      <c r="U276" s="548"/>
      <c r="V276" s="548"/>
      <c r="W276" s="548"/>
      <c r="X276" s="546"/>
      <c r="Y276" s="547"/>
      <c r="Z276" s="548"/>
      <c r="AA276" s="548"/>
      <c r="AB276" s="546"/>
      <c r="AC276" s="547"/>
      <c r="AD276" s="548"/>
      <c r="AE276" s="548"/>
      <c r="AF276" s="546"/>
      <c r="AG276" s="547"/>
      <c r="AH276" s="548"/>
      <c r="AI276" s="548"/>
      <c r="AJ276" s="546"/>
      <c r="AK276" s="547"/>
      <c r="AL276" s="548"/>
      <c r="AM276" s="548"/>
      <c r="AN276" s="548"/>
      <c r="AO276" s="546"/>
      <c r="AP276" s="547"/>
      <c r="AQ276" s="548"/>
      <c r="AR276" s="548"/>
      <c r="AS276" s="546"/>
      <c r="AT276" s="547"/>
      <c r="AU276" s="548"/>
      <c r="AV276" s="548"/>
      <c r="AW276" s="546"/>
      <c r="AX276" s="547"/>
      <c r="AY276" s="548"/>
      <c r="AZ276" s="548"/>
      <c r="BA276" s="548"/>
      <c r="BB276" s="546"/>
      <c r="BC276" s="547"/>
      <c r="BD276" s="548"/>
      <c r="BE276" s="548"/>
      <c r="BF276" s="546"/>
      <c r="BG276" s="547"/>
      <c r="BH276" s="548"/>
      <c r="BI276" s="548"/>
      <c r="BJ276" s="548"/>
      <c r="BK276" s="546"/>
      <c r="BL276" s="547"/>
      <c r="BM276" s="548"/>
      <c r="BN276" s="548"/>
      <c r="BO276" s="546"/>
      <c r="BP276" s="547"/>
      <c r="BQ276" s="548"/>
      <c r="BR276" s="548"/>
      <c r="BS276" s="546"/>
      <c r="BT276" s="547"/>
      <c r="BU276" s="548"/>
      <c r="BV276" s="548"/>
      <c r="BW276" s="548"/>
      <c r="BX276" s="546"/>
      <c r="BY276" s="547"/>
      <c r="BZ276" s="548"/>
      <c r="CA276" s="560"/>
      <c r="CB276" s="549"/>
    </row>
    <row r="277" spans="1:80" outlineLevel="1">
      <c r="A277" s="594">
        <v>267</v>
      </c>
      <c r="B277" s="556" t="s">
        <v>583</v>
      </c>
      <c r="C277" s="545"/>
      <c r="D277" s="557" t="str">
        <f>DureeHL($L277:$CB277)</f>
        <v/>
      </c>
      <c r="E277" s="545">
        <v>2</v>
      </c>
      <c r="F277" s="545" t="s">
        <v>532</v>
      </c>
      <c r="G277" s="589">
        <v>1.73</v>
      </c>
      <c r="H277" s="595"/>
      <c r="I277" s="558"/>
      <c r="J277" s="589">
        <f>IF(D277="Achat",1,IF(D277="",0,D277*7))*E277*G277</f>
        <v>0</v>
      </c>
      <c r="K277" s="590" t="str">
        <f t="shared" si="29"/>
        <v>C</v>
      </c>
      <c r="L277" s="547"/>
      <c r="M277" s="548"/>
      <c r="N277" s="548"/>
      <c r="O277" s="546"/>
      <c r="P277" s="547"/>
      <c r="Q277" s="548"/>
      <c r="R277" s="548"/>
      <c r="S277" s="546"/>
      <c r="T277" s="547"/>
      <c r="U277" s="548"/>
      <c r="V277" s="548"/>
      <c r="W277" s="548"/>
      <c r="X277" s="546"/>
      <c r="Y277" s="547"/>
      <c r="Z277" s="548"/>
      <c r="AA277" s="548"/>
      <c r="AB277" s="546"/>
      <c r="AC277" s="547"/>
      <c r="AD277" s="548"/>
      <c r="AE277" s="548"/>
      <c r="AF277" s="546"/>
      <c r="AG277" s="547"/>
      <c r="AH277" s="548"/>
      <c r="AI277" s="548"/>
      <c r="AJ277" s="546"/>
      <c r="AK277" s="547"/>
      <c r="AL277" s="548"/>
      <c r="AM277" s="548"/>
      <c r="AN277" s="548"/>
      <c r="AO277" s="546"/>
      <c r="AP277" s="547"/>
      <c r="AQ277" s="548"/>
      <c r="AR277" s="548"/>
      <c r="AS277" s="546"/>
      <c r="AT277" s="547"/>
      <c r="AU277" s="548"/>
      <c r="AV277" s="548"/>
      <c r="AW277" s="546"/>
      <c r="AX277" s="547"/>
      <c r="AY277" s="548"/>
      <c r="AZ277" s="548"/>
      <c r="BA277" s="548"/>
      <c r="BB277" s="546"/>
      <c r="BC277" s="547"/>
      <c r="BD277" s="548"/>
      <c r="BE277" s="548"/>
      <c r="BF277" s="546"/>
      <c r="BG277" s="547"/>
      <c r="BH277" s="548"/>
      <c r="BI277" s="548"/>
      <c r="BJ277" s="548"/>
      <c r="BK277" s="546"/>
      <c r="BL277" s="547"/>
      <c r="BM277" s="548"/>
      <c r="BN277" s="548"/>
      <c r="BO277" s="546"/>
      <c r="BP277" s="547"/>
      <c r="BQ277" s="548"/>
      <c r="BR277" s="548"/>
      <c r="BS277" s="546"/>
      <c r="BT277" s="547"/>
      <c r="BU277" s="548"/>
      <c r="BV277" s="548"/>
      <c r="BW277" s="548"/>
      <c r="BX277" s="546"/>
      <c r="BY277" s="547"/>
      <c r="BZ277" s="548"/>
      <c r="CA277" s="560"/>
      <c r="CB277" s="549"/>
    </row>
    <row r="278" spans="1:80">
      <c r="A278" s="594">
        <v>268</v>
      </c>
      <c r="B278" s="556"/>
      <c r="C278" s="545"/>
      <c r="D278" s="557"/>
      <c r="E278" s="545"/>
      <c r="F278" s="545"/>
      <c r="G278" s="589"/>
      <c r="H278" s="595"/>
      <c r="I278" s="558"/>
      <c r="J278" s="589" t="s">
        <v>624</v>
      </c>
      <c r="K278" s="590" t="str">
        <f t="shared" si="29"/>
        <v/>
      </c>
      <c r="L278" s="547"/>
      <c r="M278" s="548"/>
      <c r="N278" s="548"/>
      <c r="O278" s="546"/>
      <c r="P278" s="547"/>
      <c r="Q278" s="548"/>
      <c r="R278" s="548"/>
      <c r="S278" s="546"/>
      <c r="T278" s="547"/>
      <c r="U278" s="548"/>
      <c r="V278" s="548"/>
      <c r="W278" s="548"/>
      <c r="X278" s="546"/>
      <c r="Y278" s="547"/>
      <c r="Z278" s="548"/>
      <c r="AA278" s="548"/>
      <c r="AB278" s="546"/>
      <c r="AC278" s="547"/>
      <c r="AD278" s="548"/>
      <c r="AE278" s="548"/>
      <c r="AF278" s="546"/>
      <c r="AG278" s="547"/>
      <c r="AH278" s="548"/>
      <c r="AI278" s="548"/>
      <c r="AJ278" s="546"/>
      <c r="AK278" s="547"/>
      <c r="AL278" s="548"/>
      <c r="AM278" s="548"/>
      <c r="AN278" s="548"/>
      <c r="AO278" s="546"/>
      <c r="AP278" s="547"/>
      <c r="AQ278" s="548"/>
      <c r="AR278" s="548"/>
      <c r="AS278" s="546"/>
      <c r="AT278" s="547"/>
      <c r="AU278" s="548"/>
      <c r="AV278" s="548"/>
      <c r="AW278" s="546"/>
      <c r="AX278" s="547"/>
      <c r="AY278" s="548"/>
      <c r="AZ278" s="548"/>
      <c r="BA278" s="548"/>
      <c r="BB278" s="546"/>
      <c r="BC278" s="547"/>
      <c r="BD278" s="548"/>
      <c r="BE278" s="548"/>
      <c r="BF278" s="546"/>
      <c r="BG278" s="547"/>
      <c r="BH278" s="548"/>
      <c r="BI278" s="548"/>
      <c r="BJ278" s="548"/>
      <c r="BK278" s="546"/>
      <c r="BL278" s="547"/>
      <c r="BM278" s="548"/>
      <c r="BN278" s="548"/>
      <c r="BO278" s="546"/>
      <c r="BP278" s="547"/>
      <c r="BQ278" s="548"/>
      <c r="BR278" s="548"/>
      <c r="BS278" s="546"/>
      <c r="BT278" s="547"/>
      <c r="BU278" s="548"/>
      <c r="BV278" s="548"/>
      <c r="BW278" s="548"/>
      <c r="BX278" s="546"/>
      <c r="BY278" s="547"/>
      <c r="BZ278" s="548"/>
      <c r="CA278" s="560"/>
      <c r="CB278" s="549"/>
    </row>
    <row r="279" spans="1:80">
      <c r="A279" s="582">
        <v>269</v>
      </c>
      <c r="B279" s="583" t="s">
        <v>621</v>
      </c>
      <c r="C279" s="584"/>
      <c r="D279" s="584"/>
      <c r="E279" s="584"/>
      <c r="F279" s="584"/>
      <c r="G279" s="584"/>
      <c r="H279" s="585"/>
      <c r="I279" s="586" t="s">
        <v>594</v>
      </c>
      <c r="J279" s="587">
        <f>SUBTOTAL(9,J280:J285)</f>
        <v>0</v>
      </c>
      <c r="K279" s="588" t="str">
        <f t="shared" si="29"/>
        <v>C</v>
      </c>
      <c r="L279" s="547"/>
      <c r="M279" s="548"/>
      <c r="N279" s="548"/>
      <c r="O279" s="546"/>
      <c r="P279" s="547"/>
      <c r="Q279" s="548"/>
      <c r="R279" s="548"/>
      <c r="S279" s="546"/>
      <c r="T279" s="547"/>
      <c r="U279" s="548"/>
      <c r="V279" s="548"/>
      <c r="W279" s="548"/>
      <c r="X279" s="546"/>
      <c r="Y279" s="547"/>
      <c r="Z279" s="548"/>
      <c r="AA279" s="548"/>
      <c r="AB279" s="546"/>
      <c r="AC279" s="547"/>
      <c r="AD279" s="548"/>
      <c r="AE279" s="548"/>
      <c r="AF279" s="546"/>
      <c r="AG279" s="547"/>
      <c r="AH279" s="548"/>
      <c r="AI279" s="548"/>
      <c r="AJ279" s="546"/>
      <c r="AK279" s="547"/>
      <c r="AL279" s="548"/>
      <c r="AM279" s="548"/>
      <c r="AN279" s="548"/>
      <c r="AO279" s="546"/>
      <c r="AP279" s="547"/>
      <c r="AQ279" s="548"/>
      <c r="AR279" s="548"/>
      <c r="AS279" s="546"/>
      <c r="AT279" s="547"/>
      <c r="AU279" s="548"/>
      <c r="AV279" s="548"/>
      <c r="AW279" s="546"/>
      <c r="AX279" s="547"/>
      <c r="AY279" s="548"/>
      <c r="AZ279" s="548"/>
      <c r="BA279" s="548"/>
      <c r="BB279" s="546"/>
      <c r="BC279" s="547"/>
      <c r="BD279" s="548"/>
      <c r="BE279" s="548"/>
      <c r="BF279" s="546"/>
      <c r="BG279" s="547"/>
      <c r="BH279" s="548"/>
      <c r="BI279" s="548"/>
      <c r="BJ279" s="548"/>
      <c r="BK279" s="546"/>
      <c r="BL279" s="547"/>
      <c r="BM279" s="548"/>
      <c r="BN279" s="548"/>
      <c r="BO279" s="546"/>
      <c r="BP279" s="547"/>
      <c r="BQ279" s="548"/>
      <c r="BR279" s="548"/>
      <c r="BS279" s="546"/>
      <c r="BT279" s="547"/>
      <c r="BU279" s="548"/>
      <c r="BV279" s="548"/>
      <c r="BW279" s="548"/>
      <c r="BX279" s="546"/>
      <c r="BY279" s="547"/>
      <c r="BZ279" s="548"/>
      <c r="CA279" s="560"/>
      <c r="CB279" s="549"/>
    </row>
    <row r="280" spans="1:80" outlineLevel="1">
      <c r="A280" s="594">
        <v>270</v>
      </c>
      <c r="B280" s="556"/>
      <c r="C280" s="545"/>
      <c r="D280" s="557"/>
      <c r="E280" s="545"/>
      <c r="F280" s="545"/>
      <c r="G280" s="589"/>
      <c r="H280" s="595"/>
      <c r="I280" s="558"/>
      <c r="J280" s="589" t="s">
        <v>624</v>
      </c>
      <c r="K280" s="590" t="str">
        <f t="shared" si="29"/>
        <v/>
      </c>
      <c r="L280" s="547"/>
      <c r="M280" s="548"/>
      <c r="N280" s="548"/>
      <c r="O280" s="546"/>
      <c r="P280" s="547"/>
      <c r="Q280" s="548"/>
      <c r="R280" s="548"/>
      <c r="S280" s="546"/>
      <c r="T280" s="547"/>
      <c r="U280" s="548"/>
      <c r="V280" s="548"/>
      <c r="W280" s="548"/>
      <c r="X280" s="546"/>
      <c r="Y280" s="547"/>
      <c r="Z280" s="548"/>
      <c r="AA280" s="548"/>
      <c r="AB280" s="546"/>
      <c r="AC280" s="547"/>
      <c r="AD280" s="548"/>
      <c r="AE280" s="548"/>
      <c r="AF280" s="546"/>
      <c r="AG280" s="547"/>
      <c r="AH280" s="548"/>
      <c r="AI280" s="548"/>
      <c r="AJ280" s="546"/>
      <c r="AK280" s="547"/>
      <c r="AL280" s="548"/>
      <c r="AM280" s="548"/>
      <c r="AN280" s="548"/>
      <c r="AO280" s="546"/>
      <c r="AP280" s="547"/>
      <c r="AQ280" s="548"/>
      <c r="AR280" s="548"/>
      <c r="AS280" s="546"/>
      <c r="AT280" s="547"/>
      <c r="AU280" s="548"/>
      <c r="AV280" s="548"/>
      <c r="AW280" s="546"/>
      <c r="AX280" s="547"/>
      <c r="AY280" s="548"/>
      <c r="AZ280" s="548"/>
      <c r="BA280" s="548"/>
      <c r="BB280" s="546"/>
      <c r="BC280" s="547"/>
      <c r="BD280" s="548"/>
      <c r="BE280" s="548"/>
      <c r="BF280" s="546"/>
      <c r="BG280" s="547"/>
      <c r="BH280" s="548"/>
      <c r="BI280" s="548"/>
      <c r="BJ280" s="548"/>
      <c r="BK280" s="546"/>
      <c r="BL280" s="547"/>
      <c r="BM280" s="548"/>
      <c r="BN280" s="548"/>
      <c r="BO280" s="546"/>
      <c r="BP280" s="547"/>
      <c r="BQ280" s="548"/>
      <c r="BR280" s="548"/>
      <c r="BS280" s="546"/>
      <c r="BT280" s="547"/>
      <c r="BU280" s="548"/>
      <c r="BV280" s="548"/>
      <c r="BW280" s="548"/>
      <c r="BX280" s="546"/>
      <c r="BY280" s="547"/>
      <c r="BZ280" s="548"/>
      <c r="CA280" s="560"/>
      <c r="CB280" s="549"/>
    </row>
    <row r="281" spans="1:80" outlineLevel="1">
      <c r="A281" s="594">
        <v>271</v>
      </c>
      <c r="B281" s="556" t="s">
        <v>581</v>
      </c>
      <c r="C281" s="545"/>
      <c r="D281" s="557" t="str">
        <f>DureeHL($L281:$CB281)</f>
        <v/>
      </c>
      <c r="E281" s="545">
        <v>24</v>
      </c>
      <c r="F281" s="545" t="s">
        <v>532</v>
      </c>
      <c r="G281" s="589">
        <v>0.04</v>
      </c>
      <c r="H281" s="595"/>
      <c r="I281" s="558"/>
      <c r="J281" s="589">
        <f>IF(D281="Achat",1,IF(D281="",0,D281*7))*E281*G281</f>
        <v>0</v>
      </c>
      <c r="K281" s="590" t="str">
        <f t="shared" si="29"/>
        <v>C</v>
      </c>
      <c r="L281" s="547"/>
      <c r="M281" s="548"/>
      <c r="N281" s="548"/>
      <c r="O281" s="546"/>
      <c r="P281" s="547"/>
      <c r="Q281" s="548"/>
      <c r="R281" s="548"/>
      <c r="S281" s="546"/>
      <c r="T281" s="547"/>
      <c r="U281" s="548"/>
      <c r="V281" s="548"/>
      <c r="W281" s="548"/>
      <c r="X281" s="546"/>
      <c r="Y281" s="547"/>
      <c r="Z281" s="548"/>
      <c r="AA281" s="548"/>
      <c r="AB281" s="546"/>
      <c r="AC281" s="547"/>
      <c r="AD281" s="548"/>
      <c r="AE281" s="548"/>
      <c r="AF281" s="546"/>
      <c r="AG281" s="547"/>
      <c r="AH281" s="548"/>
      <c r="AI281" s="548"/>
      <c r="AJ281" s="546"/>
      <c r="AK281" s="547"/>
      <c r="AL281" s="548"/>
      <c r="AM281" s="548"/>
      <c r="AN281" s="548"/>
      <c r="AO281" s="546"/>
      <c r="AP281" s="547"/>
      <c r="AQ281" s="548"/>
      <c r="AR281" s="548"/>
      <c r="AS281" s="546"/>
      <c r="AT281" s="547"/>
      <c r="AU281" s="548"/>
      <c r="AV281" s="548"/>
      <c r="AW281" s="546"/>
      <c r="AX281" s="547"/>
      <c r="AY281" s="548"/>
      <c r="AZ281" s="548"/>
      <c r="BA281" s="548"/>
      <c r="BB281" s="546"/>
      <c r="BC281" s="547"/>
      <c r="BD281" s="548"/>
      <c r="BE281" s="548"/>
      <c r="BF281" s="546"/>
      <c r="BG281" s="547"/>
      <c r="BH281" s="548"/>
      <c r="BI281" s="548"/>
      <c r="BJ281" s="548"/>
      <c r="BK281" s="546"/>
      <c r="BL281" s="547"/>
      <c r="BM281" s="548"/>
      <c r="BN281" s="548"/>
      <c r="BO281" s="546"/>
      <c r="BP281" s="547"/>
      <c r="BQ281" s="548"/>
      <c r="BR281" s="548"/>
      <c r="BS281" s="546"/>
      <c r="BT281" s="547"/>
      <c r="BU281" s="548"/>
      <c r="BV281" s="548"/>
      <c r="BW281" s="548"/>
      <c r="BX281" s="546"/>
      <c r="BY281" s="547"/>
      <c r="BZ281" s="548"/>
      <c r="CA281" s="560"/>
      <c r="CB281" s="549"/>
    </row>
    <row r="282" spans="1:80" outlineLevel="1">
      <c r="A282" s="594">
        <v>272</v>
      </c>
      <c r="B282" s="556" t="s">
        <v>582</v>
      </c>
      <c r="C282" s="545"/>
      <c r="D282" s="557" t="str">
        <f>DureeHL($L282:$CB282)</f>
        <v/>
      </c>
      <c r="E282" s="545">
        <v>1</v>
      </c>
      <c r="F282" s="545" t="s">
        <v>532</v>
      </c>
      <c r="G282" s="589">
        <v>0.09</v>
      </c>
      <c r="H282" s="595"/>
      <c r="I282" s="558"/>
      <c r="J282" s="589">
        <f>IF(D282="Achat",1,IF(D282="",0,D282*7))*E282*G282</f>
        <v>0</v>
      </c>
      <c r="K282" s="590" t="str">
        <f t="shared" si="29"/>
        <v>C</v>
      </c>
      <c r="L282" s="547"/>
      <c r="M282" s="548"/>
      <c r="N282" s="548"/>
      <c r="O282" s="546"/>
      <c r="P282" s="547"/>
      <c r="Q282" s="548"/>
      <c r="R282" s="548"/>
      <c r="S282" s="546"/>
      <c r="T282" s="547"/>
      <c r="U282" s="548"/>
      <c r="V282" s="548"/>
      <c r="W282" s="548"/>
      <c r="X282" s="546"/>
      <c r="Y282" s="547"/>
      <c r="Z282" s="548"/>
      <c r="AA282" s="548"/>
      <c r="AB282" s="546"/>
      <c r="AC282" s="547"/>
      <c r="AD282" s="548"/>
      <c r="AE282" s="548"/>
      <c r="AF282" s="546"/>
      <c r="AG282" s="547"/>
      <c r="AH282" s="548"/>
      <c r="AI282" s="548"/>
      <c r="AJ282" s="546"/>
      <c r="AK282" s="547"/>
      <c r="AL282" s="548"/>
      <c r="AM282" s="548"/>
      <c r="AN282" s="548"/>
      <c r="AO282" s="546"/>
      <c r="AP282" s="547"/>
      <c r="AQ282" s="548"/>
      <c r="AR282" s="548"/>
      <c r="AS282" s="546"/>
      <c r="AT282" s="547"/>
      <c r="AU282" s="548"/>
      <c r="AV282" s="548"/>
      <c r="AW282" s="546"/>
      <c r="AX282" s="547"/>
      <c r="AY282" s="548"/>
      <c r="AZ282" s="548"/>
      <c r="BA282" s="548"/>
      <c r="BB282" s="546"/>
      <c r="BC282" s="547"/>
      <c r="BD282" s="548"/>
      <c r="BE282" s="548"/>
      <c r="BF282" s="546"/>
      <c r="BG282" s="547"/>
      <c r="BH282" s="548"/>
      <c r="BI282" s="548"/>
      <c r="BJ282" s="548"/>
      <c r="BK282" s="546"/>
      <c r="BL282" s="547"/>
      <c r="BM282" s="548"/>
      <c r="BN282" s="548"/>
      <c r="BO282" s="546"/>
      <c r="BP282" s="547"/>
      <c r="BQ282" s="548"/>
      <c r="BR282" s="548"/>
      <c r="BS282" s="546"/>
      <c r="BT282" s="547"/>
      <c r="BU282" s="548"/>
      <c r="BV282" s="548"/>
      <c r="BW282" s="548"/>
      <c r="BX282" s="546"/>
      <c r="BY282" s="547"/>
      <c r="BZ282" s="548"/>
      <c r="CA282" s="560"/>
      <c r="CB282" s="549"/>
    </row>
    <row r="283" spans="1:80" outlineLevel="1">
      <c r="A283" s="594">
        <v>273</v>
      </c>
      <c r="B283" s="556" t="s">
        <v>629</v>
      </c>
      <c r="C283" s="545"/>
      <c r="D283" s="557" t="str">
        <f>DureeHL($L283:$CB283)</f>
        <v/>
      </c>
      <c r="E283" s="545">
        <v>26</v>
      </c>
      <c r="F283" s="545" t="s">
        <v>532</v>
      </c>
      <c r="G283" s="589">
        <v>0.04</v>
      </c>
      <c r="H283" s="595"/>
      <c r="I283" s="558"/>
      <c r="J283" s="589">
        <f>IF(D283="Achat",1,IF(D283="",0,D283*7))*E283*G283</f>
        <v>0</v>
      </c>
      <c r="K283" s="590" t="str">
        <f t="shared" si="29"/>
        <v>C</v>
      </c>
      <c r="L283" s="547"/>
      <c r="M283" s="548"/>
      <c r="N283" s="548"/>
      <c r="O283" s="546"/>
      <c r="P283" s="547"/>
      <c r="Q283" s="548"/>
      <c r="R283" s="548"/>
      <c r="S283" s="546"/>
      <c r="T283" s="547"/>
      <c r="U283" s="548"/>
      <c r="V283" s="548"/>
      <c r="W283" s="548"/>
      <c r="X283" s="546"/>
      <c r="Y283" s="547"/>
      <c r="Z283" s="548"/>
      <c r="AA283" s="548"/>
      <c r="AB283" s="546"/>
      <c r="AC283" s="547"/>
      <c r="AD283" s="548"/>
      <c r="AE283" s="548"/>
      <c r="AF283" s="546"/>
      <c r="AG283" s="547"/>
      <c r="AH283" s="548"/>
      <c r="AI283" s="548"/>
      <c r="AJ283" s="546"/>
      <c r="AK283" s="547"/>
      <c r="AL283" s="548"/>
      <c r="AM283" s="548"/>
      <c r="AN283" s="548"/>
      <c r="AO283" s="546"/>
      <c r="AP283" s="547"/>
      <c r="AQ283" s="548"/>
      <c r="AR283" s="548"/>
      <c r="AS283" s="546"/>
      <c r="AT283" s="547"/>
      <c r="AU283" s="548"/>
      <c r="AV283" s="548"/>
      <c r="AW283" s="546"/>
      <c r="AX283" s="547"/>
      <c r="AY283" s="548"/>
      <c r="AZ283" s="548"/>
      <c r="BA283" s="548"/>
      <c r="BB283" s="546"/>
      <c r="BC283" s="547"/>
      <c r="BD283" s="548"/>
      <c r="BE283" s="548"/>
      <c r="BF283" s="546"/>
      <c r="BG283" s="547"/>
      <c r="BH283" s="548"/>
      <c r="BI283" s="548"/>
      <c r="BJ283" s="548"/>
      <c r="BK283" s="546"/>
      <c r="BL283" s="547"/>
      <c r="BM283" s="548"/>
      <c r="BN283" s="548"/>
      <c r="BO283" s="546"/>
      <c r="BP283" s="547"/>
      <c r="BQ283" s="548"/>
      <c r="BR283" s="548"/>
      <c r="BS283" s="546"/>
      <c r="BT283" s="547"/>
      <c r="BU283" s="548"/>
      <c r="BV283" s="548"/>
      <c r="BW283" s="548"/>
      <c r="BX283" s="546"/>
      <c r="BY283" s="547"/>
      <c r="BZ283" s="548"/>
      <c r="CA283" s="560"/>
      <c r="CB283" s="549"/>
    </row>
    <row r="284" spans="1:80" outlineLevel="1">
      <c r="A284" s="594">
        <v>274</v>
      </c>
      <c r="B284" s="556" t="s">
        <v>583</v>
      </c>
      <c r="C284" s="545"/>
      <c r="D284" s="557" t="str">
        <f>DureeHL($L284:$CB284)</f>
        <v/>
      </c>
      <c r="E284" s="545">
        <v>2</v>
      </c>
      <c r="F284" s="545" t="s">
        <v>532</v>
      </c>
      <c r="G284" s="589">
        <v>1.73</v>
      </c>
      <c r="H284" s="595"/>
      <c r="I284" s="558"/>
      <c r="J284" s="589">
        <f>IF(D284="Achat",1,IF(D284="",0,D284*7))*E284*G284</f>
        <v>0</v>
      </c>
      <c r="K284" s="590" t="str">
        <f t="shared" si="29"/>
        <v>C</v>
      </c>
      <c r="L284" s="547"/>
      <c r="M284" s="548"/>
      <c r="N284" s="548"/>
      <c r="O284" s="546"/>
      <c r="P284" s="547"/>
      <c r="Q284" s="548"/>
      <c r="R284" s="548"/>
      <c r="S284" s="546"/>
      <c r="T284" s="547"/>
      <c r="U284" s="548"/>
      <c r="V284" s="548"/>
      <c r="W284" s="548"/>
      <c r="X284" s="546"/>
      <c r="Y284" s="547"/>
      <c r="Z284" s="548"/>
      <c r="AA284" s="548"/>
      <c r="AB284" s="546"/>
      <c r="AC284" s="547"/>
      <c r="AD284" s="548"/>
      <c r="AE284" s="548"/>
      <c r="AF284" s="546"/>
      <c r="AG284" s="547"/>
      <c r="AH284" s="548"/>
      <c r="AI284" s="548"/>
      <c r="AJ284" s="546"/>
      <c r="AK284" s="547"/>
      <c r="AL284" s="548"/>
      <c r="AM284" s="548"/>
      <c r="AN284" s="548"/>
      <c r="AO284" s="546"/>
      <c r="AP284" s="547"/>
      <c r="AQ284" s="548"/>
      <c r="AR284" s="548"/>
      <c r="AS284" s="546"/>
      <c r="AT284" s="547"/>
      <c r="AU284" s="548"/>
      <c r="AV284" s="548"/>
      <c r="AW284" s="546"/>
      <c r="AX284" s="547"/>
      <c r="AY284" s="548"/>
      <c r="AZ284" s="548"/>
      <c r="BA284" s="548"/>
      <c r="BB284" s="546"/>
      <c r="BC284" s="547"/>
      <c r="BD284" s="548"/>
      <c r="BE284" s="548"/>
      <c r="BF284" s="546"/>
      <c r="BG284" s="547"/>
      <c r="BH284" s="548"/>
      <c r="BI284" s="548"/>
      <c r="BJ284" s="548"/>
      <c r="BK284" s="546"/>
      <c r="BL284" s="547"/>
      <c r="BM284" s="548"/>
      <c r="BN284" s="548"/>
      <c r="BO284" s="546"/>
      <c r="BP284" s="547"/>
      <c r="BQ284" s="548"/>
      <c r="BR284" s="548"/>
      <c r="BS284" s="546"/>
      <c r="BT284" s="547"/>
      <c r="BU284" s="548"/>
      <c r="BV284" s="548"/>
      <c r="BW284" s="548"/>
      <c r="BX284" s="546"/>
      <c r="BY284" s="547"/>
      <c r="BZ284" s="548"/>
      <c r="CA284" s="560"/>
      <c r="CB284" s="549"/>
    </row>
    <row r="285" spans="1:80">
      <c r="A285" s="594">
        <v>275</v>
      </c>
      <c r="B285" s="556"/>
      <c r="C285" s="545"/>
      <c r="D285" s="557"/>
      <c r="E285" s="545"/>
      <c r="F285" s="545"/>
      <c r="G285" s="589"/>
      <c r="H285" s="595"/>
      <c r="I285" s="558"/>
      <c r="J285" s="589" t="s">
        <v>624</v>
      </c>
      <c r="K285" s="590" t="str">
        <f t="shared" si="29"/>
        <v/>
      </c>
      <c r="L285" s="547"/>
      <c r="M285" s="548"/>
      <c r="N285" s="548"/>
      <c r="O285" s="546"/>
      <c r="P285" s="547"/>
      <c r="Q285" s="548"/>
      <c r="R285" s="548"/>
      <c r="S285" s="546"/>
      <c r="T285" s="547"/>
      <c r="U285" s="548"/>
      <c r="V285" s="548"/>
      <c r="W285" s="548"/>
      <c r="X285" s="546"/>
      <c r="Y285" s="547"/>
      <c r="Z285" s="548"/>
      <c r="AA285" s="548"/>
      <c r="AB285" s="546"/>
      <c r="AC285" s="547"/>
      <c r="AD285" s="548"/>
      <c r="AE285" s="548"/>
      <c r="AF285" s="546"/>
      <c r="AG285" s="547"/>
      <c r="AH285" s="548"/>
      <c r="AI285" s="548"/>
      <c r="AJ285" s="546"/>
      <c r="AK285" s="547"/>
      <c r="AL285" s="548"/>
      <c r="AM285" s="548"/>
      <c r="AN285" s="548"/>
      <c r="AO285" s="546"/>
      <c r="AP285" s="547"/>
      <c r="AQ285" s="548"/>
      <c r="AR285" s="548"/>
      <c r="AS285" s="546"/>
      <c r="AT285" s="547"/>
      <c r="AU285" s="548"/>
      <c r="AV285" s="548"/>
      <c r="AW285" s="546"/>
      <c r="AX285" s="547"/>
      <c r="AY285" s="548"/>
      <c r="AZ285" s="548"/>
      <c r="BA285" s="548"/>
      <c r="BB285" s="546"/>
      <c r="BC285" s="547"/>
      <c r="BD285" s="548"/>
      <c r="BE285" s="548"/>
      <c r="BF285" s="546"/>
      <c r="BG285" s="547"/>
      <c r="BH285" s="548"/>
      <c r="BI285" s="548"/>
      <c r="BJ285" s="548"/>
      <c r="BK285" s="546"/>
      <c r="BL285" s="547"/>
      <c r="BM285" s="548"/>
      <c r="BN285" s="548"/>
      <c r="BO285" s="546"/>
      <c r="BP285" s="547"/>
      <c r="BQ285" s="548"/>
      <c r="BR285" s="548"/>
      <c r="BS285" s="546"/>
      <c r="BT285" s="547"/>
      <c r="BU285" s="548"/>
      <c r="BV285" s="548"/>
      <c r="BW285" s="548"/>
      <c r="BX285" s="546"/>
      <c r="BY285" s="547"/>
      <c r="BZ285" s="548"/>
      <c r="CA285" s="560"/>
      <c r="CB285" s="549"/>
    </row>
    <row r="286" spans="1:80">
      <c r="M286" s="29"/>
      <c r="N286" s="29"/>
      <c r="O286" s="29"/>
      <c r="Q286" s="29"/>
      <c r="S286" s="29"/>
    </row>
    <row r="287" spans="1:80">
      <c r="M287" s="29"/>
      <c r="N287" s="29"/>
      <c r="O287" s="29"/>
      <c r="Q287" s="29"/>
      <c r="S287" s="29"/>
    </row>
    <row r="288" spans="1:80">
      <c r="M288" s="29"/>
      <c r="N288" s="29"/>
      <c r="O288" s="29"/>
      <c r="Q288" s="29"/>
      <c r="S288" s="29"/>
    </row>
    <row r="289" spans="2:19">
      <c r="B289" s="29" t="s">
        <v>432</v>
      </c>
      <c r="F289" s="29" t="s">
        <v>532</v>
      </c>
      <c r="G289" s="29">
        <v>6.5</v>
      </c>
      <c r="J289" s="589">
        <f>IF(D289="Achat",1,IF(D289="",0,D289*7))*E289*G289</f>
        <v>0</v>
      </c>
      <c r="M289" s="29"/>
      <c r="N289" s="29"/>
      <c r="O289" s="29"/>
      <c r="Q289" s="29"/>
      <c r="S289" s="29"/>
    </row>
    <row r="290" spans="2:19">
      <c r="B290" s="29" t="s">
        <v>433</v>
      </c>
      <c r="F290" s="29" t="s">
        <v>532</v>
      </c>
      <c r="G290" s="29">
        <v>130</v>
      </c>
      <c r="J290" s="589">
        <f>IF(D290="Achat",1,IF(D290="",0,D290*7))*E290*G290</f>
        <v>0</v>
      </c>
      <c r="M290" s="29"/>
      <c r="N290" s="29"/>
      <c r="O290" s="29"/>
      <c r="Q290" s="29"/>
      <c r="S290" s="29"/>
    </row>
    <row r="291" spans="2:19">
      <c r="B291" s="29" t="s">
        <v>677</v>
      </c>
      <c r="F291" s="29" t="s">
        <v>532</v>
      </c>
      <c r="G291" s="29">
        <v>130</v>
      </c>
      <c r="J291" s="589">
        <f>IF(D291="Achat",1,IF(D291="",0,D291*7))*E291*G291</f>
        <v>0</v>
      </c>
      <c r="M291" s="29"/>
      <c r="N291" s="29"/>
      <c r="O291" s="29"/>
      <c r="Q291" s="29"/>
      <c r="S291" s="29"/>
    </row>
    <row r="292" spans="2:19">
      <c r="B292" s="29" t="s">
        <v>398</v>
      </c>
      <c r="F292" s="29" t="s">
        <v>532</v>
      </c>
      <c r="G292" s="29">
        <v>420</v>
      </c>
      <c r="J292" s="589">
        <f>IF(D292="Achat",1,IF(D292="",0,D292*7))*E292*G292</f>
        <v>0</v>
      </c>
      <c r="M292" s="29"/>
      <c r="N292" s="29"/>
      <c r="O292" s="29"/>
      <c r="Q292" s="29"/>
      <c r="S292" s="29"/>
    </row>
    <row r="293" spans="2:19">
      <c r="M293" s="29"/>
      <c r="N293" s="29"/>
      <c r="O293" s="29"/>
      <c r="Q293" s="29"/>
      <c r="S293" s="29"/>
    </row>
    <row r="294" spans="2:19">
      <c r="B294" s="29" t="s">
        <v>438</v>
      </c>
      <c r="D294" s="29">
        <v>4.33</v>
      </c>
      <c r="E294" s="29">
        <v>1</v>
      </c>
      <c r="F294" s="29" t="s">
        <v>532</v>
      </c>
      <c r="G294" s="29">
        <v>180</v>
      </c>
      <c r="J294" s="589">
        <f>IF(D294="Achat",1,IF(D294="",0,D294*7))*E294*G294</f>
        <v>5455.8</v>
      </c>
      <c r="M294" s="29"/>
      <c r="N294" s="29"/>
      <c r="O294" s="29"/>
      <c r="Q294" s="29"/>
      <c r="S294" s="29"/>
    </row>
    <row r="295" spans="2:19">
      <c r="M295" s="29"/>
      <c r="N295" s="29"/>
      <c r="O295" s="29"/>
      <c r="Q295" s="29"/>
      <c r="S295" s="29"/>
    </row>
    <row r="296" spans="2:19">
      <c r="B296" s="29" t="s">
        <v>727</v>
      </c>
      <c r="F296" s="29" t="s">
        <v>532</v>
      </c>
      <c r="G296" s="29">
        <v>95</v>
      </c>
      <c r="J296" s="589">
        <f>IF(D296="Achat",1,IF(D296="",0,D296*7))*E296*G296</f>
        <v>0</v>
      </c>
      <c r="M296" s="29"/>
      <c r="N296" s="29"/>
      <c r="O296" s="29"/>
      <c r="Q296" s="29"/>
      <c r="S296" s="29"/>
    </row>
    <row r="297" spans="2:19">
      <c r="B297" s="29" t="s">
        <v>729</v>
      </c>
      <c r="F297" s="29" t="s">
        <v>532</v>
      </c>
      <c r="G297" s="29">
        <v>11</v>
      </c>
      <c r="J297" s="589">
        <f>IF(D297="Achat",1,IF(D297="",0,D297*7))*E297*G297</f>
        <v>0</v>
      </c>
      <c r="M297" s="29"/>
      <c r="N297" s="29"/>
      <c r="O297" s="29"/>
      <c r="Q297" s="29"/>
      <c r="S297" s="29"/>
    </row>
    <row r="298" spans="2:19">
      <c r="B298" s="29" t="s">
        <v>730</v>
      </c>
      <c r="F298" s="29" t="s">
        <v>532</v>
      </c>
      <c r="G298" s="29">
        <v>5</v>
      </c>
      <c r="J298" s="589">
        <f>IF(D298="Achat",1,IF(D298="",0,D298*7))*E298*G298</f>
        <v>0</v>
      </c>
      <c r="M298" s="29"/>
      <c r="N298" s="29"/>
      <c r="O298" s="29"/>
      <c r="Q298" s="29"/>
      <c r="S298" s="29"/>
    </row>
    <row r="299" spans="2:19">
      <c r="M299" s="29"/>
      <c r="N299" s="29"/>
      <c r="O299" s="29"/>
      <c r="Q299" s="29"/>
      <c r="S299" s="29"/>
    </row>
    <row r="300" spans="2:19">
      <c r="B300" s="29" t="s">
        <v>439</v>
      </c>
      <c r="F300" s="29" t="s">
        <v>532</v>
      </c>
      <c r="G300" s="29">
        <v>0.11899999999999998</v>
      </c>
      <c r="J300" s="589">
        <f>IF(D300="Achat",1,IF(D300="",0,D300*7))*E300*G300</f>
        <v>0</v>
      </c>
      <c r="M300" s="29"/>
      <c r="N300" s="29"/>
      <c r="O300" s="29"/>
      <c r="Q300" s="29"/>
      <c r="S300" s="29"/>
    </row>
    <row r="301" spans="2:19">
      <c r="B301" s="29" t="s">
        <v>440</v>
      </c>
      <c r="F301" s="29" t="s">
        <v>532</v>
      </c>
      <c r="G301" s="29">
        <v>0.27</v>
      </c>
      <c r="J301" s="589">
        <f>IF(D301="Achat",1,IF(D301="",0,D301*7))*E301*G301</f>
        <v>0</v>
      </c>
      <c r="M301" s="29"/>
      <c r="N301" s="29"/>
      <c r="O301" s="29"/>
      <c r="Q301" s="29"/>
      <c r="S301" s="29"/>
    </row>
    <row r="302" spans="2:19">
      <c r="B302" s="29" t="s">
        <v>441</v>
      </c>
      <c r="F302" s="29" t="s">
        <v>532</v>
      </c>
      <c r="G302" s="29">
        <v>0.32100000000000001</v>
      </c>
      <c r="J302" s="589">
        <f>IF(D302="Achat",1,IF(D302="",0,D302*7))*E302*G302</f>
        <v>0</v>
      </c>
      <c r="M302" s="29"/>
      <c r="N302" s="29"/>
      <c r="O302" s="29"/>
      <c r="Q302" s="29"/>
      <c r="S302" s="29"/>
    </row>
    <row r="304" spans="2:19">
      <c r="B304" s="29" t="s">
        <v>446</v>
      </c>
      <c r="F304" s="29" t="s">
        <v>532</v>
      </c>
      <c r="G304" s="29">
        <v>2.7</v>
      </c>
      <c r="J304" s="589">
        <f t="shared" ref="J304:J309" si="35">IF(D304="Achat",1,IF(D304="",0,D304*7))*E304*G304</f>
        <v>0</v>
      </c>
    </row>
    <row r="305" spans="2:10">
      <c r="B305" s="29" t="s">
        <v>717</v>
      </c>
      <c r="F305" s="29" t="s">
        <v>532</v>
      </c>
      <c r="G305" s="29">
        <v>2.7</v>
      </c>
      <c r="J305" s="589">
        <f t="shared" si="35"/>
        <v>0</v>
      </c>
    </row>
    <row r="306" spans="2:10">
      <c r="B306" s="29" t="s">
        <v>442</v>
      </c>
      <c r="F306" s="29" t="s">
        <v>532</v>
      </c>
      <c r="G306" s="29">
        <v>0.36499999999999999</v>
      </c>
      <c r="J306" s="589">
        <f t="shared" si="35"/>
        <v>0</v>
      </c>
    </row>
    <row r="307" spans="2:10">
      <c r="B307" s="29" t="s">
        <v>443</v>
      </c>
      <c r="F307" s="29" t="s">
        <v>532</v>
      </c>
      <c r="G307" s="29">
        <v>0.28000000000000003</v>
      </c>
      <c r="J307" s="589">
        <f t="shared" si="35"/>
        <v>0</v>
      </c>
    </row>
    <row r="308" spans="2:10">
      <c r="B308" s="29" t="s">
        <v>334</v>
      </c>
      <c r="F308" s="29" t="s">
        <v>532</v>
      </c>
      <c r="G308" s="29">
        <v>0.09</v>
      </c>
      <c r="J308" s="589">
        <f t="shared" si="35"/>
        <v>0</v>
      </c>
    </row>
    <row r="309" spans="2:10">
      <c r="B309" s="29" t="s">
        <v>336</v>
      </c>
      <c r="F309" s="29" t="s">
        <v>532</v>
      </c>
      <c r="G309" s="29">
        <v>0.16</v>
      </c>
      <c r="J309" s="589">
        <f t="shared" si="35"/>
        <v>0</v>
      </c>
    </row>
  </sheetData>
  <autoFilter ref="H23:K285"/>
  <mergeCells count="1">
    <mergeCell ref="H1:I1"/>
  </mergeCells>
  <phoneticPr fontId="0" type="noConversion"/>
  <dataValidations disablePrompts="1" count="1">
    <dataValidation type="date" allowBlank="1" showInputMessage="1" showErrorMessage="1" sqref="H1">
      <formula1>1</formula1>
      <formula2>73051</formula2>
    </dataValidation>
  </dataValidations>
  <pageMargins left="0.39370078740157483" right="0.39370078740157483" top="0.19685039370078741" bottom="0.19685039370078741" header="0.51181102362204722" footer="0.51181102362204722"/>
  <pageSetup paperSize="8" scale="43" orientation="portrait" r:id="rId1"/>
  <headerFooter alignWithMargins="0"/>
  <rowBreaks count="2" manualBreakCount="2">
    <brk id="140" max="79" man="1"/>
    <brk id="226" max="7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6">
    <outlinePr summaryBelow="0" summaryRight="0"/>
    <pageSetUpPr fitToPage="1"/>
  </sheetPr>
  <dimension ref="A1:HY21"/>
  <sheetViews>
    <sheetView tabSelected="1" view="pageBreakPreview" zoomScaleNormal="100" zoomScaleSheetLayoutView="100" workbookViewId="0">
      <pane ySplit="3300" topLeftCell="A13" activePane="bottomLeft"/>
      <selection activeCell="EB1" sqref="L1:EB65536"/>
      <selection pane="bottomLeft" activeCell="C5" sqref="C5"/>
    </sheetView>
  </sheetViews>
  <sheetFormatPr baseColWidth="10" defaultRowHeight="11.25"/>
  <cols>
    <col min="1" max="1" width="4.140625" style="8" customWidth="1"/>
    <col min="2" max="2" width="10.5703125" style="8" customWidth="1"/>
    <col min="3" max="3" width="30.7109375" style="8" customWidth="1"/>
    <col min="4" max="4" width="6.85546875" style="8" customWidth="1"/>
    <col min="5" max="6" width="7.140625" style="8" customWidth="1"/>
    <col min="7" max="7" width="10.85546875" style="8" customWidth="1"/>
    <col min="8" max="8" width="8" style="8" customWidth="1"/>
    <col min="9" max="9" width="7.7109375" style="8" customWidth="1"/>
    <col min="10" max="10" width="3.28515625" style="8" customWidth="1"/>
    <col min="11" max="11" width="5.28515625" style="8" customWidth="1"/>
    <col min="12" max="132" width="3.42578125" style="8" customWidth="1"/>
    <col min="133" max="232" width="3.5703125" style="8" customWidth="1"/>
    <col min="233" max="16384" width="11.42578125" style="8"/>
  </cols>
  <sheetData>
    <row r="1" spans="1:233" ht="12" customHeight="1">
      <c r="A1" s="20"/>
      <c r="B1" s="21"/>
      <c r="C1" s="21"/>
      <c r="D1" s="21"/>
      <c r="E1" s="21"/>
      <c r="F1" s="22"/>
      <c r="G1" s="7" t="s">
        <v>518</v>
      </c>
      <c r="H1" s="867">
        <v>41353</v>
      </c>
      <c r="I1" s="867"/>
      <c r="J1" s="467"/>
      <c r="K1" s="7"/>
      <c r="L1" s="11"/>
    </row>
    <row r="2" spans="1:233" ht="12.75">
      <c r="A2" s="17"/>
      <c r="B2" s="23"/>
      <c r="C2" s="23"/>
      <c r="D2" s="23"/>
      <c r="E2" s="23"/>
      <c r="F2" s="24"/>
      <c r="G2" s="505"/>
      <c r="H2" s="10"/>
      <c r="I2" s="10"/>
      <c r="J2" s="10"/>
      <c r="K2" s="10"/>
      <c r="L2" s="11"/>
    </row>
    <row r="3" spans="1:233">
      <c r="A3" s="13" t="s">
        <v>517</v>
      </c>
      <c r="B3" s="18">
        <v>41249</v>
      </c>
      <c r="C3" s="7" t="s">
        <v>467</v>
      </c>
      <c r="D3" s="7"/>
      <c r="E3" s="7"/>
      <c r="F3" s="7"/>
      <c r="G3" s="7"/>
      <c r="H3" s="7"/>
      <c r="I3" s="7"/>
      <c r="J3" s="7"/>
      <c r="K3" s="4"/>
      <c r="L3" s="11"/>
      <c r="HY3" s="814"/>
    </row>
    <row r="4" spans="1:233">
      <c r="A4" s="12" t="s">
        <v>7</v>
      </c>
      <c r="B4" s="812"/>
      <c r="K4" s="815"/>
      <c r="L4" s="11"/>
      <c r="HY4" s="814"/>
    </row>
    <row r="5" spans="1:233">
      <c r="A5" s="534" t="s">
        <v>0</v>
      </c>
      <c r="B5" s="816"/>
      <c r="C5" s="10"/>
      <c r="D5" s="10"/>
      <c r="E5" s="10"/>
      <c r="F5" s="10"/>
      <c r="G5" s="10"/>
      <c r="H5" s="10"/>
      <c r="I5" s="10"/>
      <c r="J5" s="10"/>
      <c r="K5" s="5"/>
      <c r="L5" s="11"/>
      <c r="HY5" s="814"/>
    </row>
    <row r="6" spans="1:233">
      <c r="A6" s="12">
        <v>3</v>
      </c>
      <c r="B6" s="12"/>
      <c r="L6" s="11"/>
      <c r="HY6" s="814"/>
    </row>
    <row r="7" spans="1:233">
      <c r="A7" s="12">
        <v>4</v>
      </c>
      <c r="B7" s="12"/>
      <c r="L7" s="11"/>
      <c r="HY7" s="814"/>
    </row>
    <row r="8" spans="1:233">
      <c r="A8" s="12">
        <v>5</v>
      </c>
      <c r="B8" s="12"/>
      <c r="L8" s="11"/>
      <c r="HY8" s="814"/>
    </row>
    <row r="9" spans="1:233">
      <c r="A9" s="12">
        <v>6</v>
      </c>
      <c r="B9" s="12"/>
      <c r="L9" s="11"/>
      <c r="HY9" s="814"/>
    </row>
    <row r="10" spans="1:233">
      <c r="A10" s="12">
        <v>7</v>
      </c>
      <c r="B10" s="12"/>
      <c r="L10" s="11"/>
      <c r="HY10" s="814"/>
    </row>
    <row r="11" spans="1:233" s="471" customFormat="1" ht="47.25">
      <c r="A11" s="455"/>
      <c r="K11" s="472"/>
      <c r="L11" s="472">
        <f>H1</f>
        <v>41353</v>
      </c>
      <c r="M11" s="479">
        <f t="shared" ref="M11:AN11" si="0">L11+IF(WEEKDAY(L11)&lt;6,1,9-WEEKDAY(L11))</f>
        <v>41354</v>
      </c>
      <c r="N11" s="479">
        <f t="shared" si="0"/>
        <v>41355</v>
      </c>
      <c r="O11" s="479">
        <f t="shared" si="0"/>
        <v>41358</v>
      </c>
      <c r="P11" s="492">
        <f t="shared" si="0"/>
        <v>41359</v>
      </c>
      <c r="Q11" s="480">
        <f t="shared" si="0"/>
        <v>41360</v>
      </c>
      <c r="R11" s="479">
        <f t="shared" si="0"/>
        <v>41361</v>
      </c>
      <c r="S11" s="479">
        <f t="shared" si="0"/>
        <v>41362</v>
      </c>
      <c r="T11" s="479">
        <f t="shared" si="0"/>
        <v>41365</v>
      </c>
      <c r="U11" s="492">
        <f t="shared" si="0"/>
        <v>41366</v>
      </c>
      <c r="V11" s="480">
        <f t="shared" si="0"/>
        <v>41367</v>
      </c>
      <c r="W11" s="485">
        <f t="shared" si="0"/>
        <v>41368</v>
      </c>
      <c r="X11" s="472">
        <f t="shared" si="0"/>
        <v>41369</v>
      </c>
      <c r="Y11" s="479">
        <f t="shared" si="0"/>
        <v>41372</v>
      </c>
      <c r="Z11" s="492">
        <f t="shared" si="0"/>
        <v>41373</v>
      </c>
      <c r="AA11" s="480">
        <f t="shared" si="0"/>
        <v>41374</v>
      </c>
      <c r="AB11" s="479">
        <f t="shared" si="0"/>
        <v>41375</v>
      </c>
      <c r="AC11" s="479">
        <f t="shared" si="0"/>
        <v>41376</v>
      </c>
      <c r="AD11" s="479">
        <f t="shared" si="0"/>
        <v>41379</v>
      </c>
      <c r="AE11" s="492">
        <f t="shared" si="0"/>
        <v>41380</v>
      </c>
      <c r="AF11" s="480">
        <f t="shared" si="0"/>
        <v>41381</v>
      </c>
      <c r="AG11" s="479">
        <f t="shared" si="0"/>
        <v>41382</v>
      </c>
      <c r="AH11" s="479">
        <f t="shared" si="0"/>
        <v>41383</v>
      </c>
      <c r="AI11" s="479">
        <f t="shared" si="0"/>
        <v>41386</v>
      </c>
      <c r="AJ11" s="492">
        <f t="shared" si="0"/>
        <v>41387</v>
      </c>
      <c r="AK11" s="480">
        <f t="shared" si="0"/>
        <v>41388</v>
      </c>
      <c r="AL11" s="479">
        <f t="shared" si="0"/>
        <v>41389</v>
      </c>
      <c r="AM11" s="479">
        <f t="shared" si="0"/>
        <v>41390</v>
      </c>
      <c r="AN11" s="479">
        <f t="shared" si="0"/>
        <v>41393</v>
      </c>
      <c r="AO11" s="492">
        <f t="shared" ref="AO11:CZ11" si="1">AN11+IF(WEEKDAY(AN11)&lt;6,1,9-WEEKDAY(AN11))</f>
        <v>41394</v>
      </c>
      <c r="AP11" s="480">
        <f t="shared" si="1"/>
        <v>41395</v>
      </c>
      <c r="AQ11" s="479">
        <f t="shared" si="1"/>
        <v>41396</v>
      </c>
      <c r="AR11" s="479">
        <f t="shared" si="1"/>
        <v>41397</v>
      </c>
      <c r="AS11" s="479">
        <f t="shared" si="1"/>
        <v>41400</v>
      </c>
      <c r="AT11" s="485">
        <f t="shared" si="1"/>
        <v>41401</v>
      </c>
      <c r="AU11" s="472">
        <f t="shared" si="1"/>
        <v>41402</v>
      </c>
      <c r="AV11" s="479">
        <f t="shared" si="1"/>
        <v>41403</v>
      </c>
      <c r="AW11" s="479">
        <f t="shared" si="1"/>
        <v>41404</v>
      </c>
      <c r="AX11" s="479">
        <f t="shared" si="1"/>
        <v>41407</v>
      </c>
      <c r="AY11" s="492">
        <f t="shared" si="1"/>
        <v>41408</v>
      </c>
      <c r="AZ11" s="480">
        <f t="shared" si="1"/>
        <v>41409</v>
      </c>
      <c r="BA11" s="479">
        <f t="shared" si="1"/>
        <v>41410</v>
      </c>
      <c r="BB11" s="479">
        <f t="shared" si="1"/>
        <v>41411</v>
      </c>
      <c r="BC11" s="479">
        <f t="shared" si="1"/>
        <v>41414</v>
      </c>
      <c r="BD11" s="492">
        <f t="shared" si="1"/>
        <v>41415</v>
      </c>
      <c r="BE11" s="480">
        <f t="shared" si="1"/>
        <v>41416</v>
      </c>
      <c r="BF11" s="479">
        <f t="shared" si="1"/>
        <v>41417</v>
      </c>
      <c r="BG11" s="479">
        <f t="shared" si="1"/>
        <v>41418</v>
      </c>
      <c r="BH11" s="479">
        <f t="shared" si="1"/>
        <v>41421</v>
      </c>
      <c r="BI11" s="492">
        <f t="shared" si="1"/>
        <v>41422</v>
      </c>
      <c r="BJ11" s="480">
        <f t="shared" si="1"/>
        <v>41423</v>
      </c>
      <c r="BK11" s="479">
        <f t="shared" si="1"/>
        <v>41424</v>
      </c>
      <c r="BL11" s="479">
        <f t="shared" si="1"/>
        <v>41425</v>
      </c>
      <c r="BM11" s="479">
        <f t="shared" si="1"/>
        <v>41428</v>
      </c>
      <c r="BN11" s="485">
        <f t="shared" si="1"/>
        <v>41429</v>
      </c>
      <c r="BO11" s="472">
        <f t="shared" si="1"/>
        <v>41430</v>
      </c>
      <c r="BP11" s="479">
        <f t="shared" si="1"/>
        <v>41431</v>
      </c>
      <c r="BQ11" s="479">
        <f t="shared" si="1"/>
        <v>41432</v>
      </c>
      <c r="BR11" s="479">
        <f t="shared" si="1"/>
        <v>41435</v>
      </c>
      <c r="BS11" s="492">
        <f t="shared" si="1"/>
        <v>41436</v>
      </c>
      <c r="BT11" s="480">
        <f t="shared" si="1"/>
        <v>41437</v>
      </c>
      <c r="BU11" s="479">
        <f t="shared" si="1"/>
        <v>41438</v>
      </c>
      <c r="BV11" s="479">
        <f t="shared" si="1"/>
        <v>41439</v>
      </c>
      <c r="BW11" s="479">
        <f t="shared" si="1"/>
        <v>41442</v>
      </c>
      <c r="BX11" s="492">
        <f t="shared" si="1"/>
        <v>41443</v>
      </c>
      <c r="BY11" s="480">
        <f t="shared" si="1"/>
        <v>41444</v>
      </c>
      <c r="BZ11" s="479">
        <f t="shared" si="1"/>
        <v>41445</v>
      </c>
      <c r="CA11" s="479">
        <f t="shared" si="1"/>
        <v>41446</v>
      </c>
      <c r="CB11" s="479">
        <f t="shared" si="1"/>
        <v>41449</v>
      </c>
      <c r="CC11" s="492">
        <f t="shared" si="1"/>
        <v>41450</v>
      </c>
      <c r="CD11" s="480">
        <f t="shared" si="1"/>
        <v>41451</v>
      </c>
      <c r="CE11" s="479">
        <f t="shared" si="1"/>
        <v>41452</v>
      </c>
      <c r="CF11" s="479">
        <f t="shared" si="1"/>
        <v>41453</v>
      </c>
      <c r="CG11" s="479">
        <f t="shared" si="1"/>
        <v>41456</v>
      </c>
      <c r="CH11" s="492">
        <f t="shared" si="1"/>
        <v>41457</v>
      </c>
      <c r="CI11" s="480">
        <f t="shared" si="1"/>
        <v>41458</v>
      </c>
      <c r="CJ11" s="479">
        <f t="shared" si="1"/>
        <v>41459</v>
      </c>
      <c r="CK11" s="485">
        <f t="shared" si="1"/>
        <v>41460</v>
      </c>
      <c r="CL11" s="472">
        <f t="shared" si="1"/>
        <v>41463</v>
      </c>
      <c r="CM11" s="492">
        <f t="shared" si="1"/>
        <v>41464</v>
      </c>
      <c r="CN11" s="480">
        <f t="shared" si="1"/>
        <v>41465</v>
      </c>
      <c r="CO11" s="479">
        <f t="shared" si="1"/>
        <v>41466</v>
      </c>
      <c r="CP11" s="479">
        <f t="shared" si="1"/>
        <v>41467</v>
      </c>
      <c r="CQ11" s="479">
        <f t="shared" si="1"/>
        <v>41470</v>
      </c>
      <c r="CR11" s="492">
        <f t="shared" si="1"/>
        <v>41471</v>
      </c>
      <c r="CS11" s="480">
        <f t="shared" si="1"/>
        <v>41472</v>
      </c>
      <c r="CT11" s="479">
        <f t="shared" si="1"/>
        <v>41473</v>
      </c>
      <c r="CU11" s="479">
        <f t="shared" si="1"/>
        <v>41474</v>
      </c>
      <c r="CV11" s="479">
        <f t="shared" si="1"/>
        <v>41477</v>
      </c>
      <c r="CW11" s="492">
        <f t="shared" si="1"/>
        <v>41478</v>
      </c>
      <c r="CX11" s="480">
        <f t="shared" si="1"/>
        <v>41479</v>
      </c>
      <c r="CY11" s="479">
        <f t="shared" si="1"/>
        <v>41480</v>
      </c>
      <c r="CZ11" s="479">
        <f t="shared" si="1"/>
        <v>41481</v>
      </c>
      <c r="DA11" s="479">
        <f t="shared" ref="DA11:FL11" si="2">CZ11+IF(WEEKDAY(CZ11)&lt;6,1,9-WEEKDAY(CZ11))</f>
        <v>41484</v>
      </c>
      <c r="DB11" s="492">
        <f t="shared" si="2"/>
        <v>41485</v>
      </c>
      <c r="DC11" s="480">
        <f t="shared" si="2"/>
        <v>41486</v>
      </c>
      <c r="DD11" s="479">
        <f t="shared" si="2"/>
        <v>41487</v>
      </c>
      <c r="DE11" s="479">
        <f t="shared" si="2"/>
        <v>41488</v>
      </c>
      <c r="DF11" s="479">
        <f t="shared" si="2"/>
        <v>41491</v>
      </c>
      <c r="DG11" s="485">
        <f t="shared" si="2"/>
        <v>41492</v>
      </c>
      <c r="DH11" s="472">
        <f t="shared" si="2"/>
        <v>41493</v>
      </c>
      <c r="DI11" s="479">
        <f t="shared" si="2"/>
        <v>41494</v>
      </c>
      <c r="DJ11" s="479">
        <f t="shared" si="2"/>
        <v>41495</v>
      </c>
      <c r="DK11" s="479">
        <f t="shared" si="2"/>
        <v>41498</v>
      </c>
      <c r="DL11" s="492">
        <f t="shared" si="2"/>
        <v>41499</v>
      </c>
      <c r="DM11" s="480">
        <f t="shared" si="2"/>
        <v>41500</v>
      </c>
      <c r="DN11" s="479">
        <f t="shared" si="2"/>
        <v>41501</v>
      </c>
      <c r="DO11" s="479">
        <f t="shared" si="2"/>
        <v>41502</v>
      </c>
      <c r="DP11" s="479">
        <f t="shared" si="2"/>
        <v>41505</v>
      </c>
      <c r="DQ11" s="492">
        <f t="shared" si="2"/>
        <v>41506</v>
      </c>
      <c r="DR11" s="480">
        <f t="shared" si="2"/>
        <v>41507</v>
      </c>
      <c r="DS11" s="479">
        <f t="shared" si="2"/>
        <v>41508</v>
      </c>
      <c r="DT11" s="479">
        <f t="shared" si="2"/>
        <v>41509</v>
      </c>
      <c r="DU11" s="479">
        <f t="shared" si="2"/>
        <v>41512</v>
      </c>
      <c r="DV11" s="492">
        <f t="shared" si="2"/>
        <v>41513</v>
      </c>
      <c r="DW11" s="480">
        <f t="shared" si="2"/>
        <v>41514</v>
      </c>
      <c r="DX11" s="479">
        <f t="shared" si="2"/>
        <v>41515</v>
      </c>
      <c r="DY11" s="479">
        <f t="shared" si="2"/>
        <v>41516</v>
      </c>
      <c r="DZ11" s="479">
        <f t="shared" si="2"/>
        <v>41519</v>
      </c>
      <c r="EA11" s="492">
        <f t="shared" si="2"/>
        <v>41520</v>
      </c>
      <c r="EB11" s="817">
        <f t="shared" si="2"/>
        <v>41521</v>
      </c>
      <c r="EC11" s="472">
        <f t="shared" si="2"/>
        <v>41522</v>
      </c>
      <c r="ED11" s="479">
        <f t="shared" si="2"/>
        <v>41523</v>
      </c>
      <c r="EE11" s="479">
        <f t="shared" si="2"/>
        <v>41526</v>
      </c>
      <c r="EF11" s="492">
        <f t="shared" si="2"/>
        <v>41527</v>
      </c>
      <c r="EG11" s="480">
        <f t="shared" si="2"/>
        <v>41528</v>
      </c>
      <c r="EH11" s="479">
        <f t="shared" si="2"/>
        <v>41529</v>
      </c>
      <c r="EI11" s="479">
        <f t="shared" si="2"/>
        <v>41530</v>
      </c>
      <c r="EJ11" s="479">
        <f t="shared" si="2"/>
        <v>41533</v>
      </c>
      <c r="EK11" s="492">
        <f t="shared" si="2"/>
        <v>41534</v>
      </c>
      <c r="EL11" s="480">
        <f t="shared" si="2"/>
        <v>41535</v>
      </c>
      <c r="EM11" s="479">
        <f t="shared" si="2"/>
        <v>41536</v>
      </c>
      <c r="EN11" s="479">
        <f t="shared" si="2"/>
        <v>41537</v>
      </c>
      <c r="EO11" s="479">
        <f t="shared" si="2"/>
        <v>41540</v>
      </c>
      <c r="EP11" s="492">
        <f t="shared" si="2"/>
        <v>41541</v>
      </c>
      <c r="EQ11" s="480">
        <f t="shared" si="2"/>
        <v>41542</v>
      </c>
      <c r="ER11" s="479">
        <f t="shared" si="2"/>
        <v>41543</v>
      </c>
      <c r="ES11" s="479">
        <f t="shared" si="2"/>
        <v>41544</v>
      </c>
      <c r="ET11" s="479">
        <f t="shared" si="2"/>
        <v>41547</v>
      </c>
      <c r="EU11" s="492">
        <f t="shared" si="2"/>
        <v>41548</v>
      </c>
      <c r="EV11" s="480">
        <f t="shared" si="2"/>
        <v>41549</v>
      </c>
      <c r="EW11" s="479">
        <f t="shared" si="2"/>
        <v>41550</v>
      </c>
      <c r="EX11" s="479">
        <f t="shared" si="2"/>
        <v>41551</v>
      </c>
      <c r="EY11" s="485">
        <f t="shared" si="2"/>
        <v>41554</v>
      </c>
      <c r="EZ11" s="808">
        <f t="shared" si="2"/>
        <v>41555</v>
      </c>
      <c r="FA11" s="480">
        <f t="shared" si="2"/>
        <v>41556</v>
      </c>
      <c r="FB11" s="479">
        <f t="shared" si="2"/>
        <v>41557</v>
      </c>
      <c r="FC11" s="479">
        <f t="shared" si="2"/>
        <v>41558</v>
      </c>
      <c r="FD11" s="479">
        <f t="shared" si="2"/>
        <v>41561</v>
      </c>
      <c r="FE11" s="492">
        <f t="shared" si="2"/>
        <v>41562</v>
      </c>
      <c r="FF11" s="480">
        <f t="shared" si="2"/>
        <v>41563</v>
      </c>
      <c r="FG11" s="479">
        <f t="shared" si="2"/>
        <v>41564</v>
      </c>
      <c r="FH11" s="479">
        <f t="shared" si="2"/>
        <v>41565</v>
      </c>
      <c r="FI11" s="479">
        <f t="shared" si="2"/>
        <v>41568</v>
      </c>
      <c r="FJ11" s="492">
        <f t="shared" si="2"/>
        <v>41569</v>
      </c>
      <c r="FK11" s="480">
        <f t="shared" si="2"/>
        <v>41570</v>
      </c>
      <c r="FL11" s="479">
        <f t="shared" si="2"/>
        <v>41571</v>
      </c>
      <c r="FM11" s="479">
        <f t="shared" ref="FM11:HX11" si="3">FL11+IF(WEEKDAY(FL11)&lt;6,1,9-WEEKDAY(FL11))</f>
        <v>41572</v>
      </c>
      <c r="FN11" s="479">
        <f t="shared" si="3"/>
        <v>41575</v>
      </c>
      <c r="FO11" s="492">
        <f t="shared" si="3"/>
        <v>41576</v>
      </c>
      <c r="FP11" s="480">
        <f t="shared" si="3"/>
        <v>41577</v>
      </c>
      <c r="FQ11" s="479">
        <f t="shared" si="3"/>
        <v>41578</v>
      </c>
      <c r="FR11" s="479">
        <f t="shared" si="3"/>
        <v>41579</v>
      </c>
      <c r="FS11" s="479">
        <f t="shared" si="3"/>
        <v>41582</v>
      </c>
      <c r="FT11" s="485">
        <f t="shared" si="3"/>
        <v>41583</v>
      </c>
      <c r="FU11" s="472">
        <f t="shared" si="3"/>
        <v>41584</v>
      </c>
      <c r="FV11" s="479">
        <f t="shared" si="3"/>
        <v>41585</v>
      </c>
      <c r="FW11" s="479">
        <f t="shared" si="3"/>
        <v>41586</v>
      </c>
      <c r="FX11" s="479">
        <f t="shared" si="3"/>
        <v>41589</v>
      </c>
      <c r="FY11" s="492">
        <f t="shared" si="3"/>
        <v>41590</v>
      </c>
      <c r="FZ11" s="480">
        <f t="shared" si="3"/>
        <v>41591</v>
      </c>
      <c r="GA11" s="479">
        <f t="shared" si="3"/>
        <v>41592</v>
      </c>
      <c r="GB11" s="479">
        <f t="shared" si="3"/>
        <v>41593</v>
      </c>
      <c r="GC11" s="479">
        <f t="shared" si="3"/>
        <v>41596</v>
      </c>
      <c r="GD11" s="492">
        <f t="shared" si="3"/>
        <v>41597</v>
      </c>
      <c r="GE11" s="480">
        <f t="shared" si="3"/>
        <v>41598</v>
      </c>
      <c r="GF11" s="479">
        <f t="shared" si="3"/>
        <v>41599</v>
      </c>
      <c r="GG11" s="479">
        <f t="shared" si="3"/>
        <v>41600</v>
      </c>
      <c r="GH11" s="479">
        <f t="shared" si="3"/>
        <v>41603</v>
      </c>
      <c r="GI11" s="492">
        <f t="shared" si="3"/>
        <v>41604</v>
      </c>
      <c r="GJ11" s="480">
        <f t="shared" si="3"/>
        <v>41605</v>
      </c>
      <c r="GK11" s="479">
        <f t="shared" si="3"/>
        <v>41606</v>
      </c>
      <c r="GL11" s="479">
        <f t="shared" si="3"/>
        <v>41607</v>
      </c>
      <c r="GM11" s="479">
        <f t="shared" si="3"/>
        <v>41610</v>
      </c>
      <c r="GN11" s="492">
        <f t="shared" si="3"/>
        <v>41611</v>
      </c>
      <c r="GO11" s="480">
        <f t="shared" si="3"/>
        <v>41612</v>
      </c>
      <c r="GP11" s="485">
        <f t="shared" si="3"/>
        <v>41613</v>
      </c>
      <c r="GQ11" s="472">
        <f t="shared" si="3"/>
        <v>41614</v>
      </c>
      <c r="GR11" s="479">
        <f t="shared" si="3"/>
        <v>41617</v>
      </c>
      <c r="GS11" s="492">
        <f t="shared" si="3"/>
        <v>41618</v>
      </c>
      <c r="GT11" s="480">
        <f t="shared" si="3"/>
        <v>41619</v>
      </c>
      <c r="GU11" s="479">
        <f t="shared" si="3"/>
        <v>41620</v>
      </c>
      <c r="GV11" s="479">
        <f t="shared" si="3"/>
        <v>41621</v>
      </c>
      <c r="GW11" s="479">
        <f t="shared" si="3"/>
        <v>41624</v>
      </c>
      <c r="GX11" s="492">
        <f t="shared" si="3"/>
        <v>41625</v>
      </c>
      <c r="GY11" s="480">
        <f t="shared" si="3"/>
        <v>41626</v>
      </c>
      <c r="GZ11" s="479">
        <f t="shared" si="3"/>
        <v>41627</v>
      </c>
      <c r="HA11" s="479">
        <f t="shared" si="3"/>
        <v>41628</v>
      </c>
      <c r="HB11" s="479">
        <f t="shared" si="3"/>
        <v>41631</v>
      </c>
      <c r="HC11" s="492">
        <f t="shared" si="3"/>
        <v>41632</v>
      </c>
      <c r="HD11" s="480">
        <f t="shared" si="3"/>
        <v>41633</v>
      </c>
      <c r="HE11" s="479">
        <f t="shared" si="3"/>
        <v>41634</v>
      </c>
      <c r="HF11" s="479">
        <f t="shared" si="3"/>
        <v>41635</v>
      </c>
      <c r="HG11" s="479">
        <f t="shared" si="3"/>
        <v>41638</v>
      </c>
      <c r="HH11" s="492">
        <f t="shared" si="3"/>
        <v>41639</v>
      </c>
      <c r="HI11" s="480">
        <f t="shared" si="3"/>
        <v>41640</v>
      </c>
      <c r="HJ11" s="479">
        <f t="shared" si="3"/>
        <v>41641</v>
      </c>
      <c r="HK11" s="479">
        <f t="shared" si="3"/>
        <v>41642</v>
      </c>
      <c r="HL11" s="479">
        <f t="shared" si="3"/>
        <v>41645</v>
      </c>
      <c r="HM11" s="485">
        <f t="shared" si="3"/>
        <v>41646</v>
      </c>
      <c r="HN11" s="472">
        <f t="shared" si="3"/>
        <v>41647</v>
      </c>
      <c r="HO11" s="479">
        <f t="shared" si="3"/>
        <v>41648</v>
      </c>
      <c r="HP11" s="479">
        <f t="shared" si="3"/>
        <v>41649</v>
      </c>
      <c r="HQ11" s="479">
        <f t="shared" si="3"/>
        <v>41652</v>
      </c>
      <c r="HR11" s="492">
        <f t="shared" si="3"/>
        <v>41653</v>
      </c>
      <c r="HS11" s="480">
        <f t="shared" si="3"/>
        <v>41654</v>
      </c>
      <c r="HT11" s="479">
        <f t="shared" si="3"/>
        <v>41655</v>
      </c>
      <c r="HU11" s="479">
        <f t="shared" si="3"/>
        <v>41656</v>
      </c>
      <c r="HV11" s="479">
        <f t="shared" si="3"/>
        <v>41659</v>
      </c>
      <c r="HW11" s="492">
        <f t="shared" si="3"/>
        <v>41660</v>
      </c>
      <c r="HX11" s="817">
        <f t="shared" si="3"/>
        <v>41661</v>
      </c>
      <c r="HY11" s="814"/>
    </row>
    <row r="12" spans="1:233" s="7" customFormat="1" ht="43.5" customHeight="1">
      <c r="A12" s="806"/>
      <c r="K12" s="454" t="s">
        <v>514</v>
      </c>
      <c r="L12" s="791">
        <f t="shared" ref="L12:BW12" si="4">IF(MONTH(L11)=MONTH(K11),"",L11)</f>
        <v>41353</v>
      </c>
      <c r="M12" s="794" t="str">
        <f t="shared" si="4"/>
        <v/>
      </c>
      <c r="N12" s="794" t="str">
        <f t="shared" si="4"/>
        <v/>
      </c>
      <c r="O12" s="794" t="str">
        <f t="shared" si="4"/>
        <v/>
      </c>
      <c r="P12" s="792" t="str">
        <f t="shared" si="4"/>
        <v/>
      </c>
      <c r="Q12" s="793" t="str">
        <f t="shared" si="4"/>
        <v/>
      </c>
      <c r="R12" s="794" t="str">
        <f t="shared" si="4"/>
        <v/>
      </c>
      <c r="S12" s="794" t="str">
        <f t="shared" si="4"/>
        <v/>
      </c>
      <c r="T12" s="794">
        <f t="shared" si="4"/>
        <v>41365</v>
      </c>
      <c r="U12" s="792" t="str">
        <f t="shared" si="4"/>
        <v/>
      </c>
      <c r="V12" s="793" t="str">
        <f t="shared" si="4"/>
        <v/>
      </c>
      <c r="W12" s="795" t="str">
        <f t="shared" si="4"/>
        <v/>
      </c>
      <c r="X12" s="791" t="str">
        <f t="shared" si="4"/>
        <v/>
      </c>
      <c r="Y12" s="794" t="str">
        <f t="shared" si="4"/>
        <v/>
      </c>
      <c r="Z12" s="792" t="str">
        <f t="shared" si="4"/>
        <v/>
      </c>
      <c r="AA12" s="793" t="str">
        <f t="shared" si="4"/>
        <v/>
      </c>
      <c r="AB12" s="794" t="str">
        <f t="shared" si="4"/>
        <v/>
      </c>
      <c r="AC12" s="794" t="str">
        <f t="shared" si="4"/>
        <v/>
      </c>
      <c r="AD12" s="794" t="str">
        <f t="shared" si="4"/>
        <v/>
      </c>
      <c r="AE12" s="792" t="str">
        <f t="shared" si="4"/>
        <v/>
      </c>
      <c r="AF12" s="793" t="str">
        <f t="shared" si="4"/>
        <v/>
      </c>
      <c r="AG12" s="794" t="str">
        <f t="shared" si="4"/>
        <v/>
      </c>
      <c r="AH12" s="794" t="str">
        <f t="shared" si="4"/>
        <v/>
      </c>
      <c r="AI12" s="794" t="str">
        <f t="shared" si="4"/>
        <v/>
      </c>
      <c r="AJ12" s="792" t="str">
        <f t="shared" si="4"/>
        <v/>
      </c>
      <c r="AK12" s="793" t="str">
        <f t="shared" si="4"/>
        <v/>
      </c>
      <c r="AL12" s="794" t="str">
        <f t="shared" si="4"/>
        <v/>
      </c>
      <c r="AM12" s="794" t="str">
        <f t="shared" si="4"/>
        <v/>
      </c>
      <c r="AN12" s="794" t="str">
        <f t="shared" si="4"/>
        <v/>
      </c>
      <c r="AO12" s="792" t="str">
        <f t="shared" si="4"/>
        <v/>
      </c>
      <c r="AP12" s="793">
        <f t="shared" si="4"/>
        <v>41395</v>
      </c>
      <c r="AQ12" s="794" t="str">
        <f t="shared" si="4"/>
        <v/>
      </c>
      <c r="AR12" s="794" t="str">
        <f t="shared" si="4"/>
        <v/>
      </c>
      <c r="AS12" s="794" t="str">
        <f t="shared" si="4"/>
        <v/>
      </c>
      <c r="AT12" s="795" t="str">
        <f t="shared" si="4"/>
        <v/>
      </c>
      <c r="AU12" s="791" t="str">
        <f t="shared" si="4"/>
        <v/>
      </c>
      <c r="AV12" s="794" t="str">
        <f t="shared" si="4"/>
        <v/>
      </c>
      <c r="AW12" s="794" t="str">
        <f t="shared" si="4"/>
        <v/>
      </c>
      <c r="AX12" s="794" t="str">
        <f t="shared" si="4"/>
        <v/>
      </c>
      <c r="AY12" s="792" t="str">
        <f t="shared" si="4"/>
        <v/>
      </c>
      <c r="AZ12" s="793" t="str">
        <f t="shared" si="4"/>
        <v/>
      </c>
      <c r="BA12" s="794" t="str">
        <f t="shared" si="4"/>
        <v/>
      </c>
      <c r="BB12" s="794" t="str">
        <f t="shared" si="4"/>
        <v/>
      </c>
      <c r="BC12" s="794" t="str">
        <f t="shared" si="4"/>
        <v/>
      </c>
      <c r="BD12" s="792" t="str">
        <f t="shared" si="4"/>
        <v/>
      </c>
      <c r="BE12" s="793" t="str">
        <f t="shared" si="4"/>
        <v/>
      </c>
      <c r="BF12" s="794" t="str">
        <f t="shared" si="4"/>
        <v/>
      </c>
      <c r="BG12" s="794" t="str">
        <f t="shared" si="4"/>
        <v/>
      </c>
      <c r="BH12" s="794" t="str">
        <f t="shared" si="4"/>
        <v/>
      </c>
      <c r="BI12" s="792" t="str">
        <f t="shared" si="4"/>
        <v/>
      </c>
      <c r="BJ12" s="793" t="str">
        <f t="shared" si="4"/>
        <v/>
      </c>
      <c r="BK12" s="794" t="str">
        <f t="shared" si="4"/>
        <v/>
      </c>
      <c r="BL12" s="794" t="str">
        <f t="shared" si="4"/>
        <v/>
      </c>
      <c r="BM12" s="794">
        <f t="shared" si="4"/>
        <v>41428</v>
      </c>
      <c r="BN12" s="795" t="str">
        <f t="shared" si="4"/>
        <v/>
      </c>
      <c r="BO12" s="791" t="str">
        <f t="shared" si="4"/>
        <v/>
      </c>
      <c r="BP12" s="794" t="str">
        <f t="shared" si="4"/>
        <v/>
      </c>
      <c r="BQ12" s="794" t="str">
        <f t="shared" si="4"/>
        <v/>
      </c>
      <c r="BR12" s="794" t="str">
        <f t="shared" si="4"/>
        <v/>
      </c>
      <c r="BS12" s="792" t="str">
        <f t="shared" si="4"/>
        <v/>
      </c>
      <c r="BT12" s="793" t="str">
        <f t="shared" si="4"/>
        <v/>
      </c>
      <c r="BU12" s="794" t="str">
        <f t="shared" si="4"/>
        <v/>
      </c>
      <c r="BV12" s="794" t="str">
        <f t="shared" si="4"/>
        <v/>
      </c>
      <c r="BW12" s="794" t="str">
        <f t="shared" si="4"/>
        <v/>
      </c>
      <c r="BX12" s="792" t="str">
        <f t="shared" ref="BX12:EI12" si="5">IF(MONTH(BX11)=MONTH(BW11),"",BX11)</f>
        <v/>
      </c>
      <c r="BY12" s="793" t="str">
        <f t="shared" si="5"/>
        <v/>
      </c>
      <c r="BZ12" s="794" t="str">
        <f t="shared" si="5"/>
        <v/>
      </c>
      <c r="CA12" s="794" t="str">
        <f t="shared" si="5"/>
        <v/>
      </c>
      <c r="CB12" s="794" t="str">
        <f t="shared" si="5"/>
        <v/>
      </c>
      <c r="CC12" s="792" t="str">
        <f t="shared" si="5"/>
        <v/>
      </c>
      <c r="CD12" s="793" t="str">
        <f t="shared" si="5"/>
        <v/>
      </c>
      <c r="CE12" s="794" t="str">
        <f t="shared" si="5"/>
        <v/>
      </c>
      <c r="CF12" s="794" t="str">
        <f t="shared" si="5"/>
        <v/>
      </c>
      <c r="CG12" s="794">
        <f t="shared" si="5"/>
        <v>41456</v>
      </c>
      <c r="CH12" s="792" t="str">
        <f t="shared" si="5"/>
        <v/>
      </c>
      <c r="CI12" s="793" t="str">
        <f t="shared" si="5"/>
        <v/>
      </c>
      <c r="CJ12" s="794" t="str">
        <f t="shared" si="5"/>
        <v/>
      </c>
      <c r="CK12" s="795" t="str">
        <f t="shared" si="5"/>
        <v/>
      </c>
      <c r="CL12" s="791" t="str">
        <f t="shared" si="5"/>
        <v/>
      </c>
      <c r="CM12" s="792" t="str">
        <f t="shared" si="5"/>
        <v/>
      </c>
      <c r="CN12" s="793" t="str">
        <f t="shared" si="5"/>
        <v/>
      </c>
      <c r="CO12" s="794" t="str">
        <f t="shared" si="5"/>
        <v/>
      </c>
      <c r="CP12" s="794" t="str">
        <f t="shared" si="5"/>
        <v/>
      </c>
      <c r="CQ12" s="794" t="str">
        <f t="shared" si="5"/>
        <v/>
      </c>
      <c r="CR12" s="792" t="str">
        <f t="shared" si="5"/>
        <v/>
      </c>
      <c r="CS12" s="793" t="str">
        <f t="shared" si="5"/>
        <v/>
      </c>
      <c r="CT12" s="794" t="str">
        <f t="shared" si="5"/>
        <v/>
      </c>
      <c r="CU12" s="794" t="str">
        <f t="shared" si="5"/>
        <v/>
      </c>
      <c r="CV12" s="794" t="str">
        <f t="shared" si="5"/>
        <v/>
      </c>
      <c r="CW12" s="792" t="str">
        <f t="shared" si="5"/>
        <v/>
      </c>
      <c r="CX12" s="793" t="str">
        <f t="shared" si="5"/>
        <v/>
      </c>
      <c r="CY12" s="794" t="str">
        <f t="shared" si="5"/>
        <v/>
      </c>
      <c r="CZ12" s="794" t="str">
        <f t="shared" si="5"/>
        <v/>
      </c>
      <c r="DA12" s="794" t="str">
        <f t="shared" si="5"/>
        <v/>
      </c>
      <c r="DB12" s="792" t="str">
        <f t="shared" si="5"/>
        <v/>
      </c>
      <c r="DC12" s="793" t="str">
        <f t="shared" si="5"/>
        <v/>
      </c>
      <c r="DD12" s="794">
        <f t="shared" si="5"/>
        <v>41487</v>
      </c>
      <c r="DE12" s="794" t="str">
        <f t="shared" si="5"/>
        <v/>
      </c>
      <c r="DF12" s="794" t="str">
        <f t="shared" si="5"/>
        <v/>
      </c>
      <c r="DG12" s="795" t="str">
        <f t="shared" si="5"/>
        <v/>
      </c>
      <c r="DH12" s="791" t="str">
        <f t="shared" si="5"/>
        <v/>
      </c>
      <c r="DI12" s="794" t="str">
        <f t="shared" si="5"/>
        <v/>
      </c>
      <c r="DJ12" s="794" t="str">
        <f t="shared" si="5"/>
        <v/>
      </c>
      <c r="DK12" s="794" t="str">
        <f t="shared" si="5"/>
        <v/>
      </c>
      <c r="DL12" s="792" t="str">
        <f t="shared" si="5"/>
        <v/>
      </c>
      <c r="DM12" s="793" t="str">
        <f t="shared" si="5"/>
        <v/>
      </c>
      <c r="DN12" s="794" t="str">
        <f t="shared" si="5"/>
        <v/>
      </c>
      <c r="DO12" s="794" t="str">
        <f t="shared" si="5"/>
        <v/>
      </c>
      <c r="DP12" s="794" t="str">
        <f t="shared" si="5"/>
        <v/>
      </c>
      <c r="DQ12" s="792" t="str">
        <f t="shared" si="5"/>
        <v/>
      </c>
      <c r="DR12" s="793" t="str">
        <f t="shared" si="5"/>
        <v/>
      </c>
      <c r="DS12" s="794" t="str">
        <f t="shared" si="5"/>
        <v/>
      </c>
      <c r="DT12" s="794" t="str">
        <f t="shared" si="5"/>
        <v/>
      </c>
      <c r="DU12" s="794" t="str">
        <f t="shared" si="5"/>
        <v/>
      </c>
      <c r="DV12" s="792" t="str">
        <f t="shared" si="5"/>
        <v/>
      </c>
      <c r="DW12" s="793" t="str">
        <f t="shared" si="5"/>
        <v/>
      </c>
      <c r="DX12" s="794" t="str">
        <f t="shared" si="5"/>
        <v/>
      </c>
      <c r="DY12" s="794" t="str">
        <f t="shared" si="5"/>
        <v/>
      </c>
      <c r="DZ12" s="794">
        <f t="shared" si="5"/>
        <v>41519</v>
      </c>
      <c r="EA12" s="792" t="str">
        <f t="shared" si="5"/>
        <v/>
      </c>
      <c r="EB12" s="818" t="str">
        <f t="shared" si="5"/>
        <v/>
      </c>
      <c r="EC12" s="791" t="str">
        <f t="shared" si="5"/>
        <v/>
      </c>
      <c r="ED12" s="794" t="str">
        <f t="shared" si="5"/>
        <v/>
      </c>
      <c r="EE12" s="794" t="str">
        <f t="shared" si="5"/>
        <v/>
      </c>
      <c r="EF12" s="792" t="str">
        <f t="shared" si="5"/>
        <v/>
      </c>
      <c r="EG12" s="793" t="str">
        <f t="shared" si="5"/>
        <v/>
      </c>
      <c r="EH12" s="794" t="str">
        <f t="shared" si="5"/>
        <v/>
      </c>
      <c r="EI12" s="794" t="str">
        <f t="shared" si="5"/>
        <v/>
      </c>
      <c r="EJ12" s="794" t="str">
        <f t="shared" ref="EJ12:GU12" si="6">IF(MONTH(EJ11)=MONTH(EI11),"",EJ11)</f>
        <v/>
      </c>
      <c r="EK12" s="792" t="str">
        <f t="shared" si="6"/>
        <v/>
      </c>
      <c r="EL12" s="793" t="str">
        <f t="shared" si="6"/>
        <v/>
      </c>
      <c r="EM12" s="794" t="str">
        <f t="shared" si="6"/>
        <v/>
      </c>
      <c r="EN12" s="794" t="str">
        <f t="shared" si="6"/>
        <v/>
      </c>
      <c r="EO12" s="794" t="str">
        <f t="shared" si="6"/>
        <v/>
      </c>
      <c r="EP12" s="792" t="str">
        <f t="shared" si="6"/>
        <v/>
      </c>
      <c r="EQ12" s="793" t="str">
        <f t="shared" si="6"/>
        <v/>
      </c>
      <c r="ER12" s="794" t="str">
        <f t="shared" si="6"/>
        <v/>
      </c>
      <c r="ES12" s="794" t="str">
        <f t="shared" si="6"/>
        <v/>
      </c>
      <c r="ET12" s="794" t="str">
        <f t="shared" si="6"/>
        <v/>
      </c>
      <c r="EU12" s="792">
        <f t="shared" si="6"/>
        <v>41548</v>
      </c>
      <c r="EV12" s="793" t="str">
        <f t="shared" si="6"/>
        <v/>
      </c>
      <c r="EW12" s="794" t="str">
        <f t="shared" si="6"/>
        <v/>
      </c>
      <c r="EX12" s="794" t="str">
        <f t="shared" si="6"/>
        <v/>
      </c>
      <c r="EY12" s="795" t="str">
        <f t="shared" si="6"/>
        <v/>
      </c>
      <c r="EZ12" s="809" t="str">
        <f t="shared" si="6"/>
        <v/>
      </c>
      <c r="FA12" s="793" t="str">
        <f t="shared" si="6"/>
        <v/>
      </c>
      <c r="FB12" s="794" t="str">
        <f t="shared" si="6"/>
        <v/>
      </c>
      <c r="FC12" s="794" t="str">
        <f t="shared" si="6"/>
        <v/>
      </c>
      <c r="FD12" s="794" t="str">
        <f t="shared" si="6"/>
        <v/>
      </c>
      <c r="FE12" s="792" t="str">
        <f t="shared" si="6"/>
        <v/>
      </c>
      <c r="FF12" s="793" t="str">
        <f t="shared" si="6"/>
        <v/>
      </c>
      <c r="FG12" s="794" t="str">
        <f t="shared" si="6"/>
        <v/>
      </c>
      <c r="FH12" s="794" t="str">
        <f t="shared" si="6"/>
        <v/>
      </c>
      <c r="FI12" s="794" t="str">
        <f t="shared" si="6"/>
        <v/>
      </c>
      <c r="FJ12" s="792" t="str">
        <f t="shared" si="6"/>
        <v/>
      </c>
      <c r="FK12" s="793" t="str">
        <f t="shared" si="6"/>
        <v/>
      </c>
      <c r="FL12" s="794" t="str">
        <f t="shared" si="6"/>
        <v/>
      </c>
      <c r="FM12" s="794" t="str">
        <f t="shared" si="6"/>
        <v/>
      </c>
      <c r="FN12" s="794" t="str">
        <f t="shared" si="6"/>
        <v/>
      </c>
      <c r="FO12" s="792" t="str">
        <f t="shared" si="6"/>
        <v/>
      </c>
      <c r="FP12" s="793" t="str">
        <f t="shared" si="6"/>
        <v/>
      </c>
      <c r="FQ12" s="794" t="str">
        <f t="shared" si="6"/>
        <v/>
      </c>
      <c r="FR12" s="794">
        <f t="shared" si="6"/>
        <v>41579</v>
      </c>
      <c r="FS12" s="794" t="str">
        <f t="shared" si="6"/>
        <v/>
      </c>
      <c r="FT12" s="795" t="str">
        <f t="shared" si="6"/>
        <v/>
      </c>
      <c r="FU12" s="791" t="str">
        <f t="shared" si="6"/>
        <v/>
      </c>
      <c r="FV12" s="794" t="str">
        <f t="shared" si="6"/>
        <v/>
      </c>
      <c r="FW12" s="794" t="str">
        <f t="shared" si="6"/>
        <v/>
      </c>
      <c r="FX12" s="794" t="str">
        <f t="shared" si="6"/>
        <v/>
      </c>
      <c r="FY12" s="792" t="str">
        <f t="shared" si="6"/>
        <v/>
      </c>
      <c r="FZ12" s="793" t="str">
        <f t="shared" si="6"/>
        <v/>
      </c>
      <c r="GA12" s="794" t="str">
        <f t="shared" si="6"/>
        <v/>
      </c>
      <c r="GB12" s="794" t="str">
        <f t="shared" si="6"/>
        <v/>
      </c>
      <c r="GC12" s="794" t="str">
        <f t="shared" si="6"/>
        <v/>
      </c>
      <c r="GD12" s="792" t="str">
        <f t="shared" si="6"/>
        <v/>
      </c>
      <c r="GE12" s="793" t="str">
        <f t="shared" si="6"/>
        <v/>
      </c>
      <c r="GF12" s="794" t="str">
        <f t="shared" si="6"/>
        <v/>
      </c>
      <c r="GG12" s="794" t="str">
        <f t="shared" si="6"/>
        <v/>
      </c>
      <c r="GH12" s="794" t="str">
        <f t="shared" si="6"/>
        <v/>
      </c>
      <c r="GI12" s="792" t="str">
        <f t="shared" si="6"/>
        <v/>
      </c>
      <c r="GJ12" s="793" t="str">
        <f t="shared" si="6"/>
        <v/>
      </c>
      <c r="GK12" s="794" t="str">
        <f t="shared" si="6"/>
        <v/>
      </c>
      <c r="GL12" s="794" t="str">
        <f t="shared" si="6"/>
        <v/>
      </c>
      <c r="GM12" s="794">
        <f t="shared" si="6"/>
        <v>41610</v>
      </c>
      <c r="GN12" s="792" t="str">
        <f t="shared" si="6"/>
        <v/>
      </c>
      <c r="GO12" s="793" t="str">
        <f t="shared" si="6"/>
        <v/>
      </c>
      <c r="GP12" s="795" t="str">
        <f t="shared" si="6"/>
        <v/>
      </c>
      <c r="GQ12" s="791" t="str">
        <f t="shared" si="6"/>
        <v/>
      </c>
      <c r="GR12" s="794" t="str">
        <f t="shared" si="6"/>
        <v/>
      </c>
      <c r="GS12" s="792" t="str">
        <f t="shared" si="6"/>
        <v/>
      </c>
      <c r="GT12" s="793" t="str">
        <f t="shared" si="6"/>
        <v/>
      </c>
      <c r="GU12" s="794" t="str">
        <f t="shared" si="6"/>
        <v/>
      </c>
      <c r="GV12" s="794" t="str">
        <f t="shared" ref="GV12:HX12" si="7">IF(MONTH(GV11)=MONTH(GU11),"",GV11)</f>
        <v/>
      </c>
      <c r="GW12" s="794" t="str">
        <f t="shared" si="7"/>
        <v/>
      </c>
      <c r="GX12" s="792" t="str">
        <f t="shared" si="7"/>
        <v/>
      </c>
      <c r="GY12" s="793" t="str">
        <f t="shared" si="7"/>
        <v/>
      </c>
      <c r="GZ12" s="794" t="str">
        <f t="shared" si="7"/>
        <v/>
      </c>
      <c r="HA12" s="794" t="str">
        <f t="shared" si="7"/>
        <v/>
      </c>
      <c r="HB12" s="794" t="str">
        <f t="shared" si="7"/>
        <v/>
      </c>
      <c r="HC12" s="792" t="str">
        <f t="shared" si="7"/>
        <v/>
      </c>
      <c r="HD12" s="793" t="str">
        <f t="shared" si="7"/>
        <v/>
      </c>
      <c r="HE12" s="794" t="str">
        <f t="shared" si="7"/>
        <v/>
      </c>
      <c r="HF12" s="794" t="str">
        <f t="shared" si="7"/>
        <v/>
      </c>
      <c r="HG12" s="794" t="str">
        <f t="shared" si="7"/>
        <v/>
      </c>
      <c r="HH12" s="792" t="str">
        <f t="shared" si="7"/>
        <v/>
      </c>
      <c r="HI12" s="793">
        <f t="shared" si="7"/>
        <v>41640</v>
      </c>
      <c r="HJ12" s="794" t="str">
        <f t="shared" si="7"/>
        <v/>
      </c>
      <c r="HK12" s="794" t="str">
        <f t="shared" si="7"/>
        <v/>
      </c>
      <c r="HL12" s="794" t="str">
        <f t="shared" si="7"/>
        <v/>
      </c>
      <c r="HM12" s="795" t="str">
        <f t="shared" si="7"/>
        <v/>
      </c>
      <c r="HN12" s="791" t="str">
        <f t="shared" si="7"/>
        <v/>
      </c>
      <c r="HO12" s="794" t="str">
        <f t="shared" si="7"/>
        <v/>
      </c>
      <c r="HP12" s="794" t="str">
        <f t="shared" si="7"/>
        <v/>
      </c>
      <c r="HQ12" s="794" t="str">
        <f t="shared" si="7"/>
        <v/>
      </c>
      <c r="HR12" s="792" t="str">
        <f t="shared" si="7"/>
        <v/>
      </c>
      <c r="HS12" s="793" t="str">
        <f t="shared" si="7"/>
        <v/>
      </c>
      <c r="HT12" s="794" t="str">
        <f t="shared" si="7"/>
        <v/>
      </c>
      <c r="HU12" s="794" t="str">
        <f t="shared" si="7"/>
        <v/>
      </c>
      <c r="HV12" s="794" t="str">
        <f t="shared" si="7"/>
        <v/>
      </c>
      <c r="HW12" s="792" t="str">
        <f t="shared" si="7"/>
        <v/>
      </c>
      <c r="HX12" s="818" t="str">
        <f t="shared" si="7"/>
        <v/>
      </c>
      <c r="HY12" s="814"/>
    </row>
    <row r="13" spans="1:233" ht="31.5" customHeight="1">
      <c r="A13" s="807" t="s">
        <v>460</v>
      </c>
      <c r="K13" s="456" t="s">
        <v>512</v>
      </c>
      <c r="L13" s="796">
        <f t="shared" ref="L13:AN13" si="8">L11</f>
        <v>41353</v>
      </c>
      <c r="M13" s="799">
        <f t="shared" si="8"/>
        <v>41354</v>
      </c>
      <c r="N13" s="799">
        <f t="shared" si="8"/>
        <v>41355</v>
      </c>
      <c r="O13" s="799">
        <f t="shared" si="8"/>
        <v>41358</v>
      </c>
      <c r="P13" s="797">
        <f t="shared" si="8"/>
        <v>41359</v>
      </c>
      <c r="Q13" s="798">
        <f t="shared" si="8"/>
        <v>41360</v>
      </c>
      <c r="R13" s="799">
        <f t="shared" si="8"/>
        <v>41361</v>
      </c>
      <c r="S13" s="799">
        <f t="shared" si="8"/>
        <v>41362</v>
      </c>
      <c r="T13" s="799">
        <f t="shared" si="8"/>
        <v>41365</v>
      </c>
      <c r="U13" s="797">
        <f t="shared" si="8"/>
        <v>41366</v>
      </c>
      <c r="V13" s="798">
        <f t="shared" si="8"/>
        <v>41367</v>
      </c>
      <c r="W13" s="800">
        <f t="shared" si="8"/>
        <v>41368</v>
      </c>
      <c r="X13" s="796">
        <f t="shared" si="8"/>
        <v>41369</v>
      </c>
      <c r="Y13" s="799">
        <f t="shared" si="8"/>
        <v>41372</v>
      </c>
      <c r="Z13" s="797">
        <f t="shared" si="8"/>
        <v>41373</v>
      </c>
      <c r="AA13" s="798">
        <f t="shared" si="8"/>
        <v>41374</v>
      </c>
      <c r="AB13" s="799">
        <f t="shared" si="8"/>
        <v>41375</v>
      </c>
      <c r="AC13" s="799">
        <f t="shared" si="8"/>
        <v>41376</v>
      </c>
      <c r="AD13" s="799">
        <f t="shared" si="8"/>
        <v>41379</v>
      </c>
      <c r="AE13" s="797">
        <f t="shared" si="8"/>
        <v>41380</v>
      </c>
      <c r="AF13" s="798">
        <f t="shared" si="8"/>
        <v>41381</v>
      </c>
      <c r="AG13" s="799">
        <f t="shared" si="8"/>
        <v>41382</v>
      </c>
      <c r="AH13" s="799">
        <f t="shared" si="8"/>
        <v>41383</v>
      </c>
      <c r="AI13" s="799">
        <f t="shared" si="8"/>
        <v>41386</v>
      </c>
      <c r="AJ13" s="797">
        <f t="shared" si="8"/>
        <v>41387</v>
      </c>
      <c r="AK13" s="798">
        <f t="shared" si="8"/>
        <v>41388</v>
      </c>
      <c r="AL13" s="799">
        <f t="shared" si="8"/>
        <v>41389</v>
      </c>
      <c r="AM13" s="799">
        <f t="shared" si="8"/>
        <v>41390</v>
      </c>
      <c r="AN13" s="799">
        <f t="shared" si="8"/>
        <v>41393</v>
      </c>
      <c r="AO13" s="797">
        <f t="shared" ref="AO13:CZ13" si="9">AO11</f>
        <v>41394</v>
      </c>
      <c r="AP13" s="798">
        <f t="shared" si="9"/>
        <v>41395</v>
      </c>
      <c r="AQ13" s="799">
        <f t="shared" si="9"/>
        <v>41396</v>
      </c>
      <c r="AR13" s="799">
        <f t="shared" si="9"/>
        <v>41397</v>
      </c>
      <c r="AS13" s="799">
        <f t="shared" si="9"/>
        <v>41400</v>
      </c>
      <c r="AT13" s="800">
        <f t="shared" si="9"/>
        <v>41401</v>
      </c>
      <c r="AU13" s="796">
        <f t="shared" si="9"/>
        <v>41402</v>
      </c>
      <c r="AV13" s="799">
        <f t="shared" si="9"/>
        <v>41403</v>
      </c>
      <c r="AW13" s="799">
        <f t="shared" si="9"/>
        <v>41404</v>
      </c>
      <c r="AX13" s="799">
        <f t="shared" si="9"/>
        <v>41407</v>
      </c>
      <c r="AY13" s="797">
        <f t="shared" si="9"/>
        <v>41408</v>
      </c>
      <c r="AZ13" s="798">
        <f t="shared" si="9"/>
        <v>41409</v>
      </c>
      <c r="BA13" s="799">
        <f t="shared" si="9"/>
        <v>41410</v>
      </c>
      <c r="BB13" s="799">
        <f t="shared" si="9"/>
        <v>41411</v>
      </c>
      <c r="BC13" s="799">
        <f t="shared" si="9"/>
        <v>41414</v>
      </c>
      <c r="BD13" s="797">
        <f t="shared" si="9"/>
        <v>41415</v>
      </c>
      <c r="BE13" s="798">
        <f t="shared" si="9"/>
        <v>41416</v>
      </c>
      <c r="BF13" s="799">
        <f t="shared" si="9"/>
        <v>41417</v>
      </c>
      <c r="BG13" s="799">
        <f t="shared" si="9"/>
        <v>41418</v>
      </c>
      <c r="BH13" s="799">
        <f t="shared" si="9"/>
        <v>41421</v>
      </c>
      <c r="BI13" s="797">
        <f t="shared" si="9"/>
        <v>41422</v>
      </c>
      <c r="BJ13" s="798">
        <f t="shared" si="9"/>
        <v>41423</v>
      </c>
      <c r="BK13" s="799">
        <f t="shared" si="9"/>
        <v>41424</v>
      </c>
      <c r="BL13" s="799">
        <f t="shared" si="9"/>
        <v>41425</v>
      </c>
      <c r="BM13" s="799">
        <f t="shared" si="9"/>
        <v>41428</v>
      </c>
      <c r="BN13" s="800">
        <f t="shared" si="9"/>
        <v>41429</v>
      </c>
      <c r="BO13" s="796">
        <f t="shared" si="9"/>
        <v>41430</v>
      </c>
      <c r="BP13" s="799">
        <f t="shared" si="9"/>
        <v>41431</v>
      </c>
      <c r="BQ13" s="799">
        <f t="shared" si="9"/>
        <v>41432</v>
      </c>
      <c r="BR13" s="799">
        <f t="shared" si="9"/>
        <v>41435</v>
      </c>
      <c r="BS13" s="797">
        <f t="shared" si="9"/>
        <v>41436</v>
      </c>
      <c r="BT13" s="798">
        <f t="shared" si="9"/>
        <v>41437</v>
      </c>
      <c r="BU13" s="799">
        <f t="shared" si="9"/>
        <v>41438</v>
      </c>
      <c r="BV13" s="799">
        <f t="shared" si="9"/>
        <v>41439</v>
      </c>
      <c r="BW13" s="799">
        <f t="shared" si="9"/>
        <v>41442</v>
      </c>
      <c r="BX13" s="797">
        <f t="shared" si="9"/>
        <v>41443</v>
      </c>
      <c r="BY13" s="798">
        <f t="shared" si="9"/>
        <v>41444</v>
      </c>
      <c r="BZ13" s="799">
        <f t="shared" si="9"/>
        <v>41445</v>
      </c>
      <c r="CA13" s="799">
        <f t="shared" si="9"/>
        <v>41446</v>
      </c>
      <c r="CB13" s="799">
        <f t="shared" si="9"/>
        <v>41449</v>
      </c>
      <c r="CC13" s="797">
        <f t="shared" si="9"/>
        <v>41450</v>
      </c>
      <c r="CD13" s="798">
        <f t="shared" si="9"/>
        <v>41451</v>
      </c>
      <c r="CE13" s="799">
        <f t="shared" si="9"/>
        <v>41452</v>
      </c>
      <c r="CF13" s="799">
        <f t="shared" si="9"/>
        <v>41453</v>
      </c>
      <c r="CG13" s="799">
        <f t="shared" si="9"/>
        <v>41456</v>
      </c>
      <c r="CH13" s="797">
        <f t="shared" si="9"/>
        <v>41457</v>
      </c>
      <c r="CI13" s="798">
        <f t="shared" si="9"/>
        <v>41458</v>
      </c>
      <c r="CJ13" s="799">
        <f t="shared" si="9"/>
        <v>41459</v>
      </c>
      <c r="CK13" s="800">
        <f t="shared" si="9"/>
        <v>41460</v>
      </c>
      <c r="CL13" s="796">
        <f t="shared" si="9"/>
        <v>41463</v>
      </c>
      <c r="CM13" s="797">
        <f t="shared" si="9"/>
        <v>41464</v>
      </c>
      <c r="CN13" s="798">
        <f t="shared" si="9"/>
        <v>41465</v>
      </c>
      <c r="CO13" s="799">
        <f t="shared" si="9"/>
        <v>41466</v>
      </c>
      <c r="CP13" s="799">
        <f t="shared" si="9"/>
        <v>41467</v>
      </c>
      <c r="CQ13" s="799">
        <f t="shared" si="9"/>
        <v>41470</v>
      </c>
      <c r="CR13" s="797">
        <f t="shared" si="9"/>
        <v>41471</v>
      </c>
      <c r="CS13" s="798">
        <f t="shared" si="9"/>
        <v>41472</v>
      </c>
      <c r="CT13" s="799">
        <f t="shared" si="9"/>
        <v>41473</v>
      </c>
      <c r="CU13" s="799">
        <f t="shared" si="9"/>
        <v>41474</v>
      </c>
      <c r="CV13" s="799">
        <f t="shared" si="9"/>
        <v>41477</v>
      </c>
      <c r="CW13" s="797">
        <f t="shared" si="9"/>
        <v>41478</v>
      </c>
      <c r="CX13" s="798">
        <f t="shared" si="9"/>
        <v>41479</v>
      </c>
      <c r="CY13" s="799">
        <f t="shared" si="9"/>
        <v>41480</v>
      </c>
      <c r="CZ13" s="799">
        <f t="shared" si="9"/>
        <v>41481</v>
      </c>
      <c r="DA13" s="799">
        <f t="shared" ref="DA13:FL13" si="10">DA11</f>
        <v>41484</v>
      </c>
      <c r="DB13" s="797">
        <f t="shared" si="10"/>
        <v>41485</v>
      </c>
      <c r="DC13" s="798">
        <f t="shared" si="10"/>
        <v>41486</v>
      </c>
      <c r="DD13" s="799">
        <f t="shared" si="10"/>
        <v>41487</v>
      </c>
      <c r="DE13" s="799">
        <f t="shared" si="10"/>
        <v>41488</v>
      </c>
      <c r="DF13" s="799">
        <f t="shared" si="10"/>
        <v>41491</v>
      </c>
      <c r="DG13" s="800">
        <f t="shared" si="10"/>
        <v>41492</v>
      </c>
      <c r="DH13" s="796">
        <f t="shared" si="10"/>
        <v>41493</v>
      </c>
      <c r="DI13" s="799">
        <f t="shared" si="10"/>
        <v>41494</v>
      </c>
      <c r="DJ13" s="799">
        <f t="shared" si="10"/>
        <v>41495</v>
      </c>
      <c r="DK13" s="799">
        <f t="shared" si="10"/>
        <v>41498</v>
      </c>
      <c r="DL13" s="797">
        <f t="shared" si="10"/>
        <v>41499</v>
      </c>
      <c r="DM13" s="798">
        <f t="shared" si="10"/>
        <v>41500</v>
      </c>
      <c r="DN13" s="799">
        <f t="shared" si="10"/>
        <v>41501</v>
      </c>
      <c r="DO13" s="799">
        <f t="shared" si="10"/>
        <v>41502</v>
      </c>
      <c r="DP13" s="799">
        <f t="shared" si="10"/>
        <v>41505</v>
      </c>
      <c r="DQ13" s="797">
        <f t="shared" si="10"/>
        <v>41506</v>
      </c>
      <c r="DR13" s="798">
        <f t="shared" si="10"/>
        <v>41507</v>
      </c>
      <c r="DS13" s="799">
        <f t="shared" si="10"/>
        <v>41508</v>
      </c>
      <c r="DT13" s="799">
        <f t="shared" si="10"/>
        <v>41509</v>
      </c>
      <c r="DU13" s="799">
        <f t="shared" si="10"/>
        <v>41512</v>
      </c>
      <c r="DV13" s="797">
        <f t="shared" si="10"/>
        <v>41513</v>
      </c>
      <c r="DW13" s="798">
        <f t="shared" si="10"/>
        <v>41514</v>
      </c>
      <c r="DX13" s="799">
        <f t="shared" si="10"/>
        <v>41515</v>
      </c>
      <c r="DY13" s="799">
        <f t="shared" si="10"/>
        <v>41516</v>
      </c>
      <c r="DZ13" s="799">
        <f t="shared" si="10"/>
        <v>41519</v>
      </c>
      <c r="EA13" s="797">
        <f t="shared" si="10"/>
        <v>41520</v>
      </c>
      <c r="EB13" s="819">
        <f t="shared" si="10"/>
        <v>41521</v>
      </c>
      <c r="EC13" s="796">
        <f t="shared" si="10"/>
        <v>41522</v>
      </c>
      <c r="ED13" s="799">
        <f t="shared" si="10"/>
        <v>41523</v>
      </c>
      <c r="EE13" s="799">
        <f t="shared" si="10"/>
        <v>41526</v>
      </c>
      <c r="EF13" s="797">
        <f t="shared" si="10"/>
        <v>41527</v>
      </c>
      <c r="EG13" s="798">
        <f t="shared" si="10"/>
        <v>41528</v>
      </c>
      <c r="EH13" s="799">
        <f t="shared" si="10"/>
        <v>41529</v>
      </c>
      <c r="EI13" s="799">
        <f t="shared" si="10"/>
        <v>41530</v>
      </c>
      <c r="EJ13" s="799">
        <f t="shared" si="10"/>
        <v>41533</v>
      </c>
      <c r="EK13" s="797">
        <f t="shared" si="10"/>
        <v>41534</v>
      </c>
      <c r="EL13" s="798">
        <f t="shared" si="10"/>
        <v>41535</v>
      </c>
      <c r="EM13" s="799">
        <f t="shared" si="10"/>
        <v>41536</v>
      </c>
      <c r="EN13" s="799">
        <f t="shared" si="10"/>
        <v>41537</v>
      </c>
      <c r="EO13" s="799">
        <f t="shared" si="10"/>
        <v>41540</v>
      </c>
      <c r="EP13" s="797">
        <f t="shared" si="10"/>
        <v>41541</v>
      </c>
      <c r="EQ13" s="798">
        <f t="shared" si="10"/>
        <v>41542</v>
      </c>
      <c r="ER13" s="799">
        <f t="shared" si="10"/>
        <v>41543</v>
      </c>
      <c r="ES13" s="799">
        <f t="shared" si="10"/>
        <v>41544</v>
      </c>
      <c r="ET13" s="799">
        <f t="shared" si="10"/>
        <v>41547</v>
      </c>
      <c r="EU13" s="797">
        <f t="shared" si="10"/>
        <v>41548</v>
      </c>
      <c r="EV13" s="798">
        <f t="shared" si="10"/>
        <v>41549</v>
      </c>
      <c r="EW13" s="799">
        <f t="shared" si="10"/>
        <v>41550</v>
      </c>
      <c r="EX13" s="799">
        <f t="shared" si="10"/>
        <v>41551</v>
      </c>
      <c r="EY13" s="800">
        <f t="shared" si="10"/>
        <v>41554</v>
      </c>
      <c r="EZ13" s="810">
        <f t="shared" si="10"/>
        <v>41555</v>
      </c>
      <c r="FA13" s="798">
        <f t="shared" si="10"/>
        <v>41556</v>
      </c>
      <c r="FB13" s="799">
        <f t="shared" si="10"/>
        <v>41557</v>
      </c>
      <c r="FC13" s="799">
        <f t="shared" si="10"/>
        <v>41558</v>
      </c>
      <c r="FD13" s="799">
        <f t="shared" si="10"/>
        <v>41561</v>
      </c>
      <c r="FE13" s="797">
        <f t="shared" si="10"/>
        <v>41562</v>
      </c>
      <c r="FF13" s="798">
        <f t="shared" si="10"/>
        <v>41563</v>
      </c>
      <c r="FG13" s="799">
        <f t="shared" si="10"/>
        <v>41564</v>
      </c>
      <c r="FH13" s="799">
        <f t="shared" si="10"/>
        <v>41565</v>
      </c>
      <c r="FI13" s="799">
        <f t="shared" si="10"/>
        <v>41568</v>
      </c>
      <c r="FJ13" s="797">
        <f t="shared" si="10"/>
        <v>41569</v>
      </c>
      <c r="FK13" s="798">
        <f t="shared" si="10"/>
        <v>41570</v>
      </c>
      <c r="FL13" s="799">
        <f t="shared" si="10"/>
        <v>41571</v>
      </c>
      <c r="FM13" s="799">
        <f t="shared" ref="FM13:HX13" si="11">FM11</f>
        <v>41572</v>
      </c>
      <c r="FN13" s="799">
        <f t="shared" si="11"/>
        <v>41575</v>
      </c>
      <c r="FO13" s="797">
        <f t="shared" si="11"/>
        <v>41576</v>
      </c>
      <c r="FP13" s="798">
        <f t="shared" si="11"/>
        <v>41577</v>
      </c>
      <c r="FQ13" s="799">
        <f t="shared" si="11"/>
        <v>41578</v>
      </c>
      <c r="FR13" s="799">
        <f t="shared" si="11"/>
        <v>41579</v>
      </c>
      <c r="FS13" s="799">
        <f t="shared" si="11"/>
        <v>41582</v>
      </c>
      <c r="FT13" s="800">
        <f t="shared" si="11"/>
        <v>41583</v>
      </c>
      <c r="FU13" s="796">
        <f t="shared" si="11"/>
        <v>41584</v>
      </c>
      <c r="FV13" s="799">
        <f t="shared" si="11"/>
        <v>41585</v>
      </c>
      <c r="FW13" s="799">
        <f t="shared" si="11"/>
        <v>41586</v>
      </c>
      <c r="FX13" s="799">
        <f t="shared" si="11"/>
        <v>41589</v>
      </c>
      <c r="FY13" s="797">
        <f t="shared" si="11"/>
        <v>41590</v>
      </c>
      <c r="FZ13" s="798">
        <f t="shared" si="11"/>
        <v>41591</v>
      </c>
      <c r="GA13" s="799">
        <f t="shared" si="11"/>
        <v>41592</v>
      </c>
      <c r="GB13" s="799">
        <f t="shared" si="11"/>
        <v>41593</v>
      </c>
      <c r="GC13" s="799">
        <f t="shared" si="11"/>
        <v>41596</v>
      </c>
      <c r="GD13" s="797">
        <f t="shared" si="11"/>
        <v>41597</v>
      </c>
      <c r="GE13" s="798">
        <f t="shared" si="11"/>
        <v>41598</v>
      </c>
      <c r="GF13" s="799">
        <f t="shared" si="11"/>
        <v>41599</v>
      </c>
      <c r="GG13" s="799">
        <f t="shared" si="11"/>
        <v>41600</v>
      </c>
      <c r="GH13" s="799">
        <f t="shared" si="11"/>
        <v>41603</v>
      </c>
      <c r="GI13" s="797">
        <f t="shared" si="11"/>
        <v>41604</v>
      </c>
      <c r="GJ13" s="798">
        <f t="shared" si="11"/>
        <v>41605</v>
      </c>
      <c r="GK13" s="799">
        <f t="shared" si="11"/>
        <v>41606</v>
      </c>
      <c r="GL13" s="799">
        <f t="shared" si="11"/>
        <v>41607</v>
      </c>
      <c r="GM13" s="799">
        <f t="shared" si="11"/>
        <v>41610</v>
      </c>
      <c r="GN13" s="797">
        <f t="shared" si="11"/>
        <v>41611</v>
      </c>
      <c r="GO13" s="798">
        <f t="shared" si="11"/>
        <v>41612</v>
      </c>
      <c r="GP13" s="800">
        <f t="shared" si="11"/>
        <v>41613</v>
      </c>
      <c r="GQ13" s="796">
        <f t="shared" si="11"/>
        <v>41614</v>
      </c>
      <c r="GR13" s="799">
        <f t="shared" si="11"/>
        <v>41617</v>
      </c>
      <c r="GS13" s="797">
        <f t="shared" si="11"/>
        <v>41618</v>
      </c>
      <c r="GT13" s="798">
        <f t="shared" si="11"/>
        <v>41619</v>
      </c>
      <c r="GU13" s="799">
        <f t="shared" si="11"/>
        <v>41620</v>
      </c>
      <c r="GV13" s="799">
        <f t="shared" si="11"/>
        <v>41621</v>
      </c>
      <c r="GW13" s="799">
        <f t="shared" si="11"/>
        <v>41624</v>
      </c>
      <c r="GX13" s="797">
        <f t="shared" si="11"/>
        <v>41625</v>
      </c>
      <c r="GY13" s="798">
        <f t="shared" si="11"/>
        <v>41626</v>
      </c>
      <c r="GZ13" s="799">
        <f t="shared" si="11"/>
        <v>41627</v>
      </c>
      <c r="HA13" s="799">
        <f t="shared" si="11"/>
        <v>41628</v>
      </c>
      <c r="HB13" s="799">
        <f t="shared" si="11"/>
        <v>41631</v>
      </c>
      <c r="HC13" s="797">
        <f t="shared" si="11"/>
        <v>41632</v>
      </c>
      <c r="HD13" s="798">
        <f t="shared" si="11"/>
        <v>41633</v>
      </c>
      <c r="HE13" s="799">
        <f t="shared" si="11"/>
        <v>41634</v>
      </c>
      <c r="HF13" s="799">
        <f t="shared" si="11"/>
        <v>41635</v>
      </c>
      <c r="HG13" s="799">
        <f t="shared" si="11"/>
        <v>41638</v>
      </c>
      <c r="HH13" s="797">
        <f t="shared" si="11"/>
        <v>41639</v>
      </c>
      <c r="HI13" s="798">
        <f t="shared" si="11"/>
        <v>41640</v>
      </c>
      <c r="HJ13" s="799">
        <f t="shared" si="11"/>
        <v>41641</v>
      </c>
      <c r="HK13" s="799">
        <f t="shared" si="11"/>
        <v>41642</v>
      </c>
      <c r="HL13" s="799">
        <f t="shared" si="11"/>
        <v>41645</v>
      </c>
      <c r="HM13" s="800">
        <f t="shared" si="11"/>
        <v>41646</v>
      </c>
      <c r="HN13" s="796">
        <f t="shared" si="11"/>
        <v>41647</v>
      </c>
      <c r="HO13" s="799">
        <f t="shared" si="11"/>
        <v>41648</v>
      </c>
      <c r="HP13" s="799">
        <f t="shared" si="11"/>
        <v>41649</v>
      </c>
      <c r="HQ13" s="799">
        <f t="shared" si="11"/>
        <v>41652</v>
      </c>
      <c r="HR13" s="797">
        <f t="shared" si="11"/>
        <v>41653</v>
      </c>
      <c r="HS13" s="798">
        <f t="shared" si="11"/>
        <v>41654</v>
      </c>
      <c r="HT13" s="799">
        <f t="shared" si="11"/>
        <v>41655</v>
      </c>
      <c r="HU13" s="799">
        <f t="shared" si="11"/>
        <v>41656</v>
      </c>
      <c r="HV13" s="799">
        <f t="shared" si="11"/>
        <v>41659</v>
      </c>
      <c r="HW13" s="797">
        <f t="shared" si="11"/>
        <v>41660</v>
      </c>
      <c r="HX13" s="819">
        <f t="shared" si="11"/>
        <v>41661</v>
      </c>
      <c r="HY13" s="814"/>
    </row>
    <row r="14" spans="1:233" s="10" customFormat="1" ht="18.75" customHeight="1">
      <c r="A14" s="1" t="s">
        <v>520</v>
      </c>
      <c r="B14" s="1" t="s">
        <v>521</v>
      </c>
      <c r="C14" s="2"/>
      <c r="D14" s="2" t="s">
        <v>522</v>
      </c>
      <c r="E14" s="2" t="s">
        <v>534</v>
      </c>
      <c r="F14" s="2" t="s">
        <v>532</v>
      </c>
      <c r="G14" s="2" t="s">
        <v>525</v>
      </c>
      <c r="H14" s="2" t="s">
        <v>526</v>
      </c>
      <c r="I14" s="2" t="s">
        <v>530</v>
      </c>
      <c r="J14" s="2" t="s">
        <v>531</v>
      </c>
      <c r="K14" s="813" t="s">
        <v>513</v>
      </c>
      <c r="L14" s="801">
        <f t="shared" ref="L14:BW14" si="12">IF(semaine(L11)=semaine(K11),"",semaine(L11))</f>
        <v>4</v>
      </c>
      <c r="M14" s="804" t="str">
        <f t="shared" si="12"/>
        <v/>
      </c>
      <c r="N14" s="804" t="str">
        <f t="shared" si="12"/>
        <v/>
      </c>
      <c r="O14" s="804">
        <f t="shared" si="12"/>
        <v>5</v>
      </c>
      <c r="P14" s="802" t="str">
        <f t="shared" si="12"/>
        <v/>
      </c>
      <c r="Q14" s="803" t="str">
        <f t="shared" si="12"/>
        <v/>
      </c>
      <c r="R14" s="804" t="str">
        <f t="shared" si="12"/>
        <v/>
      </c>
      <c r="S14" s="804" t="str">
        <f t="shared" si="12"/>
        <v/>
      </c>
      <c r="T14" s="804">
        <f t="shared" si="12"/>
        <v>6</v>
      </c>
      <c r="U14" s="802" t="str">
        <f t="shared" si="12"/>
        <v/>
      </c>
      <c r="V14" s="803" t="str">
        <f t="shared" si="12"/>
        <v/>
      </c>
      <c r="W14" s="805" t="str">
        <f t="shared" si="12"/>
        <v/>
      </c>
      <c r="X14" s="801" t="str">
        <f t="shared" si="12"/>
        <v/>
      </c>
      <c r="Y14" s="804">
        <f t="shared" si="12"/>
        <v>7</v>
      </c>
      <c r="Z14" s="802" t="str">
        <f t="shared" si="12"/>
        <v/>
      </c>
      <c r="AA14" s="803" t="str">
        <f t="shared" si="12"/>
        <v/>
      </c>
      <c r="AB14" s="804" t="str">
        <f t="shared" si="12"/>
        <v/>
      </c>
      <c r="AC14" s="804" t="str">
        <f t="shared" si="12"/>
        <v/>
      </c>
      <c r="AD14" s="804">
        <f t="shared" si="12"/>
        <v>8</v>
      </c>
      <c r="AE14" s="802" t="str">
        <f t="shared" si="12"/>
        <v/>
      </c>
      <c r="AF14" s="803" t="str">
        <f t="shared" si="12"/>
        <v/>
      </c>
      <c r="AG14" s="804" t="str">
        <f t="shared" si="12"/>
        <v/>
      </c>
      <c r="AH14" s="804" t="str">
        <f t="shared" si="12"/>
        <v/>
      </c>
      <c r="AI14" s="804">
        <f t="shared" si="12"/>
        <v>9</v>
      </c>
      <c r="AJ14" s="802" t="str">
        <f t="shared" si="12"/>
        <v/>
      </c>
      <c r="AK14" s="803" t="str">
        <f t="shared" si="12"/>
        <v/>
      </c>
      <c r="AL14" s="804" t="str">
        <f t="shared" si="12"/>
        <v/>
      </c>
      <c r="AM14" s="804" t="str">
        <f t="shared" si="12"/>
        <v/>
      </c>
      <c r="AN14" s="804">
        <f t="shared" si="12"/>
        <v>10</v>
      </c>
      <c r="AO14" s="802" t="str">
        <f t="shared" si="12"/>
        <v/>
      </c>
      <c r="AP14" s="803" t="str">
        <f t="shared" si="12"/>
        <v/>
      </c>
      <c r="AQ14" s="804" t="str">
        <f t="shared" si="12"/>
        <v/>
      </c>
      <c r="AR14" s="804" t="str">
        <f t="shared" si="12"/>
        <v/>
      </c>
      <c r="AS14" s="804">
        <f t="shared" si="12"/>
        <v>11</v>
      </c>
      <c r="AT14" s="805" t="str">
        <f t="shared" si="12"/>
        <v/>
      </c>
      <c r="AU14" s="801" t="str">
        <f t="shared" si="12"/>
        <v/>
      </c>
      <c r="AV14" s="804" t="str">
        <f t="shared" si="12"/>
        <v/>
      </c>
      <c r="AW14" s="804" t="str">
        <f t="shared" si="12"/>
        <v/>
      </c>
      <c r="AX14" s="804">
        <f t="shared" si="12"/>
        <v>12</v>
      </c>
      <c r="AY14" s="802" t="str">
        <f t="shared" si="12"/>
        <v/>
      </c>
      <c r="AZ14" s="803" t="str">
        <f t="shared" si="12"/>
        <v/>
      </c>
      <c r="BA14" s="804" t="str">
        <f t="shared" si="12"/>
        <v/>
      </c>
      <c r="BB14" s="804" t="str">
        <f t="shared" si="12"/>
        <v/>
      </c>
      <c r="BC14" s="804">
        <f t="shared" si="12"/>
        <v>13</v>
      </c>
      <c r="BD14" s="802" t="str">
        <f t="shared" si="12"/>
        <v/>
      </c>
      <c r="BE14" s="803" t="str">
        <f t="shared" si="12"/>
        <v/>
      </c>
      <c r="BF14" s="804" t="str">
        <f t="shared" si="12"/>
        <v/>
      </c>
      <c r="BG14" s="804" t="str">
        <f t="shared" si="12"/>
        <v/>
      </c>
      <c r="BH14" s="804">
        <f t="shared" si="12"/>
        <v>14</v>
      </c>
      <c r="BI14" s="802" t="str">
        <f t="shared" si="12"/>
        <v/>
      </c>
      <c r="BJ14" s="803" t="str">
        <f t="shared" si="12"/>
        <v/>
      </c>
      <c r="BK14" s="804" t="str">
        <f t="shared" si="12"/>
        <v/>
      </c>
      <c r="BL14" s="804" t="str">
        <f t="shared" si="12"/>
        <v/>
      </c>
      <c r="BM14" s="804">
        <f t="shared" si="12"/>
        <v>15</v>
      </c>
      <c r="BN14" s="805" t="str">
        <f t="shared" si="12"/>
        <v/>
      </c>
      <c r="BO14" s="801" t="str">
        <f t="shared" si="12"/>
        <v/>
      </c>
      <c r="BP14" s="804" t="str">
        <f t="shared" si="12"/>
        <v/>
      </c>
      <c r="BQ14" s="804" t="str">
        <f t="shared" si="12"/>
        <v/>
      </c>
      <c r="BR14" s="804">
        <f t="shared" si="12"/>
        <v>16</v>
      </c>
      <c r="BS14" s="802" t="str">
        <f t="shared" si="12"/>
        <v/>
      </c>
      <c r="BT14" s="803" t="str">
        <f t="shared" si="12"/>
        <v/>
      </c>
      <c r="BU14" s="804" t="str">
        <f t="shared" si="12"/>
        <v/>
      </c>
      <c r="BV14" s="804" t="str">
        <f t="shared" si="12"/>
        <v/>
      </c>
      <c r="BW14" s="804">
        <f t="shared" si="12"/>
        <v>17</v>
      </c>
      <c r="BX14" s="802" t="str">
        <f t="shared" ref="BX14:EI14" si="13">IF(semaine(BX11)=semaine(BW11),"",semaine(BX11))</f>
        <v/>
      </c>
      <c r="BY14" s="803" t="str">
        <f t="shared" si="13"/>
        <v/>
      </c>
      <c r="BZ14" s="804" t="str">
        <f t="shared" si="13"/>
        <v/>
      </c>
      <c r="CA14" s="804" t="str">
        <f t="shared" si="13"/>
        <v/>
      </c>
      <c r="CB14" s="804">
        <f t="shared" si="13"/>
        <v>18</v>
      </c>
      <c r="CC14" s="802" t="str">
        <f t="shared" si="13"/>
        <v/>
      </c>
      <c r="CD14" s="803" t="str">
        <f t="shared" si="13"/>
        <v/>
      </c>
      <c r="CE14" s="804" t="str">
        <f t="shared" si="13"/>
        <v/>
      </c>
      <c r="CF14" s="804" t="str">
        <f t="shared" si="13"/>
        <v/>
      </c>
      <c r="CG14" s="804">
        <f t="shared" si="13"/>
        <v>19</v>
      </c>
      <c r="CH14" s="802" t="str">
        <f t="shared" si="13"/>
        <v/>
      </c>
      <c r="CI14" s="803" t="str">
        <f t="shared" si="13"/>
        <v/>
      </c>
      <c r="CJ14" s="804" t="str">
        <f t="shared" si="13"/>
        <v/>
      </c>
      <c r="CK14" s="805" t="str">
        <f t="shared" si="13"/>
        <v/>
      </c>
      <c r="CL14" s="801">
        <f t="shared" si="13"/>
        <v>20</v>
      </c>
      <c r="CM14" s="802" t="str">
        <f t="shared" si="13"/>
        <v/>
      </c>
      <c r="CN14" s="803" t="str">
        <f t="shared" si="13"/>
        <v/>
      </c>
      <c r="CO14" s="804" t="str">
        <f t="shared" si="13"/>
        <v/>
      </c>
      <c r="CP14" s="804" t="str">
        <f t="shared" si="13"/>
        <v/>
      </c>
      <c r="CQ14" s="804">
        <f t="shared" si="13"/>
        <v>21</v>
      </c>
      <c r="CR14" s="802" t="str">
        <f t="shared" si="13"/>
        <v/>
      </c>
      <c r="CS14" s="803" t="str">
        <f t="shared" si="13"/>
        <v/>
      </c>
      <c r="CT14" s="804" t="str">
        <f t="shared" si="13"/>
        <v/>
      </c>
      <c r="CU14" s="804" t="str">
        <f t="shared" si="13"/>
        <v/>
      </c>
      <c r="CV14" s="804">
        <f t="shared" si="13"/>
        <v>22</v>
      </c>
      <c r="CW14" s="802" t="str">
        <f t="shared" si="13"/>
        <v/>
      </c>
      <c r="CX14" s="803" t="str">
        <f t="shared" si="13"/>
        <v/>
      </c>
      <c r="CY14" s="804" t="str">
        <f t="shared" si="13"/>
        <v/>
      </c>
      <c r="CZ14" s="804" t="str">
        <f t="shared" si="13"/>
        <v/>
      </c>
      <c r="DA14" s="804">
        <f t="shared" si="13"/>
        <v>23</v>
      </c>
      <c r="DB14" s="802" t="str">
        <f t="shared" si="13"/>
        <v/>
      </c>
      <c r="DC14" s="803" t="str">
        <f t="shared" si="13"/>
        <v/>
      </c>
      <c r="DD14" s="804" t="str">
        <f t="shared" si="13"/>
        <v/>
      </c>
      <c r="DE14" s="804" t="str">
        <f t="shared" si="13"/>
        <v/>
      </c>
      <c r="DF14" s="804">
        <f t="shared" si="13"/>
        <v>24</v>
      </c>
      <c r="DG14" s="805" t="str">
        <f t="shared" si="13"/>
        <v/>
      </c>
      <c r="DH14" s="801" t="str">
        <f t="shared" si="13"/>
        <v/>
      </c>
      <c r="DI14" s="804" t="str">
        <f t="shared" si="13"/>
        <v/>
      </c>
      <c r="DJ14" s="804" t="str">
        <f t="shared" si="13"/>
        <v/>
      </c>
      <c r="DK14" s="804">
        <f t="shared" si="13"/>
        <v>25</v>
      </c>
      <c r="DL14" s="802" t="str">
        <f t="shared" si="13"/>
        <v/>
      </c>
      <c r="DM14" s="803" t="str">
        <f t="shared" si="13"/>
        <v/>
      </c>
      <c r="DN14" s="804" t="str">
        <f t="shared" si="13"/>
        <v/>
      </c>
      <c r="DO14" s="804" t="str">
        <f t="shared" si="13"/>
        <v/>
      </c>
      <c r="DP14" s="804">
        <f t="shared" si="13"/>
        <v>26</v>
      </c>
      <c r="DQ14" s="802" t="str">
        <f t="shared" si="13"/>
        <v/>
      </c>
      <c r="DR14" s="803" t="str">
        <f t="shared" si="13"/>
        <v/>
      </c>
      <c r="DS14" s="804" t="str">
        <f t="shared" si="13"/>
        <v/>
      </c>
      <c r="DT14" s="804" t="str">
        <f t="shared" si="13"/>
        <v/>
      </c>
      <c r="DU14" s="804">
        <f t="shared" si="13"/>
        <v>27</v>
      </c>
      <c r="DV14" s="802" t="str">
        <f t="shared" si="13"/>
        <v/>
      </c>
      <c r="DW14" s="803" t="str">
        <f t="shared" si="13"/>
        <v/>
      </c>
      <c r="DX14" s="804" t="str">
        <f t="shared" si="13"/>
        <v/>
      </c>
      <c r="DY14" s="804" t="str">
        <f t="shared" si="13"/>
        <v/>
      </c>
      <c r="DZ14" s="804">
        <f t="shared" si="13"/>
        <v>28</v>
      </c>
      <c r="EA14" s="802" t="str">
        <f t="shared" si="13"/>
        <v/>
      </c>
      <c r="EB14" s="820" t="str">
        <f t="shared" si="13"/>
        <v/>
      </c>
      <c r="EC14" s="801" t="str">
        <f t="shared" si="13"/>
        <v/>
      </c>
      <c r="ED14" s="804" t="str">
        <f t="shared" si="13"/>
        <v/>
      </c>
      <c r="EE14" s="804">
        <f t="shared" si="13"/>
        <v>29</v>
      </c>
      <c r="EF14" s="802" t="str">
        <f t="shared" si="13"/>
        <v/>
      </c>
      <c r="EG14" s="803" t="str">
        <f t="shared" si="13"/>
        <v/>
      </c>
      <c r="EH14" s="804" t="str">
        <f t="shared" si="13"/>
        <v/>
      </c>
      <c r="EI14" s="804" t="str">
        <f t="shared" si="13"/>
        <v/>
      </c>
      <c r="EJ14" s="804">
        <f t="shared" ref="EJ14:FO14" si="14">IF(semaine(EJ11)=semaine(EI11),"",semaine(EJ11))</f>
        <v>30</v>
      </c>
      <c r="EK14" s="802" t="str">
        <f t="shared" si="14"/>
        <v/>
      </c>
      <c r="EL14" s="803" t="str">
        <f t="shared" si="14"/>
        <v/>
      </c>
      <c r="EM14" s="804" t="str">
        <f t="shared" si="14"/>
        <v/>
      </c>
      <c r="EN14" s="804" t="str">
        <f t="shared" si="14"/>
        <v/>
      </c>
      <c r="EO14" s="804">
        <f t="shared" si="14"/>
        <v>31</v>
      </c>
      <c r="EP14" s="802" t="str">
        <f t="shared" si="14"/>
        <v/>
      </c>
      <c r="EQ14" s="803" t="str">
        <f t="shared" si="14"/>
        <v/>
      </c>
      <c r="ER14" s="804" t="str">
        <f t="shared" si="14"/>
        <v/>
      </c>
      <c r="ES14" s="804" t="str">
        <f t="shared" si="14"/>
        <v/>
      </c>
      <c r="ET14" s="804">
        <f t="shared" si="14"/>
        <v>32</v>
      </c>
      <c r="EU14" s="802" t="str">
        <f t="shared" si="14"/>
        <v/>
      </c>
      <c r="EV14" s="803" t="str">
        <f t="shared" si="14"/>
        <v/>
      </c>
      <c r="EW14" s="804" t="str">
        <f t="shared" si="14"/>
        <v/>
      </c>
      <c r="EX14" s="804" t="str">
        <f t="shared" si="14"/>
        <v/>
      </c>
      <c r="EY14" s="805">
        <f t="shared" si="14"/>
        <v>33</v>
      </c>
      <c r="EZ14" s="811" t="str">
        <f t="shared" si="14"/>
        <v/>
      </c>
      <c r="FA14" s="803" t="str">
        <f t="shared" si="14"/>
        <v/>
      </c>
      <c r="FB14" s="804" t="str">
        <f t="shared" si="14"/>
        <v/>
      </c>
      <c r="FC14" s="804" t="str">
        <f t="shared" si="14"/>
        <v/>
      </c>
      <c r="FD14" s="804">
        <f t="shared" si="14"/>
        <v>34</v>
      </c>
      <c r="FE14" s="802" t="str">
        <f t="shared" si="14"/>
        <v/>
      </c>
      <c r="FF14" s="803" t="str">
        <f t="shared" si="14"/>
        <v/>
      </c>
      <c r="FG14" s="804" t="str">
        <f t="shared" si="14"/>
        <v/>
      </c>
      <c r="FH14" s="804" t="str">
        <f t="shared" si="14"/>
        <v/>
      </c>
      <c r="FI14" s="804">
        <f t="shared" si="14"/>
        <v>35</v>
      </c>
      <c r="FJ14" s="802" t="str">
        <f t="shared" si="14"/>
        <v/>
      </c>
      <c r="FK14" s="803" t="str">
        <f t="shared" si="14"/>
        <v/>
      </c>
      <c r="FL14" s="804" t="str">
        <f t="shared" si="14"/>
        <v/>
      </c>
      <c r="FM14" s="804" t="str">
        <f t="shared" si="14"/>
        <v/>
      </c>
      <c r="FN14" s="804">
        <f t="shared" si="14"/>
        <v>36</v>
      </c>
      <c r="FO14" s="802" t="str">
        <f t="shared" si="14"/>
        <v/>
      </c>
      <c r="FP14" s="803" t="str">
        <f t="shared" ref="FP14:GU14" si="15">IF(semaine(FP11)=semaine(FO11),"",semaine(FP11))</f>
        <v/>
      </c>
      <c r="FQ14" s="804" t="str">
        <f t="shared" si="15"/>
        <v/>
      </c>
      <c r="FR14" s="804" t="str">
        <f t="shared" si="15"/>
        <v/>
      </c>
      <c r="FS14" s="804">
        <f t="shared" si="15"/>
        <v>37</v>
      </c>
      <c r="FT14" s="805" t="str">
        <f t="shared" si="15"/>
        <v/>
      </c>
      <c r="FU14" s="801" t="str">
        <f t="shared" si="15"/>
        <v/>
      </c>
      <c r="FV14" s="804" t="str">
        <f t="shared" si="15"/>
        <v/>
      </c>
      <c r="FW14" s="804" t="str">
        <f t="shared" si="15"/>
        <v/>
      </c>
      <c r="FX14" s="804">
        <f t="shared" si="15"/>
        <v>38</v>
      </c>
      <c r="FY14" s="802" t="str">
        <f t="shared" si="15"/>
        <v/>
      </c>
      <c r="FZ14" s="803" t="str">
        <f t="shared" si="15"/>
        <v/>
      </c>
      <c r="GA14" s="804" t="str">
        <f t="shared" si="15"/>
        <v/>
      </c>
      <c r="GB14" s="804" t="str">
        <f t="shared" si="15"/>
        <v/>
      </c>
      <c r="GC14" s="804">
        <f t="shared" si="15"/>
        <v>39</v>
      </c>
      <c r="GD14" s="802" t="str">
        <f t="shared" si="15"/>
        <v/>
      </c>
      <c r="GE14" s="803" t="str">
        <f t="shared" si="15"/>
        <v/>
      </c>
      <c r="GF14" s="804" t="str">
        <f t="shared" si="15"/>
        <v/>
      </c>
      <c r="GG14" s="804" t="str">
        <f t="shared" si="15"/>
        <v/>
      </c>
      <c r="GH14" s="804">
        <f t="shared" si="15"/>
        <v>40</v>
      </c>
      <c r="GI14" s="802" t="str">
        <f t="shared" si="15"/>
        <v/>
      </c>
      <c r="GJ14" s="803" t="str">
        <f t="shared" si="15"/>
        <v/>
      </c>
      <c r="GK14" s="804" t="str">
        <f t="shared" si="15"/>
        <v/>
      </c>
      <c r="GL14" s="804" t="str">
        <f t="shared" si="15"/>
        <v/>
      </c>
      <c r="GM14" s="804">
        <f t="shared" si="15"/>
        <v>41</v>
      </c>
      <c r="GN14" s="802" t="str">
        <f t="shared" si="15"/>
        <v/>
      </c>
      <c r="GO14" s="803" t="str">
        <f t="shared" si="15"/>
        <v/>
      </c>
      <c r="GP14" s="805" t="str">
        <f t="shared" si="15"/>
        <v/>
      </c>
      <c r="GQ14" s="801" t="str">
        <f t="shared" si="15"/>
        <v/>
      </c>
      <c r="GR14" s="804">
        <f t="shared" si="15"/>
        <v>42</v>
      </c>
      <c r="GS14" s="802" t="str">
        <f t="shared" si="15"/>
        <v/>
      </c>
      <c r="GT14" s="803" t="str">
        <f t="shared" si="15"/>
        <v/>
      </c>
      <c r="GU14" s="804" t="str">
        <f t="shared" si="15"/>
        <v/>
      </c>
      <c r="GV14" s="804" t="str">
        <f t="shared" ref="GV14:HX14" si="16">IF(semaine(GV11)=semaine(GU11),"",semaine(GV11))</f>
        <v/>
      </c>
      <c r="GW14" s="804">
        <f t="shared" si="16"/>
        <v>43</v>
      </c>
      <c r="GX14" s="802" t="str">
        <f t="shared" si="16"/>
        <v/>
      </c>
      <c r="GY14" s="803" t="str">
        <f t="shared" si="16"/>
        <v/>
      </c>
      <c r="GZ14" s="804" t="str">
        <f t="shared" si="16"/>
        <v/>
      </c>
      <c r="HA14" s="804" t="str">
        <f t="shared" si="16"/>
        <v/>
      </c>
      <c r="HB14" s="804">
        <f t="shared" si="16"/>
        <v>44</v>
      </c>
      <c r="HC14" s="802" t="str">
        <f t="shared" si="16"/>
        <v/>
      </c>
      <c r="HD14" s="803" t="str">
        <f t="shared" si="16"/>
        <v/>
      </c>
      <c r="HE14" s="804" t="str">
        <f t="shared" si="16"/>
        <v/>
      </c>
      <c r="HF14" s="804" t="str">
        <f t="shared" si="16"/>
        <v/>
      </c>
      <c r="HG14" s="804">
        <f t="shared" si="16"/>
        <v>45</v>
      </c>
      <c r="HH14" s="802" t="str">
        <f t="shared" si="16"/>
        <v/>
      </c>
      <c r="HI14" s="803">
        <f t="shared" si="16"/>
        <v>-7</v>
      </c>
      <c r="HJ14" s="804" t="str">
        <f t="shared" si="16"/>
        <v/>
      </c>
      <c r="HK14" s="804" t="str">
        <f t="shared" si="16"/>
        <v/>
      </c>
      <c r="HL14" s="804">
        <f t="shared" si="16"/>
        <v>-6</v>
      </c>
      <c r="HM14" s="805" t="str">
        <f t="shared" si="16"/>
        <v/>
      </c>
      <c r="HN14" s="801" t="str">
        <f t="shared" si="16"/>
        <v/>
      </c>
      <c r="HO14" s="804" t="str">
        <f t="shared" si="16"/>
        <v/>
      </c>
      <c r="HP14" s="804" t="str">
        <f t="shared" si="16"/>
        <v/>
      </c>
      <c r="HQ14" s="804">
        <f t="shared" si="16"/>
        <v>-5</v>
      </c>
      <c r="HR14" s="802" t="str">
        <f t="shared" si="16"/>
        <v/>
      </c>
      <c r="HS14" s="803" t="str">
        <f t="shared" si="16"/>
        <v/>
      </c>
      <c r="HT14" s="804" t="str">
        <f t="shared" si="16"/>
        <v/>
      </c>
      <c r="HU14" s="804" t="str">
        <f t="shared" si="16"/>
        <v/>
      </c>
      <c r="HV14" s="804">
        <f t="shared" si="16"/>
        <v>-4</v>
      </c>
      <c r="HW14" s="802" t="str">
        <f t="shared" si="16"/>
        <v/>
      </c>
      <c r="HX14" s="820" t="str">
        <f t="shared" si="16"/>
        <v/>
      </c>
      <c r="HY14" s="814"/>
    </row>
    <row r="15" spans="1:233">
      <c r="A15" s="509"/>
      <c r="B15" s="822"/>
      <c r="C15" s="512"/>
      <c r="D15" s="823"/>
      <c r="E15" s="824"/>
      <c r="F15" s="512"/>
      <c r="G15" s="512"/>
      <c r="H15" s="825"/>
      <c r="I15" s="825"/>
      <c r="J15" s="825"/>
      <c r="K15" s="513"/>
      <c r="L15" s="837"/>
      <c r="M15" s="838"/>
      <c r="N15" s="838"/>
      <c r="O15" s="838"/>
      <c r="P15" s="827"/>
      <c r="Q15" s="839"/>
      <c r="R15" s="838"/>
      <c r="S15" s="838"/>
      <c r="T15" s="838"/>
      <c r="U15" s="827"/>
      <c r="V15" s="839"/>
      <c r="W15" s="828"/>
      <c r="X15" s="837"/>
      <c r="Y15" s="838"/>
      <c r="Z15" s="827"/>
      <c r="AA15" s="839"/>
      <c r="AB15" s="838"/>
      <c r="AC15" s="838"/>
      <c r="AD15" s="838"/>
      <c r="AE15" s="827"/>
      <c r="AF15" s="839"/>
      <c r="AG15" s="838"/>
      <c r="AH15" s="838"/>
      <c r="AI15" s="838"/>
      <c r="AJ15" s="827"/>
      <c r="AK15" s="839"/>
      <c r="AL15" s="838"/>
      <c r="AM15" s="838"/>
      <c r="AN15" s="838"/>
      <c r="AO15" s="827"/>
      <c r="AP15" s="839"/>
      <c r="AQ15" s="838"/>
      <c r="AR15" s="838"/>
      <c r="AS15" s="838"/>
      <c r="AT15" s="828"/>
      <c r="AU15" s="837"/>
      <c r="AV15" s="838"/>
      <c r="AW15" s="838"/>
      <c r="AX15" s="838"/>
      <c r="AY15" s="827"/>
      <c r="AZ15" s="839"/>
      <c r="BA15" s="838"/>
      <c r="BB15" s="838"/>
      <c r="BC15" s="838"/>
      <c r="BD15" s="827"/>
      <c r="BE15" s="839"/>
      <c r="BF15" s="838"/>
      <c r="BG15" s="838"/>
      <c r="BH15" s="838"/>
      <c r="BI15" s="827"/>
      <c r="BJ15" s="839"/>
      <c r="BK15" s="838"/>
      <c r="BL15" s="838"/>
      <c r="BM15" s="838"/>
      <c r="BN15" s="828"/>
      <c r="BO15" s="837"/>
      <c r="BP15" s="838"/>
      <c r="BQ15" s="838"/>
      <c r="BR15" s="838"/>
      <c r="BS15" s="827"/>
      <c r="BT15" s="839"/>
      <c r="BU15" s="838"/>
      <c r="BV15" s="838"/>
      <c r="BW15" s="838"/>
      <c r="BX15" s="827"/>
      <c r="BY15" s="839"/>
      <c r="BZ15" s="838"/>
      <c r="CA15" s="838"/>
      <c r="CB15" s="838"/>
      <c r="CC15" s="827"/>
      <c r="CD15" s="839"/>
      <c r="CE15" s="838"/>
      <c r="CF15" s="838"/>
      <c r="CG15" s="838"/>
      <c r="CH15" s="827"/>
      <c r="CI15" s="839"/>
      <c r="CJ15" s="838"/>
      <c r="CK15" s="828"/>
      <c r="CL15" s="837"/>
      <c r="CM15" s="827"/>
      <c r="CN15" s="839"/>
      <c r="CO15" s="838"/>
      <c r="CP15" s="838"/>
      <c r="CQ15" s="838"/>
      <c r="CR15" s="827"/>
      <c r="CS15" s="839"/>
      <c r="CT15" s="838"/>
      <c r="CU15" s="838"/>
      <c r="CV15" s="838"/>
      <c r="CW15" s="827"/>
      <c r="CX15" s="839"/>
      <c r="CY15" s="838"/>
      <c r="CZ15" s="838"/>
      <c r="DA15" s="838"/>
      <c r="DB15" s="827"/>
      <c r="DC15" s="839"/>
      <c r="DD15" s="838"/>
      <c r="DE15" s="838"/>
      <c r="DF15" s="838"/>
      <c r="DG15" s="828"/>
      <c r="DH15" s="837"/>
      <c r="DI15" s="838"/>
      <c r="DJ15" s="838"/>
      <c r="DK15" s="838"/>
      <c r="DL15" s="827"/>
      <c r="DM15" s="839"/>
      <c r="DN15" s="838"/>
      <c r="DO15" s="838"/>
      <c r="DP15" s="838"/>
      <c r="DQ15" s="827"/>
      <c r="DR15" s="839"/>
      <c r="DS15" s="838"/>
      <c r="DT15" s="838"/>
      <c r="DU15" s="838"/>
      <c r="DV15" s="827"/>
      <c r="DW15" s="839"/>
      <c r="DX15" s="838"/>
      <c r="DY15" s="838"/>
      <c r="DZ15" s="838"/>
      <c r="EA15" s="827"/>
      <c r="EB15" s="829"/>
      <c r="EC15" s="837"/>
      <c r="ED15" s="838"/>
      <c r="EE15" s="838"/>
      <c r="EF15" s="827"/>
      <c r="EG15" s="839"/>
      <c r="EH15" s="838"/>
      <c r="EI15" s="838"/>
      <c r="EJ15" s="838"/>
      <c r="EK15" s="827"/>
      <c r="EL15" s="839"/>
      <c r="EM15" s="838"/>
      <c r="EN15" s="838"/>
      <c r="EO15" s="838"/>
      <c r="EP15" s="827"/>
      <c r="EQ15" s="839"/>
      <c r="ER15" s="838"/>
      <c r="ES15" s="838"/>
      <c r="ET15" s="838"/>
      <c r="EU15" s="827"/>
      <c r="EV15" s="839"/>
      <c r="EW15" s="838"/>
      <c r="EX15" s="838"/>
      <c r="EY15" s="828"/>
      <c r="EZ15" s="826"/>
      <c r="FA15" s="839"/>
      <c r="FB15" s="838"/>
      <c r="FC15" s="838"/>
      <c r="FD15" s="838"/>
      <c r="FE15" s="827"/>
      <c r="FF15" s="839"/>
      <c r="FG15" s="838"/>
      <c r="FH15" s="838"/>
      <c r="FI15" s="838"/>
      <c r="FJ15" s="827"/>
      <c r="FK15" s="839"/>
      <c r="FL15" s="838"/>
      <c r="FM15" s="838"/>
      <c r="FN15" s="838"/>
      <c r="FO15" s="827"/>
      <c r="FP15" s="839"/>
      <c r="FQ15" s="838"/>
      <c r="FR15" s="838"/>
      <c r="FS15" s="838"/>
      <c r="FT15" s="828"/>
      <c r="FU15" s="837"/>
      <c r="FV15" s="838"/>
      <c r="FW15" s="838"/>
      <c r="FX15" s="838"/>
      <c r="FY15" s="827"/>
      <c r="FZ15" s="839"/>
      <c r="GA15" s="838"/>
      <c r="GB15" s="838"/>
      <c r="GC15" s="838"/>
      <c r="GD15" s="827"/>
      <c r="GE15" s="839"/>
      <c r="GF15" s="838"/>
      <c r="GG15" s="838"/>
      <c r="GH15" s="838"/>
      <c r="GI15" s="827"/>
      <c r="GJ15" s="839"/>
      <c r="GK15" s="838"/>
      <c r="GL15" s="838"/>
      <c r="GM15" s="838"/>
      <c r="GN15" s="827"/>
      <c r="GO15" s="839"/>
      <c r="GP15" s="828"/>
      <c r="GQ15" s="837"/>
      <c r="GR15" s="838"/>
      <c r="GS15" s="827"/>
      <c r="GT15" s="839"/>
      <c r="GU15" s="838"/>
      <c r="GV15" s="838"/>
      <c r="GW15" s="838"/>
      <c r="GX15" s="827"/>
      <c r="GY15" s="839"/>
      <c r="GZ15" s="838"/>
      <c r="HA15" s="838"/>
      <c r="HB15" s="838"/>
      <c r="HC15" s="827"/>
      <c r="HD15" s="839"/>
      <c r="HE15" s="838"/>
      <c r="HF15" s="838"/>
      <c r="HG15" s="838"/>
      <c r="HH15" s="827"/>
      <c r="HI15" s="839"/>
      <c r="HJ15" s="838"/>
      <c r="HK15" s="838"/>
      <c r="HL15" s="838"/>
      <c r="HM15" s="828"/>
      <c r="HN15" s="837"/>
      <c r="HO15" s="838"/>
      <c r="HP15" s="838"/>
      <c r="HQ15" s="838"/>
      <c r="HR15" s="827"/>
      <c r="HS15" s="839"/>
      <c r="HT15" s="838"/>
      <c r="HU15" s="838"/>
      <c r="HV15" s="838"/>
      <c r="HW15" s="827"/>
      <c r="HX15" s="829"/>
      <c r="HY15" s="814"/>
    </row>
    <row r="16" spans="1:233" ht="12" customHeight="1" thickBot="1">
      <c r="A16" s="830">
        <v>10</v>
      </c>
      <c r="B16" s="831"/>
      <c r="C16" s="832"/>
      <c r="D16" s="833">
        <f t="shared" ref="D16:D21" si="17">DureeHL($L16:$HX16)</f>
        <v>23</v>
      </c>
      <c r="E16" s="834">
        <v>0</v>
      </c>
      <c r="F16" s="516"/>
      <c r="G16" s="516" t="str">
        <f t="shared" ref="G16:G21" si="18">Cadence($D16)</f>
        <v/>
      </c>
      <c r="H16" s="518">
        <f t="shared" ref="H16:H21" si="19">debut($L16:$HX16)</f>
        <v>0</v>
      </c>
      <c r="I16" s="518">
        <f t="shared" ref="I16:I21" si="20">Fin($L16:$HX16)</f>
        <v>0</v>
      </c>
      <c r="J16" s="835"/>
      <c r="K16" s="836"/>
      <c r="L16" s="851"/>
      <c r="M16" s="850"/>
      <c r="N16" s="850"/>
      <c r="O16" s="850"/>
      <c r="P16" s="840"/>
      <c r="Q16" s="849"/>
      <c r="R16" s="850"/>
      <c r="S16" s="850"/>
      <c r="T16" s="850"/>
      <c r="U16" s="840"/>
      <c r="V16" s="849"/>
      <c r="W16" s="843"/>
      <c r="X16" s="851"/>
      <c r="Y16" s="850"/>
      <c r="Z16" s="840"/>
      <c r="AA16" s="849"/>
      <c r="AB16" s="850"/>
      <c r="AC16" s="850"/>
      <c r="AD16" s="860"/>
      <c r="AE16" s="861"/>
      <c r="AF16" s="862"/>
      <c r="AG16" s="860"/>
      <c r="AH16" s="860"/>
      <c r="AI16" s="860"/>
      <c r="AJ16" s="861"/>
      <c r="AK16" s="862"/>
      <c r="AL16" s="860"/>
      <c r="AM16" s="860"/>
      <c r="AN16" s="860"/>
      <c r="AO16" s="861"/>
      <c r="AP16" s="862"/>
      <c r="AQ16" s="860"/>
      <c r="AR16" s="860"/>
      <c r="AS16" s="860"/>
      <c r="AT16" s="863"/>
      <c r="AU16" s="864"/>
      <c r="AV16" s="860"/>
      <c r="AW16" s="860"/>
      <c r="AX16" s="860"/>
      <c r="AY16" s="861"/>
      <c r="AZ16" s="862"/>
      <c r="BA16" s="850"/>
      <c r="BB16" s="850"/>
      <c r="BC16" s="850"/>
      <c r="BD16" s="840"/>
      <c r="BE16" s="849"/>
      <c r="BF16" s="850"/>
      <c r="BG16" s="850"/>
      <c r="BH16" s="850"/>
      <c r="BI16" s="840"/>
      <c r="BJ16" s="849"/>
      <c r="BK16" s="850"/>
      <c r="BL16" s="850"/>
      <c r="BM16" s="850"/>
      <c r="BN16" s="843"/>
      <c r="BO16" s="851"/>
      <c r="BP16" s="850"/>
      <c r="BQ16" s="850"/>
      <c r="BR16" s="850"/>
      <c r="BS16" s="840"/>
      <c r="BT16" s="849"/>
      <c r="BU16" s="850"/>
      <c r="BV16" s="850"/>
      <c r="BW16" s="850"/>
      <c r="BX16" s="840"/>
      <c r="BY16" s="849"/>
      <c r="BZ16" s="850"/>
      <c r="CA16" s="850"/>
      <c r="CB16" s="850"/>
      <c r="CC16" s="840"/>
      <c r="CD16" s="849"/>
      <c r="CE16" s="850"/>
      <c r="CF16" s="850"/>
      <c r="CG16" s="850"/>
      <c r="CH16" s="840"/>
      <c r="CI16" s="849"/>
      <c r="CJ16" s="850"/>
      <c r="CK16" s="843"/>
      <c r="CL16" s="851"/>
      <c r="CM16" s="840"/>
      <c r="CN16" s="849"/>
      <c r="CO16" s="850"/>
      <c r="CP16" s="850"/>
      <c r="CQ16" s="850"/>
      <c r="CR16" s="840"/>
      <c r="CS16" s="849"/>
      <c r="CT16" s="850"/>
      <c r="CU16" s="850"/>
      <c r="CV16" s="850"/>
      <c r="CW16" s="840"/>
      <c r="CX16" s="849"/>
      <c r="CY16" s="850"/>
      <c r="CZ16" s="850"/>
      <c r="DA16" s="850"/>
      <c r="DB16" s="840"/>
      <c r="DC16" s="849"/>
      <c r="DD16" s="850"/>
      <c r="DE16" s="850"/>
      <c r="DF16" s="850"/>
      <c r="DG16" s="843"/>
      <c r="DH16" s="851"/>
      <c r="DI16" s="850"/>
      <c r="DJ16" s="850"/>
      <c r="DK16" s="850"/>
      <c r="DL16" s="840"/>
      <c r="DM16" s="849"/>
      <c r="DN16" s="850"/>
      <c r="DO16" s="850"/>
      <c r="DP16" s="850"/>
      <c r="DQ16" s="840"/>
      <c r="DR16" s="849"/>
      <c r="DS16" s="850"/>
      <c r="DT16" s="850"/>
      <c r="DU16" s="850"/>
      <c r="DV16" s="840"/>
      <c r="DW16" s="849"/>
      <c r="DX16" s="850"/>
      <c r="DY16" s="850"/>
      <c r="DZ16" s="850"/>
      <c r="EA16" s="840"/>
      <c r="EB16" s="845"/>
      <c r="EC16" s="851"/>
      <c r="ED16" s="850"/>
      <c r="EE16" s="850"/>
      <c r="EF16" s="840"/>
      <c r="EG16" s="849"/>
      <c r="EH16" s="850"/>
      <c r="EI16" s="850"/>
      <c r="EJ16" s="850"/>
      <c r="EK16" s="840"/>
      <c r="EL16" s="849"/>
      <c r="EM16" s="850"/>
      <c r="EN16" s="850"/>
      <c r="EO16" s="850"/>
      <c r="EP16" s="840"/>
      <c r="EQ16" s="849"/>
      <c r="ER16" s="850"/>
      <c r="ES16" s="850"/>
      <c r="ET16" s="850"/>
      <c r="EU16" s="840"/>
      <c r="EV16" s="841"/>
      <c r="EW16" s="842"/>
      <c r="EX16" s="842"/>
      <c r="EY16" s="843"/>
      <c r="EZ16" s="846"/>
      <c r="FA16" s="841"/>
      <c r="FB16" s="842"/>
      <c r="FC16" s="842"/>
      <c r="FD16" s="842"/>
      <c r="FE16" s="840"/>
      <c r="FF16" s="841"/>
      <c r="FG16" s="842"/>
      <c r="FH16" s="842"/>
      <c r="FI16" s="842"/>
      <c r="FJ16" s="840"/>
      <c r="FK16" s="841"/>
      <c r="FL16" s="842"/>
      <c r="FM16" s="842"/>
      <c r="FN16" s="842"/>
      <c r="FO16" s="840"/>
      <c r="FP16" s="841"/>
      <c r="FQ16" s="842"/>
      <c r="FR16" s="842"/>
      <c r="FS16" s="842"/>
      <c r="FT16" s="843"/>
      <c r="FU16" s="844"/>
      <c r="FV16" s="842"/>
      <c r="FW16" s="842"/>
      <c r="FX16" s="842"/>
      <c r="FY16" s="840"/>
      <c r="FZ16" s="841"/>
      <c r="GA16" s="842"/>
      <c r="GB16" s="842"/>
      <c r="GC16" s="842"/>
      <c r="GD16" s="840"/>
      <c r="GE16" s="841"/>
      <c r="GF16" s="842"/>
      <c r="GG16" s="842"/>
      <c r="GH16" s="842"/>
      <c r="GI16" s="840"/>
      <c r="GJ16" s="841"/>
      <c r="GK16" s="842"/>
      <c r="GL16" s="842"/>
      <c r="GM16" s="842"/>
      <c r="GN16" s="840"/>
      <c r="GO16" s="841"/>
      <c r="GP16" s="843"/>
      <c r="GQ16" s="844"/>
      <c r="GR16" s="842"/>
      <c r="GS16" s="840"/>
      <c r="GT16" s="841"/>
      <c r="GU16" s="842"/>
      <c r="GV16" s="842"/>
      <c r="GW16" s="842"/>
      <c r="GX16" s="840"/>
      <c r="GY16" s="841"/>
      <c r="GZ16" s="842"/>
      <c r="HA16" s="842"/>
      <c r="HB16" s="842"/>
      <c r="HC16" s="840"/>
      <c r="HD16" s="841"/>
      <c r="HE16" s="842"/>
      <c r="HF16" s="842"/>
      <c r="HG16" s="842"/>
      <c r="HH16" s="840"/>
      <c r="HI16" s="841"/>
      <c r="HJ16" s="842"/>
      <c r="HK16" s="842"/>
      <c r="HL16" s="842"/>
      <c r="HM16" s="843"/>
      <c r="HN16" s="844"/>
      <c r="HO16" s="842"/>
      <c r="HP16" s="842"/>
      <c r="HQ16" s="842"/>
      <c r="HR16" s="840"/>
      <c r="HS16" s="841"/>
      <c r="HT16" s="842"/>
      <c r="HU16" s="842"/>
      <c r="HV16" s="842"/>
      <c r="HW16" s="840"/>
      <c r="HX16" s="845"/>
      <c r="HY16" s="821"/>
    </row>
    <row r="17" spans="1:233" ht="12" customHeight="1" thickTop="1">
      <c r="A17" s="830">
        <v>11</v>
      </c>
      <c r="B17" s="831"/>
      <c r="C17" s="832"/>
      <c r="D17" s="833" t="str">
        <f>DureeHL($L17:$HX17)</f>
        <v/>
      </c>
      <c r="E17" s="834">
        <v>0</v>
      </c>
      <c r="F17" s="516"/>
      <c r="G17" s="516" t="str">
        <f t="shared" si="18"/>
        <v/>
      </c>
      <c r="H17" s="518">
        <f t="shared" si="19"/>
        <v>0</v>
      </c>
      <c r="I17" s="518">
        <f t="shared" si="20"/>
        <v>0</v>
      </c>
      <c r="J17" s="835"/>
      <c r="K17" s="836"/>
      <c r="L17" s="847"/>
      <c r="M17" s="848"/>
      <c r="N17" s="850"/>
      <c r="O17" s="850"/>
      <c r="P17" s="840"/>
      <c r="Q17" s="849"/>
      <c r="R17" s="850"/>
      <c r="S17" s="850"/>
      <c r="T17" s="850"/>
      <c r="U17" s="840"/>
      <c r="V17" s="849"/>
      <c r="W17" s="843"/>
      <c r="X17" s="851"/>
      <c r="Y17" s="850"/>
      <c r="Z17" s="840"/>
      <c r="AA17" s="849"/>
      <c r="AB17" s="850"/>
      <c r="AC17" s="850"/>
      <c r="AD17" s="850"/>
      <c r="AE17" s="840"/>
      <c r="AF17" s="849"/>
      <c r="AG17" s="850"/>
      <c r="AH17" s="850"/>
      <c r="AI17" s="850"/>
      <c r="AJ17" s="840"/>
      <c r="AK17" s="849"/>
      <c r="AL17" s="850"/>
      <c r="AM17" s="850"/>
      <c r="AN17" s="850"/>
      <c r="AO17" s="840"/>
      <c r="AP17" s="849"/>
      <c r="AQ17" s="850"/>
      <c r="AR17" s="850"/>
      <c r="AS17" s="850"/>
      <c r="AT17" s="843"/>
      <c r="AU17" s="851"/>
      <c r="AV17" s="850"/>
      <c r="AW17" s="850"/>
      <c r="AX17" s="850"/>
      <c r="AY17" s="840"/>
      <c r="AZ17" s="849"/>
      <c r="BA17" s="850"/>
      <c r="BB17" s="850"/>
      <c r="BC17" s="850"/>
      <c r="BD17" s="840"/>
      <c r="BE17" s="849"/>
      <c r="BF17" s="850"/>
      <c r="BG17" s="850"/>
      <c r="BH17" s="850"/>
      <c r="BI17" s="840"/>
      <c r="BJ17" s="849"/>
      <c r="BK17" s="850"/>
      <c r="BL17" s="850"/>
      <c r="BM17" s="850"/>
      <c r="BN17" s="843"/>
      <c r="BO17" s="851"/>
      <c r="BP17" s="850"/>
      <c r="BQ17" s="850"/>
      <c r="BR17" s="850"/>
      <c r="BS17" s="840"/>
      <c r="BT17" s="849"/>
      <c r="BU17" s="850"/>
      <c r="BV17" s="850"/>
      <c r="BW17" s="850"/>
      <c r="BX17" s="840"/>
      <c r="BY17" s="849"/>
      <c r="BZ17" s="850"/>
      <c r="CA17" s="850"/>
      <c r="CB17" s="850"/>
      <c r="CC17" s="840"/>
      <c r="CD17" s="849"/>
      <c r="CE17" s="850"/>
      <c r="CF17" s="850"/>
      <c r="CG17" s="850"/>
      <c r="CH17" s="840"/>
      <c r="CI17" s="849"/>
      <c r="CJ17" s="850"/>
      <c r="CK17" s="843"/>
      <c r="CL17" s="851"/>
      <c r="CM17" s="840"/>
      <c r="CN17" s="849"/>
      <c r="CO17" s="850"/>
      <c r="CP17" s="850"/>
      <c r="CQ17" s="850"/>
      <c r="CR17" s="840"/>
      <c r="CS17" s="849"/>
      <c r="CT17" s="850"/>
      <c r="CU17" s="850"/>
      <c r="CV17" s="850"/>
      <c r="CW17" s="840"/>
      <c r="CX17" s="849"/>
      <c r="CY17" s="850"/>
      <c r="CZ17" s="850"/>
      <c r="DA17" s="850"/>
      <c r="DB17" s="840"/>
      <c r="DC17" s="849"/>
      <c r="DD17" s="850"/>
      <c r="DE17" s="850"/>
      <c r="DF17" s="850"/>
      <c r="DG17" s="843"/>
      <c r="DH17" s="851"/>
      <c r="DI17" s="850"/>
      <c r="DJ17" s="850"/>
      <c r="DK17" s="850"/>
      <c r="DL17" s="840"/>
      <c r="DM17" s="849"/>
      <c r="DN17" s="850"/>
      <c r="DO17" s="850"/>
      <c r="DP17" s="850"/>
      <c r="DQ17" s="840"/>
      <c r="DR17" s="849"/>
      <c r="DS17" s="850"/>
      <c r="DT17" s="850"/>
      <c r="DU17" s="850"/>
      <c r="DV17" s="840"/>
      <c r="DW17" s="849"/>
      <c r="DX17" s="850"/>
      <c r="DY17" s="850"/>
      <c r="DZ17" s="850"/>
      <c r="EA17" s="840"/>
      <c r="EB17" s="845"/>
      <c r="EC17" s="851"/>
      <c r="ED17" s="850"/>
      <c r="EE17" s="850"/>
      <c r="EF17" s="840"/>
      <c r="EG17" s="849"/>
      <c r="EH17" s="850"/>
      <c r="EI17" s="850"/>
      <c r="EJ17" s="850"/>
      <c r="EK17" s="840"/>
      <c r="EL17" s="849"/>
      <c r="EM17" s="850"/>
      <c r="EN17" s="850"/>
      <c r="EO17" s="850"/>
      <c r="EP17" s="840"/>
      <c r="EQ17" s="849"/>
      <c r="ER17" s="850"/>
      <c r="ES17" s="850"/>
      <c r="ET17" s="850"/>
      <c r="EU17" s="840"/>
      <c r="EV17" s="841"/>
      <c r="EW17" s="842"/>
      <c r="EX17" s="842"/>
      <c r="EY17" s="843"/>
      <c r="EZ17" s="846"/>
      <c r="FA17" s="841"/>
      <c r="FB17" s="842"/>
      <c r="FC17" s="842"/>
      <c r="FD17" s="842"/>
      <c r="FE17" s="840"/>
      <c r="FF17" s="841"/>
      <c r="FG17" s="842"/>
      <c r="FH17" s="842"/>
      <c r="FI17" s="842"/>
      <c r="FJ17" s="840"/>
      <c r="FK17" s="841"/>
      <c r="FL17" s="842"/>
      <c r="FM17" s="842"/>
      <c r="FN17" s="842"/>
      <c r="FO17" s="840"/>
      <c r="FP17" s="841"/>
      <c r="FQ17" s="842"/>
      <c r="FR17" s="842"/>
      <c r="FS17" s="842"/>
      <c r="FT17" s="843"/>
      <c r="FU17" s="844"/>
      <c r="FV17" s="842"/>
      <c r="FW17" s="842"/>
      <c r="FX17" s="842"/>
      <c r="FY17" s="840"/>
      <c r="FZ17" s="841"/>
      <c r="GA17" s="842"/>
      <c r="GB17" s="842"/>
      <c r="GC17" s="842"/>
      <c r="GD17" s="840"/>
      <c r="GE17" s="841"/>
      <c r="GF17" s="842"/>
      <c r="GG17" s="842"/>
      <c r="GH17" s="842"/>
      <c r="GI17" s="840"/>
      <c r="GJ17" s="841"/>
      <c r="GK17" s="842"/>
      <c r="GL17" s="842"/>
      <c r="GM17" s="842"/>
      <c r="GN17" s="840"/>
      <c r="GO17" s="841"/>
      <c r="GP17" s="843"/>
      <c r="GQ17" s="844"/>
      <c r="GR17" s="842"/>
      <c r="GS17" s="840"/>
      <c r="GT17" s="841"/>
      <c r="GU17" s="842"/>
      <c r="GV17" s="842"/>
      <c r="GW17" s="842"/>
      <c r="GX17" s="840"/>
      <c r="GY17" s="841"/>
      <c r="GZ17" s="842"/>
      <c r="HA17" s="842"/>
      <c r="HB17" s="842"/>
      <c r="HC17" s="840"/>
      <c r="HD17" s="841"/>
      <c r="HE17" s="842"/>
      <c r="HF17" s="842"/>
      <c r="HG17" s="842"/>
      <c r="HH17" s="840"/>
      <c r="HI17" s="841"/>
      <c r="HJ17" s="842"/>
      <c r="HK17" s="842"/>
      <c r="HL17" s="842"/>
      <c r="HM17" s="843"/>
      <c r="HN17" s="844"/>
      <c r="HO17" s="842"/>
      <c r="HP17" s="842"/>
      <c r="HQ17" s="842"/>
      <c r="HR17" s="840"/>
      <c r="HS17" s="841"/>
      <c r="HT17" s="842"/>
      <c r="HU17" s="842"/>
      <c r="HV17" s="842"/>
      <c r="HW17" s="840"/>
      <c r="HX17" s="845"/>
      <c r="HY17" s="821"/>
    </row>
    <row r="18" spans="1:233" ht="12" customHeight="1" thickBot="1">
      <c r="A18" s="830">
        <v>12</v>
      </c>
      <c r="B18" s="831" t="s">
        <v>847</v>
      </c>
      <c r="C18" s="832"/>
      <c r="D18" s="833">
        <f>DureeHL($L18:$HX18)</f>
        <v>84</v>
      </c>
      <c r="E18" s="834">
        <v>0</v>
      </c>
      <c r="F18" s="516"/>
      <c r="G18" s="516" t="str">
        <f t="shared" si="18"/>
        <v/>
      </c>
      <c r="H18" s="518">
        <f t="shared" si="19"/>
        <v>0</v>
      </c>
      <c r="I18" s="518">
        <f t="shared" si="20"/>
        <v>0</v>
      </c>
      <c r="J18" s="835"/>
      <c r="K18" s="836"/>
      <c r="L18" s="852"/>
      <c r="M18" s="853"/>
      <c r="N18" s="853"/>
      <c r="O18" s="853"/>
      <c r="P18" s="854"/>
      <c r="Q18" s="855"/>
      <c r="R18" s="853"/>
      <c r="S18" s="853"/>
      <c r="T18" s="853"/>
      <c r="U18" s="854"/>
      <c r="V18" s="855"/>
      <c r="W18" s="856"/>
      <c r="X18" s="852"/>
      <c r="Y18" s="853"/>
      <c r="Z18" s="854"/>
      <c r="AA18" s="855"/>
      <c r="AB18" s="853"/>
      <c r="AC18" s="853"/>
      <c r="AD18" s="853"/>
      <c r="AE18" s="854"/>
      <c r="AF18" s="855"/>
      <c r="AG18" s="853"/>
      <c r="AH18" s="853"/>
      <c r="AI18" s="853"/>
      <c r="AJ18" s="854"/>
      <c r="AK18" s="855"/>
      <c r="AL18" s="853"/>
      <c r="AM18" s="853"/>
      <c r="AN18" s="853"/>
      <c r="AO18" s="854"/>
      <c r="AP18" s="855"/>
      <c r="AQ18" s="853"/>
      <c r="AR18" s="853"/>
      <c r="AS18" s="853"/>
      <c r="AT18" s="856"/>
      <c r="AU18" s="852"/>
      <c r="AV18" s="853"/>
      <c r="AW18" s="853"/>
      <c r="AX18" s="853"/>
      <c r="AY18" s="854"/>
      <c r="AZ18" s="855"/>
      <c r="BA18" s="853"/>
      <c r="BB18" s="853"/>
      <c r="BC18" s="853"/>
      <c r="BD18" s="854"/>
      <c r="BE18" s="855"/>
      <c r="BF18" s="853"/>
      <c r="BG18" s="853"/>
      <c r="BH18" s="853"/>
      <c r="BI18" s="854"/>
      <c r="BJ18" s="855"/>
      <c r="BK18" s="853"/>
      <c r="BL18" s="853"/>
      <c r="BM18" s="853"/>
      <c r="BN18" s="856"/>
      <c r="BO18" s="852"/>
      <c r="BP18" s="853"/>
      <c r="BQ18" s="853"/>
      <c r="BR18" s="853"/>
      <c r="BS18" s="854"/>
      <c r="BT18" s="855"/>
      <c r="BU18" s="853"/>
      <c r="BV18" s="853"/>
      <c r="BW18" s="853"/>
      <c r="BX18" s="854"/>
      <c r="BY18" s="855"/>
      <c r="BZ18" s="853"/>
      <c r="CA18" s="853"/>
      <c r="CB18" s="853"/>
      <c r="CC18" s="854"/>
      <c r="CD18" s="855"/>
      <c r="CE18" s="853"/>
      <c r="CF18" s="853"/>
      <c r="CG18" s="853"/>
      <c r="CH18" s="854"/>
      <c r="CI18" s="855"/>
      <c r="CJ18" s="853"/>
      <c r="CK18" s="856"/>
      <c r="CL18" s="852"/>
      <c r="CM18" s="854"/>
      <c r="CN18" s="855"/>
      <c r="CO18" s="853"/>
      <c r="CP18" s="853"/>
      <c r="CQ18" s="853"/>
      <c r="CR18" s="840"/>
      <c r="CS18" s="849"/>
      <c r="CT18" s="850"/>
      <c r="CU18" s="850"/>
      <c r="CV18" s="850"/>
      <c r="CW18" s="840"/>
      <c r="CX18" s="849"/>
      <c r="CY18" s="850"/>
      <c r="CZ18" s="850"/>
      <c r="DA18" s="850"/>
      <c r="DB18" s="840"/>
      <c r="DC18" s="849"/>
      <c r="DD18" s="850"/>
      <c r="DE18" s="850"/>
      <c r="DF18" s="850"/>
      <c r="DG18" s="843"/>
      <c r="DH18" s="851"/>
      <c r="DI18" s="850"/>
      <c r="DJ18" s="850"/>
      <c r="DK18" s="850"/>
      <c r="DL18" s="840"/>
      <c r="DM18" s="849"/>
      <c r="DN18" s="850"/>
      <c r="DO18" s="850"/>
      <c r="DP18" s="850"/>
      <c r="DQ18" s="840"/>
      <c r="DR18" s="849"/>
      <c r="DS18" s="850"/>
      <c r="DT18" s="850"/>
      <c r="DU18" s="850"/>
      <c r="DV18" s="840"/>
      <c r="DW18" s="849"/>
      <c r="DX18" s="850"/>
      <c r="DY18" s="850"/>
      <c r="DZ18" s="850"/>
      <c r="EA18" s="840"/>
      <c r="EB18" s="845"/>
      <c r="EC18" s="851"/>
      <c r="ED18" s="850"/>
      <c r="EE18" s="850"/>
      <c r="EF18" s="840"/>
      <c r="EG18" s="849"/>
      <c r="EH18" s="850"/>
      <c r="EI18" s="850"/>
      <c r="EJ18" s="850"/>
      <c r="EK18" s="840"/>
      <c r="EL18" s="849"/>
      <c r="EM18" s="850"/>
      <c r="EN18" s="850"/>
      <c r="EO18" s="850"/>
      <c r="EP18" s="840"/>
      <c r="EQ18" s="849"/>
      <c r="ER18" s="850"/>
      <c r="ES18" s="850"/>
      <c r="ET18" s="850"/>
      <c r="EU18" s="840"/>
      <c r="EV18" s="841"/>
      <c r="EW18" s="842"/>
      <c r="EX18" s="842"/>
      <c r="EY18" s="843"/>
      <c r="EZ18" s="846"/>
      <c r="FA18" s="841"/>
      <c r="FB18" s="842"/>
      <c r="FC18" s="842"/>
      <c r="FD18" s="842"/>
      <c r="FE18" s="840"/>
      <c r="FF18" s="841"/>
      <c r="FG18" s="842"/>
      <c r="FH18" s="842"/>
      <c r="FI18" s="842"/>
      <c r="FJ18" s="840"/>
      <c r="FK18" s="841"/>
      <c r="FL18" s="842"/>
      <c r="FM18" s="842"/>
      <c r="FN18" s="842"/>
      <c r="FO18" s="840"/>
      <c r="FP18" s="841"/>
      <c r="FQ18" s="842"/>
      <c r="FR18" s="842"/>
      <c r="FS18" s="842"/>
      <c r="FT18" s="843"/>
      <c r="FU18" s="844"/>
      <c r="FV18" s="842"/>
      <c r="FW18" s="842"/>
      <c r="FX18" s="842"/>
      <c r="FY18" s="840"/>
      <c r="FZ18" s="841"/>
      <c r="GA18" s="842"/>
      <c r="GB18" s="842"/>
      <c r="GC18" s="842"/>
      <c r="GD18" s="840"/>
      <c r="GE18" s="841"/>
      <c r="GF18" s="842"/>
      <c r="GG18" s="842"/>
      <c r="GH18" s="842"/>
      <c r="GI18" s="840"/>
      <c r="GJ18" s="841"/>
      <c r="GK18" s="842"/>
      <c r="GL18" s="842"/>
      <c r="GM18" s="842"/>
      <c r="GN18" s="840"/>
      <c r="GO18" s="841"/>
      <c r="GP18" s="843"/>
      <c r="GQ18" s="844"/>
      <c r="GR18" s="842"/>
      <c r="GS18" s="840"/>
      <c r="GT18" s="841"/>
      <c r="GU18" s="842"/>
      <c r="GV18" s="842"/>
      <c r="GW18" s="842"/>
      <c r="GX18" s="840"/>
      <c r="GY18" s="841"/>
      <c r="GZ18" s="842"/>
      <c r="HA18" s="842"/>
      <c r="HB18" s="842"/>
      <c r="HC18" s="840"/>
      <c r="HD18" s="841"/>
      <c r="HE18" s="842"/>
      <c r="HF18" s="842"/>
      <c r="HG18" s="842"/>
      <c r="HH18" s="840"/>
      <c r="HI18" s="841"/>
      <c r="HJ18" s="842"/>
      <c r="HK18" s="842"/>
      <c r="HL18" s="842"/>
      <c r="HM18" s="843"/>
      <c r="HN18" s="844"/>
      <c r="HO18" s="842"/>
      <c r="HP18" s="842"/>
      <c r="HQ18" s="842"/>
      <c r="HR18" s="840"/>
      <c r="HS18" s="841"/>
      <c r="HT18" s="842"/>
      <c r="HU18" s="842"/>
      <c r="HV18" s="842"/>
      <c r="HW18" s="840"/>
      <c r="HX18" s="845"/>
      <c r="HY18" s="821"/>
    </row>
    <row r="19" spans="1:233" ht="12" customHeight="1" thickTop="1" thickBot="1">
      <c r="A19" s="830">
        <v>13</v>
      </c>
      <c r="B19" s="831" t="s">
        <v>846</v>
      </c>
      <c r="C19" s="832"/>
      <c r="D19" s="833">
        <f t="shared" si="17"/>
        <v>5</v>
      </c>
      <c r="E19" s="834">
        <v>0</v>
      </c>
      <c r="F19" s="516"/>
      <c r="G19" s="516" t="str">
        <f t="shared" si="18"/>
        <v/>
      </c>
      <c r="H19" s="518">
        <f t="shared" si="19"/>
        <v>0</v>
      </c>
      <c r="I19" s="518">
        <f t="shared" si="20"/>
        <v>0</v>
      </c>
      <c r="J19" s="835"/>
      <c r="K19" s="836"/>
      <c r="L19" s="851"/>
      <c r="M19" s="850"/>
      <c r="N19" s="850"/>
      <c r="O19" s="850"/>
      <c r="P19" s="840"/>
      <c r="Q19" s="849"/>
      <c r="R19" s="850"/>
      <c r="S19" s="850"/>
      <c r="T19" s="850"/>
      <c r="U19" s="840"/>
      <c r="V19" s="849"/>
      <c r="W19" s="843"/>
      <c r="X19" s="851"/>
      <c r="Y19" s="850"/>
      <c r="Z19" s="840"/>
      <c r="AA19" s="849"/>
      <c r="AB19" s="850"/>
      <c r="AC19" s="850"/>
      <c r="AD19" s="850"/>
      <c r="AE19" s="840"/>
      <c r="AF19" s="849"/>
      <c r="AG19" s="850"/>
      <c r="AH19" s="850"/>
      <c r="AI19" s="850"/>
      <c r="AJ19" s="840"/>
      <c r="AK19" s="849"/>
      <c r="AL19" s="850"/>
      <c r="AM19" s="850"/>
      <c r="AN19" s="850"/>
      <c r="AO19" s="840"/>
      <c r="AP19" s="849"/>
      <c r="AQ19" s="850"/>
      <c r="AR19" s="850"/>
      <c r="AS19" s="850"/>
      <c r="AT19" s="843"/>
      <c r="AU19" s="851"/>
      <c r="AV19" s="850"/>
      <c r="AW19" s="850"/>
      <c r="AX19" s="859"/>
      <c r="AY19" s="857"/>
      <c r="AZ19" s="858"/>
      <c r="BA19" s="859"/>
      <c r="BB19" s="859"/>
      <c r="BC19" s="850"/>
      <c r="BD19" s="840"/>
      <c r="BE19" s="849"/>
      <c r="BF19" s="850"/>
      <c r="BG19" s="850"/>
      <c r="BH19" s="850"/>
      <c r="BI19" s="840"/>
      <c r="BJ19" s="849"/>
      <c r="BK19" s="850"/>
      <c r="BL19" s="850"/>
      <c r="BM19" s="850"/>
      <c r="BN19" s="843"/>
      <c r="BO19" s="851"/>
      <c r="BP19" s="850"/>
      <c r="BQ19" s="850"/>
      <c r="BR19" s="850"/>
      <c r="BS19" s="840"/>
      <c r="BT19" s="849"/>
      <c r="BU19" s="850"/>
      <c r="BV19" s="850"/>
      <c r="BW19" s="850"/>
      <c r="BX19" s="840"/>
      <c r="BY19" s="849"/>
      <c r="BZ19" s="850"/>
      <c r="CA19" s="850"/>
      <c r="CB19" s="850"/>
      <c r="CC19" s="840"/>
      <c r="CD19" s="849"/>
      <c r="CE19" s="850"/>
      <c r="CF19" s="850"/>
      <c r="CG19" s="850"/>
      <c r="CH19" s="840"/>
      <c r="CI19" s="849"/>
      <c r="CJ19" s="850"/>
      <c r="CK19" s="843"/>
      <c r="CL19" s="851"/>
      <c r="CM19" s="840"/>
      <c r="CN19" s="849"/>
      <c r="CO19" s="850"/>
      <c r="CP19" s="850"/>
      <c r="CQ19" s="850"/>
      <c r="CR19" s="840"/>
      <c r="CS19" s="849"/>
      <c r="CT19" s="850"/>
      <c r="CU19" s="850"/>
      <c r="CV19" s="850"/>
      <c r="CW19" s="840"/>
      <c r="CX19" s="849"/>
      <c r="CY19" s="850"/>
      <c r="CZ19" s="850"/>
      <c r="DA19" s="850"/>
      <c r="DB19" s="840"/>
      <c r="DC19" s="849"/>
      <c r="DD19" s="850"/>
      <c r="DE19" s="850"/>
      <c r="DF19" s="850"/>
      <c r="DG19" s="843"/>
      <c r="DH19" s="851"/>
      <c r="DI19" s="850"/>
      <c r="DJ19" s="850"/>
      <c r="DK19" s="850"/>
      <c r="DL19" s="840"/>
      <c r="DM19" s="849"/>
      <c r="DN19" s="850"/>
      <c r="DO19" s="850"/>
      <c r="DP19" s="850"/>
      <c r="DQ19" s="840"/>
      <c r="DR19" s="849"/>
      <c r="DS19" s="850"/>
      <c r="DT19" s="850"/>
      <c r="DU19" s="850"/>
      <c r="DV19" s="840"/>
      <c r="DW19" s="849"/>
      <c r="DX19" s="850"/>
      <c r="DY19" s="850"/>
      <c r="DZ19" s="850"/>
      <c r="EA19" s="840"/>
      <c r="EB19" s="845"/>
      <c r="EC19" s="851"/>
      <c r="ED19" s="850"/>
      <c r="EE19" s="850"/>
      <c r="EF19" s="840"/>
      <c r="EG19" s="849"/>
      <c r="EH19" s="850"/>
      <c r="EI19" s="850"/>
      <c r="EJ19" s="850"/>
      <c r="EK19" s="840"/>
      <c r="EL19" s="849"/>
      <c r="EM19" s="850"/>
      <c r="EN19" s="850"/>
      <c r="EO19" s="850"/>
      <c r="EP19" s="840"/>
      <c r="EQ19" s="849"/>
      <c r="ER19" s="850"/>
      <c r="ES19" s="850"/>
      <c r="ET19" s="850"/>
      <c r="EU19" s="840"/>
      <c r="EV19" s="841"/>
      <c r="EW19" s="842"/>
      <c r="EX19" s="842"/>
      <c r="EY19" s="843"/>
      <c r="EZ19" s="846"/>
      <c r="FA19" s="841"/>
      <c r="FB19" s="842"/>
      <c r="FC19" s="842"/>
      <c r="FD19" s="842"/>
      <c r="FE19" s="840"/>
      <c r="FF19" s="841"/>
      <c r="FG19" s="842"/>
      <c r="FH19" s="842"/>
      <c r="FI19" s="842"/>
      <c r="FJ19" s="840"/>
      <c r="FK19" s="841"/>
      <c r="FL19" s="842"/>
      <c r="FM19" s="842"/>
      <c r="FN19" s="842"/>
      <c r="FO19" s="840"/>
      <c r="FP19" s="841"/>
      <c r="FQ19" s="842"/>
      <c r="FR19" s="842"/>
      <c r="FS19" s="842"/>
      <c r="FT19" s="843"/>
      <c r="FU19" s="844"/>
      <c r="FV19" s="842"/>
      <c r="FW19" s="842"/>
      <c r="FX19" s="842"/>
      <c r="FY19" s="840"/>
      <c r="FZ19" s="841"/>
      <c r="GA19" s="842"/>
      <c r="GB19" s="842"/>
      <c r="GC19" s="842"/>
      <c r="GD19" s="840"/>
      <c r="GE19" s="841"/>
      <c r="GF19" s="842"/>
      <c r="GG19" s="842"/>
      <c r="GH19" s="842"/>
      <c r="GI19" s="840"/>
      <c r="GJ19" s="841"/>
      <c r="GK19" s="842"/>
      <c r="GL19" s="842"/>
      <c r="GM19" s="842"/>
      <c r="GN19" s="840"/>
      <c r="GO19" s="841"/>
      <c r="GP19" s="843"/>
      <c r="GQ19" s="844"/>
      <c r="GR19" s="842"/>
      <c r="GS19" s="840"/>
      <c r="GT19" s="841"/>
      <c r="GU19" s="842"/>
      <c r="GV19" s="842"/>
      <c r="GW19" s="842"/>
      <c r="GX19" s="840"/>
      <c r="GY19" s="841"/>
      <c r="GZ19" s="842"/>
      <c r="HA19" s="842"/>
      <c r="HB19" s="842"/>
      <c r="HC19" s="840"/>
      <c r="HD19" s="841"/>
      <c r="HE19" s="842"/>
      <c r="HF19" s="842"/>
      <c r="HG19" s="842"/>
      <c r="HH19" s="840"/>
      <c r="HI19" s="841"/>
      <c r="HJ19" s="842"/>
      <c r="HK19" s="842"/>
      <c r="HL19" s="842"/>
      <c r="HM19" s="843"/>
      <c r="HN19" s="844"/>
      <c r="HO19" s="842"/>
      <c r="HP19" s="842"/>
      <c r="HQ19" s="842"/>
      <c r="HR19" s="840"/>
      <c r="HS19" s="841"/>
      <c r="HT19" s="842"/>
      <c r="HU19" s="842"/>
      <c r="HV19" s="842"/>
      <c r="HW19" s="840"/>
      <c r="HX19" s="845"/>
      <c r="HY19" s="821"/>
    </row>
    <row r="20" spans="1:233" ht="12" customHeight="1" thickTop="1" thickBot="1">
      <c r="A20" s="830">
        <v>14</v>
      </c>
      <c r="B20" s="831" t="s">
        <v>845</v>
      </c>
      <c r="C20" s="832"/>
      <c r="D20" s="833">
        <f t="shared" si="17"/>
        <v>5</v>
      </c>
      <c r="E20" s="834">
        <v>0</v>
      </c>
      <c r="F20" s="516"/>
      <c r="G20" s="516" t="str">
        <f t="shared" si="18"/>
        <v/>
      </c>
      <c r="H20" s="518">
        <f t="shared" si="19"/>
        <v>0</v>
      </c>
      <c r="I20" s="518">
        <f t="shared" si="20"/>
        <v>0</v>
      </c>
      <c r="J20" s="835"/>
      <c r="K20" s="836"/>
      <c r="L20" s="851"/>
      <c r="M20" s="850"/>
      <c r="N20" s="850"/>
      <c r="O20" s="850"/>
      <c r="P20" s="840"/>
      <c r="Q20" s="849"/>
      <c r="R20" s="850"/>
      <c r="S20" s="850"/>
      <c r="T20" s="850"/>
      <c r="U20" s="840"/>
      <c r="V20" s="849"/>
      <c r="W20" s="843"/>
      <c r="X20" s="851"/>
      <c r="Y20" s="850"/>
      <c r="Z20" s="840"/>
      <c r="AA20" s="849"/>
      <c r="AB20" s="850"/>
      <c r="AC20" s="850"/>
      <c r="AD20" s="850"/>
      <c r="AE20" s="840"/>
      <c r="AF20" s="849"/>
      <c r="AG20" s="850"/>
      <c r="AH20" s="850"/>
      <c r="AI20" s="850"/>
      <c r="AJ20" s="840"/>
      <c r="AK20" s="849"/>
      <c r="AL20" s="850"/>
      <c r="AM20" s="850"/>
      <c r="AN20" s="850"/>
      <c r="AO20" s="840"/>
      <c r="AP20" s="849"/>
      <c r="AQ20" s="850"/>
      <c r="AR20" s="850"/>
      <c r="AS20" s="850"/>
      <c r="AT20" s="843"/>
      <c r="AU20" s="851"/>
      <c r="AV20" s="850"/>
      <c r="AW20" s="850"/>
      <c r="AX20" s="850"/>
      <c r="AY20" s="840"/>
      <c r="AZ20" s="849"/>
      <c r="BA20" s="850"/>
      <c r="BB20" s="850"/>
      <c r="BC20" s="850"/>
      <c r="BD20" s="840"/>
      <c r="BE20" s="849"/>
      <c r="BF20" s="850"/>
      <c r="BG20" s="850"/>
      <c r="BH20" s="850"/>
      <c r="BI20" s="840"/>
      <c r="BJ20" s="849"/>
      <c r="BK20" s="850"/>
      <c r="BL20" s="850"/>
      <c r="BM20" s="850"/>
      <c r="BN20" s="843"/>
      <c r="BO20" s="851"/>
      <c r="BP20" s="850"/>
      <c r="BQ20" s="850"/>
      <c r="BR20" s="850"/>
      <c r="BS20" s="840"/>
      <c r="BT20" s="849"/>
      <c r="BU20" s="850"/>
      <c r="BV20" s="850"/>
      <c r="BW20" s="850"/>
      <c r="BX20" s="840"/>
      <c r="BY20" s="849"/>
      <c r="BZ20" s="850"/>
      <c r="CA20" s="850"/>
      <c r="CB20" s="850"/>
      <c r="CC20" s="840"/>
      <c r="CD20" s="849"/>
      <c r="CE20" s="850"/>
      <c r="CF20" s="850"/>
      <c r="CG20" s="850"/>
      <c r="CH20" s="840"/>
      <c r="CI20" s="849"/>
      <c r="CJ20" s="850"/>
      <c r="CK20" s="843"/>
      <c r="CL20" s="851"/>
      <c r="CM20" s="857"/>
      <c r="CN20" s="858"/>
      <c r="CO20" s="859"/>
      <c r="CP20" s="859"/>
      <c r="CQ20" s="859"/>
      <c r="CR20" s="840"/>
      <c r="CS20" s="849"/>
      <c r="CT20" s="850"/>
      <c r="CU20" s="850"/>
      <c r="CV20" s="850"/>
      <c r="CW20" s="840"/>
      <c r="CX20" s="849"/>
      <c r="CY20" s="850"/>
      <c r="CZ20" s="850"/>
      <c r="DA20" s="850"/>
      <c r="DB20" s="840"/>
      <c r="DC20" s="849"/>
      <c r="DD20" s="850"/>
      <c r="DE20" s="850"/>
      <c r="DF20" s="850"/>
      <c r="DG20" s="843"/>
      <c r="DH20" s="851"/>
      <c r="DI20" s="850"/>
      <c r="DJ20" s="850"/>
      <c r="DK20" s="850"/>
      <c r="DL20" s="840"/>
      <c r="DM20" s="849"/>
      <c r="DN20" s="850"/>
      <c r="DO20" s="850"/>
      <c r="DP20" s="850"/>
      <c r="DQ20" s="840"/>
      <c r="DR20" s="849"/>
      <c r="DS20" s="850"/>
      <c r="DT20" s="850"/>
      <c r="DU20" s="850"/>
      <c r="DV20" s="840"/>
      <c r="DW20" s="849"/>
      <c r="DX20" s="850"/>
      <c r="DY20" s="850"/>
      <c r="DZ20" s="850"/>
      <c r="EA20" s="840"/>
      <c r="EB20" s="845"/>
      <c r="EC20" s="851"/>
      <c r="ED20" s="850"/>
      <c r="EE20" s="850"/>
      <c r="EF20" s="840"/>
      <c r="EG20" s="849"/>
      <c r="EH20" s="850"/>
      <c r="EI20" s="850"/>
      <c r="EJ20" s="850"/>
      <c r="EK20" s="840"/>
      <c r="EL20" s="849"/>
      <c r="EM20" s="850"/>
      <c r="EN20" s="850"/>
      <c r="EO20" s="850"/>
      <c r="EP20" s="840"/>
      <c r="EQ20" s="849"/>
      <c r="ER20" s="850"/>
      <c r="ES20" s="850"/>
      <c r="ET20" s="850"/>
      <c r="EU20" s="840"/>
      <c r="EV20" s="841"/>
      <c r="EW20" s="842"/>
      <c r="EX20" s="842"/>
      <c r="EY20" s="843"/>
      <c r="EZ20" s="846"/>
      <c r="FA20" s="841"/>
      <c r="FB20" s="842"/>
      <c r="FC20" s="842"/>
      <c r="FD20" s="842"/>
      <c r="FE20" s="840"/>
      <c r="FF20" s="841"/>
      <c r="FG20" s="842"/>
      <c r="FH20" s="842"/>
      <c r="FI20" s="842"/>
      <c r="FJ20" s="840"/>
      <c r="FK20" s="841"/>
      <c r="FL20" s="842"/>
      <c r="FM20" s="842"/>
      <c r="FN20" s="842"/>
      <c r="FO20" s="840"/>
      <c r="FP20" s="841"/>
      <c r="FQ20" s="842"/>
      <c r="FR20" s="842"/>
      <c r="FS20" s="842"/>
      <c r="FT20" s="843"/>
      <c r="FU20" s="844"/>
      <c r="FV20" s="842"/>
      <c r="FW20" s="842"/>
      <c r="FX20" s="842"/>
      <c r="FY20" s="840"/>
      <c r="FZ20" s="841"/>
      <c r="GA20" s="842"/>
      <c r="GB20" s="842"/>
      <c r="GC20" s="842"/>
      <c r="GD20" s="840"/>
      <c r="GE20" s="841"/>
      <c r="GF20" s="842"/>
      <c r="GG20" s="842"/>
      <c r="GH20" s="842"/>
      <c r="GI20" s="840"/>
      <c r="GJ20" s="841"/>
      <c r="GK20" s="842"/>
      <c r="GL20" s="842"/>
      <c r="GM20" s="842"/>
      <c r="GN20" s="840"/>
      <c r="GO20" s="841"/>
      <c r="GP20" s="843"/>
      <c r="GQ20" s="844"/>
      <c r="GR20" s="842"/>
      <c r="GS20" s="840"/>
      <c r="GT20" s="841"/>
      <c r="GU20" s="842"/>
      <c r="GV20" s="842"/>
      <c r="GW20" s="842"/>
      <c r="GX20" s="840"/>
      <c r="GY20" s="841"/>
      <c r="GZ20" s="842"/>
      <c r="HA20" s="842"/>
      <c r="HB20" s="842"/>
      <c r="HC20" s="840"/>
      <c r="HD20" s="841"/>
      <c r="HE20" s="842"/>
      <c r="HF20" s="842"/>
      <c r="HG20" s="842"/>
      <c r="HH20" s="840"/>
      <c r="HI20" s="841"/>
      <c r="HJ20" s="842"/>
      <c r="HK20" s="842"/>
      <c r="HL20" s="842"/>
      <c r="HM20" s="843"/>
      <c r="HN20" s="844"/>
      <c r="HO20" s="842"/>
      <c r="HP20" s="842"/>
      <c r="HQ20" s="842"/>
      <c r="HR20" s="840"/>
      <c r="HS20" s="841"/>
      <c r="HT20" s="842"/>
      <c r="HU20" s="842"/>
      <c r="HV20" s="842"/>
      <c r="HW20" s="840"/>
      <c r="HX20" s="845"/>
      <c r="HY20" s="821"/>
    </row>
    <row r="21" spans="1:233" ht="12" customHeight="1" thickTop="1">
      <c r="A21" s="830">
        <v>15</v>
      </c>
      <c r="B21" s="831"/>
      <c r="C21" s="832"/>
      <c r="D21" s="833" t="str">
        <f t="shared" si="17"/>
        <v/>
      </c>
      <c r="E21" s="834">
        <v>0</v>
      </c>
      <c r="F21" s="516"/>
      <c r="G21" s="516" t="str">
        <f t="shared" si="18"/>
        <v/>
      </c>
      <c r="H21" s="518">
        <f t="shared" si="19"/>
        <v>0</v>
      </c>
      <c r="I21" s="518">
        <f t="shared" si="20"/>
        <v>0</v>
      </c>
      <c r="J21" s="835"/>
      <c r="K21" s="836"/>
      <c r="L21" s="847"/>
      <c r="M21" s="848"/>
      <c r="N21" s="850"/>
      <c r="O21" s="850"/>
      <c r="P21" s="840"/>
      <c r="Q21" s="849"/>
      <c r="R21" s="850"/>
      <c r="S21" s="850"/>
      <c r="T21" s="850"/>
      <c r="U21" s="840"/>
      <c r="V21" s="849"/>
      <c r="W21" s="843"/>
      <c r="X21" s="851"/>
      <c r="Y21" s="850"/>
      <c r="Z21" s="840"/>
      <c r="AA21" s="849"/>
      <c r="AB21" s="850"/>
      <c r="AC21" s="850"/>
      <c r="AD21" s="850"/>
      <c r="AE21" s="840"/>
      <c r="AF21" s="849"/>
      <c r="AG21" s="850"/>
      <c r="AH21" s="850"/>
      <c r="AI21" s="850"/>
      <c r="AJ21" s="840"/>
      <c r="AK21" s="849"/>
      <c r="AL21" s="850"/>
      <c r="AM21" s="850"/>
      <c r="AN21" s="850"/>
      <c r="AO21" s="840"/>
      <c r="AP21" s="849"/>
      <c r="AQ21" s="850"/>
      <c r="AR21" s="850"/>
      <c r="AS21" s="850"/>
      <c r="AT21" s="843"/>
      <c r="AU21" s="851"/>
      <c r="AV21" s="850"/>
      <c r="AW21" s="850"/>
      <c r="AX21" s="850"/>
      <c r="AY21" s="840"/>
      <c r="AZ21" s="849"/>
      <c r="BA21" s="850"/>
      <c r="BB21" s="850"/>
      <c r="BC21" s="850"/>
      <c r="BD21" s="840"/>
      <c r="BE21" s="849"/>
      <c r="BF21" s="850"/>
      <c r="BG21" s="850"/>
      <c r="BH21" s="850"/>
      <c r="BI21" s="840"/>
      <c r="BJ21" s="849"/>
      <c r="BK21" s="850"/>
      <c r="BL21" s="850"/>
      <c r="BM21" s="850"/>
      <c r="BN21" s="843"/>
      <c r="BO21" s="851"/>
      <c r="BP21" s="850"/>
      <c r="BQ21" s="850"/>
      <c r="BR21" s="850"/>
      <c r="BS21" s="840"/>
      <c r="BT21" s="849"/>
      <c r="BU21" s="850"/>
      <c r="BV21" s="850"/>
      <c r="BW21" s="850"/>
      <c r="BX21" s="840"/>
      <c r="BY21" s="849"/>
      <c r="BZ21" s="850"/>
      <c r="CA21" s="850"/>
      <c r="CB21" s="850"/>
      <c r="CC21" s="840"/>
      <c r="CD21" s="849"/>
      <c r="CE21" s="850"/>
      <c r="CF21" s="850"/>
      <c r="CG21" s="850"/>
      <c r="CH21" s="840"/>
      <c r="CI21" s="849"/>
      <c r="CJ21" s="850"/>
      <c r="CK21" s="843"/>
      <c r="CL21" s="851"/>
      <c r="CM21" s="840"/>
      <c r="CN21" s="849"/>
      <c r="CO21" s="850"/>
      <c r="CP21" s="850"/>
      <c r="CQ21" s="850"/>
      <c r="CR21" s="840"/>
      <c r="CS21" s="849"/>
      <c r="CT21" s="850"/>
      <c r="CU21" s="850"/>
      <c r="CV21" s="850"/>
      <c r="CW21" s="840"/>
      <c r="CX21" s="849"/>
      <c r="CY21" s="850"/>
      <c r="CZ21" s="850"/>
      <c r="DA21" s="850"/>
      <c r="DB21" s="840"/>
      <c r="DC21" s="849"/>
      <c r="DD21" s="850"/>
      <c r="DE21" s="850"/>
      <c r="DF21" s="850"/>
      <c r="DG21" s="843"/>
      <c r="DH21" s="851"/>
      <c r="DI21" s="850"/>
      <c r="DJ21" s="850"/>
      <c r="DK21" s="850"/>
      <c r="DL21" s="840"/>
      <c r="DM21" s="849"/>
      <c r="DN21" s="850"/>
      <c r="DO21" s="850"/>
      <c r="DP21" s="850"/>
      <c r="DQ21" s="840"/>
      <c r="DR21" s="849"/>
      <c r="DS21" s="850"/>
      <c r="DT21" s="850"/>
      <c r="DU21" s="850"/>
      <c r="DV21" s="840"/>
      <c r="DW21" s="849"/>
      <c r="DX21" s="850"/>
      <c r="DY21" s="850"/>
      <c r="DZ21" s="850"/>
      <c r="EA21" s="840"/>
      <c r="EB21" s="845"/>
      <c r="EC21" s="851"/>
      <c r="ED21" s="850"/>
      <c r="EE21" s="850"/>
      <c r="EF21" s="840"/>
      <c r="EG21" s="849"/>
      <c r="EH21" s="850"/>
      <c r="EI21" s="850"/>
      <c r="EJ21" s="850"/>
      <c r="EK21" s="840"/>
      <c r="EL21" s="849"/>
      <c r="EM21" s="850"/>
      <c r="EN21" s="850"/>
      <c r="EO21" s="850"/>
      <c r="EP21" s="840"/>
      <c r="EQ21" s="849"/>
      <c r="ER21" s="850"/>
      <c r="ES21" s="850"/>
      <c r="ET21" s="850"/>
      <c r="EU21" s="840"/>
      <c r="EV21" s="841"/>
      <c r="EW21" s="842"/>
      <c r="EX21" s="842"/>
      <c r="EY21" s="843"/>
      <c r="EZ21" s="846"/>
      <c r="FA21" s="841"/>
      <c r="FB21" s="842"/>
      <c r="FC21" s="842"/>
      <c r="FD21" s="842"/>
      <c r="FE21" s="840"/>
      <c r="FF21" s="841"/>
      <c r="FG21" s="842"/>
      <c r="FH21" s="842"/>
      <c r="FI21" s="842"/>
      <c r="FJ21" s="840"/>
      <c r="FK21" s="841"/>
      <c r="FL21" s="842"/>
      <c r="FM21" s="842"/>
      <c r="FN21" s="842"/>
      <c r="FO21" s="840"/>
      <c r="FP21" s="841"/>
      <c r="FQ21" s="842"/>
      <c r="FR21" s="842"/>
      <c r="FS21" s="842"/>
      <c r="FT21" s="843"/>
      <c r="FU21" s="844"/>
      <c r="FV21" s="842"/>
      <c r="FW21" s="842"/>
      <c r="FX21" s="842"/>
      <c r="FY21" s="840"/>
      <c r="FZ21" s="841"/>
      <c r="GA21" s="842"/>
      <c r="GB21" s="842"/>
      <c r="GC21" s="842"/>
      <c r="GD21" s="840"/>
      <c r="GE21" s="841"/>
      <c r="GF21" s="842"/>
      <c r="GG21" s="842"/>
      <c r="GH21" s="842"/>
      <c r="GI21" s="840"/>
      <c r="GJ21" s="841"/>
      <c r="GK21" s="842"/>
      <c r="GL21" s="842"/>
      <c r="GM21" s="842"/>
      <c r="GN21" s="840"/>
      <c r="GO21" s="841"/>
      <c r="GP21" s="843"/>
      <c r="GQ21" s="844"/>
      <c r="GR21" s="842"/>
      <c r="GS21" s="840"/>
      <c r="GT21" s="841"/>
      <c r="GU21" s="842"/>
      <c r="GV21" s="842"/>
      <c r="GW21" s="842"/>
      <c r="GX21" s="840"/>
      <c r="GY21" s="841"/>
      <c r="GZ21" s="842"/>
      <c r="HA21" s="842"/>
      <c r="HB21" s="842"/>
      <c r="HC21" s="840"/>
      <c r="HD21" s="841"/>
      <c r="HE21" s="842"/>
      <c r="HF21" s="842"/>
      <c r="HG21" s="842"/>
      <c r="HH21" s="840"/>
      <c r="HI21" s="841"/>
      <c r="HJ21" s="842"/>
      <c r="HK21" s="842"/>
      <c r="HL21" s="842"/>
      <c r="HM21" s="843"/>
      <c r="HN21" s="844"/>
      <c r="HO21" s="842"/>
      <c r="HP21" s="842"/>
      <c r="HQ21" s="842"/>
      <c r="HR21" s="840"/>
      <c r="HS21" s="841"/>
      <c r="HT21" s="842"/>
      <c r="HU21" s="842"/>
      <c r="HV21" s="842"/>
      <c r="HW21" s="840"/>
      <c r="HX21" s="845"/>
      <c r="HY21" s="821"/>
    </row>
  </sheetData>
  <dataConsolidate/>
  <mergeCells count="1">
    <mergeCell ref="H1:I1"/>
  </mergeCells>
  <phoneticPr fontId="0" type="noConversion"/>
  <dataValidations disablePrompts="1" count="1">
    <dataValidation type="date" allowBlank="1" showInputMessage="1" showErrorMessage="1" sqref="H1">
      <formula1>1</formula1>
      <formula2>73051</formula2>
    </dataValidation>
  </dataValidations>
  <pageMargins left="0.19685039370078741" right="0.19685039370078741" top="0.19685039370078741" bottom="0.27559055118110237" header="0.51181102362204722" footer="0.19685039370078741"/>
  <pageSetup paperSize="12" scale="13" orientation="portrait" verticalDpi="200" r:id="rId1"/>
  <headerFooter alignWithMargins="0">
    <oddFooter>&amp;C&amp;F&amp;RPage &amp;P sur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8">
    <outlinePr summaryBelow="0" summaryRight="0"/>
    <pageSetUpPr fitToPage="1"/>
  </sheetPr>
  <dimension ref="A1:CF38"/>
  <sheetViews>
    <sheetView workbookViewId="0">
      <pane xSplit="5910" topLeftCell="D1" activePane="topRight"/>
      <selection activeCell="B16" sqref="B16"/>
      <selection pane="topRight" activeCell="I19" sqref="I19"/>
    </sheetView>
  </sheetViews>
  <sheetFormatPr baseColWidth="10" defaultRowHeight="11.25"/>
  <cols>
    <col min="1" max="1" width="4" style="8" customWidth="1"/>
    <col min="2" max="2" width="3.85546875" style="8" customWidth="1"/>
    <col min="3" max="3" width="33.85546875" style="8" customWidth="1"/>
    <col min="4" max="4" width="6" style="8" customWidth="1"/>
    <col min="5" max="5" width="6.7109375" style="8" customWidth="1"/>
    <col min="6" max="6" width="4.42578125" style="8" customWidth="1"/>
    <col min="7" max="7" width="8.28515625" style="8" customWidth="1"/>
    <col min="8" max="8" width="5.42578125" style="8" customWidth="1"/>
    <col min="9" max="9" width="5.28515625" style="8" customWidth="1"/>
    <col min="10" max="10" width="5.7109375" style="8" customWidth="1"/>
    <col min="11" max="11" width="3.85546875" style="8" customWidth="1"/>
    <col min="12" max="83" width="2.28515625" style="8" customWidth="1"/>
    <col min="84" max="16384" width="11.42578125" style="8"/>
  </cols>
  <sheetData>
    <row r="1" spans="1:84" ht="15">
      <c r="A1" s="20" t="s">
        <v>470</v>
      </c>
      <c r="B1" s="21"/>
      <c r="C1" s="21"/>
      <c r="D1" s="21"/>
      <c r="E1" s="21"/>
      <c r="F1" s="22"/>
      <c r="G1" s="7" t="s">
        <v>518</v>
      </c>
      <c r="H1" s="866">
        <v>39854</v>
      </c>
      <c r="I1" s="866"/>
      <c r="J1" s="7"/>
      <c r="K1" s="7"/>
      <c r="L1" s="11"/>
    </row>
    <row r="2" spans="1:84" ht="12.75">
      <c r="A2" s="17" t="s">
        <v>466</v>
      </c>
      <c r="B2" s="23"/>
      <c r="C2" s="23"/>
      <c r="D2" s="23"/>
      <c r="E2" s="23"/>
      <c r="F2" s="24"/>
      <c r="G2" s="505"/>
      <c r="H2" s="10"/>
      <c r="I2" s="10"/>
      <c r="J2" s="10"/>
      <c r="K2" s="10"/>
      <c r="L2" s="11"/>
    </row>
    <row r="3" spans="1:84">
      <c r="A3" s="13" t="s">
        <v>517</v>
      </c>
      <c r="B3" s="13"/>
      <c r="L3" s="11"/>
    </row>
    <row r="4" spans="1:84">
      <c r="A4" s="12">
        <v>1</v>
      </c>
      <c r="B4" s="12"/>
      <c r="L4" s="11"/>
    </row>
    <row r="5" spans="1:84">
      <c r="A5" s="12">
        <v>2</v>
      </c>
      <c r="B5" s="12"/>
      <c r="L5" s="11"/>
    </row>
    <row r="6" spans="1:84">
      <c r="A6" s="12">
        <v>3</v>
      </c>
      <c r="B6" s="12"/>
      <c r="L6" s="11"/>
    </row>
    <row r="7" spans="1:84">
      <c r="A7" s="12">
        <v>4</v>
      </c>
      <c r="B7" s="12"/>
      <c r="L7" s="11"/>
    </row>
    <row r="8" spans="1:84">
      <c r="A8" s="12">
        <v>5</v>
      </c>
      <c r="B8" s="12"/>
      <c r="L8" s="11"/>
    </row>
    <row r="9" spans="1:84">
      <c r="A9" s="12">
        <v>6</v>
      </c>
      <c r="B9" s="12"/>
      <c r="L9" s="11"/>
    </row>
    <row r="10" spans="1:84" s="7" customFormat="1" ht="25.5" hidden="1">
      <c r="A10" s="6"/>
      <c r="K10" s="468"/>
      <c r="L10" s="476">
        <f>emeth_Dbj</f>
        <v>8</v>
      </c>
      <c r="M10" s="481">
        <f t="shared" ref="M10:AR10" si="0">IF((L10+emeth_Paj)=(emeth_Hpj+emeth_Dbj),emeth_Dbj,L10+emeth_Paj)</f>
        <v>8.25</v>
      </c>
      <c r="N10" s="481">
        <f t="shared" si="0"/>
        <v>8.5</v>
      </c>
      <c r="O10" s="497">
        <f t="shared" si="0"/>
        <v>8.75</v>
      </c>
      <c r="P10" s="482">
        <f t="shared" si="0"/>
        <v>9</v>
      </c>
      <c r="Q10" s="481">
        <f t="shared" si="0"/>
        <v>9.25</v>
      </c>
      <c r="R10" s="481">
        <f t="shared" si="0"/>
        <v>9.5</v>
      </c>
      <c r="S10" s="497">
        <f t="shared" si="0"/>
        <v>9.75</v>
      </c>
      <c r="T10" s="482">
        <f t="shared" si="0"/>
        <v>10</v>
      </c>
      <c r="U10" s="481">
        <f t="shared" si="0"/>
        <v>10.25</v>
      </c>
      <c r="V10" s="481">
        <f t="shared" si="0"/>
        <v>10.5</v>
      </c>
      <c r="W10" s="497">
        <f t="shared" si="0"/>
        <v>10.75</v>
      </c>
      <c r="X10" s="482">
        <f t="shared" si="0"/>
        <v>11</v>
      </c>
      <c r="Y10" s="481">
        <f t="shared" si="0"/>
        <v>11.25</v>
      </c>
      <c r="Z10" s="481">
        <f t="shared" si="0"/>
        <v>11.5</v>
      </c>
      <c r="AA10" s="497">
        <f t="shared" si="0"/>
        <v>11.75</v>
      </c>
      <c r="AB10" s="482">
        <f t="shared" si="0"/>
        <v>12</v>
      </c>
      <c r="AC10" s="481">
        <f t="shared" si="0"/>
        <v>12.25</v>
      </c>
      <c r="AD10" s="481">
        <f t="shared" si="0"/>
        <v>12.5</v>
      </c>
      <c r="AE10" s="497">
        <f t="shared" si="0"/>
        <v>12.75</v>
      </c>
      <c r="AF10" s="482">
        <f t="shared" si="0"/>
        <v>13</v>
      </c>
      <c r="AG10" s="481">
        <f t="shared" si="0"/>
        <v>13.25</v>
      </c>
      <c r="AH10" s="481">
        <f t="shared" si="0"/>
        <v>13.5</v>
      </c>
      <c r="AI10" s="497">
        <f t="shared" si="0"/>
        <v>13.75</v>
      </c>
      <c r="AJ10" s="482">
        <f t="shared" si="0"/>
        <v>14</v>
      </c>
      <c r="AK10" s="481">
        <f t="shared" si="0"/>
        <v>14.25</v>
      </c>
      <c r="AL10" s="481">
        <f t="shared" si="0"/>
        <v>14.5</v>
      </c>
      <c r="AM10" s="497">
        <f t="shared" si="0"/>
        <v>14.75</v>
      </c>
      <c r="AN10" s="482">
        <f t="shared" si="0"/>
        <v>15</v>
      </c>
      <c r="AO10" s="481">
        <f t="shared" si="0"/>
        <v>15.25</v>
      </c>
      <c r="AP10" s="481">
        <f t="shared" si="0"/>
        <v>15.5</v>
      </c>
      <c r="AQ10" s="501">
        <f t="shared" si="0"/>
        <v>15.75</v>
      </c>
      <c r="AR10" s="483">
        <f t="shared" si="0"/>
        <v>16</v>
      </c>
      <c r="AS10" s="481">
        <f t="shared" ref="AS10:BX10" si="1">IF((AR10+emeth_Paj)=(emeth_Hpj+emeth_Dbj),emeth_Dbj,AR10+emeth_Paj)</f>
        <v>16.25</v>
      </c>
      <c r="AT10" s="481">
        <f t="shared" si="1"/>
        <v>16.5</v>
      </c>
      <c r="AU10" s="497">
        <f t="shared" si="1"/>
        <v>16.75</v>
      </c>
      <c r="AV10" s="482">
        <f t="shared" si="1"/>
        <v>17</v>
      </c>
      <c r="AW10" s="481">
        <f t="shared" si="1"/>
        <v>17.25</v>
      </c>
      <c r="AX10" s="481">
        <f t="shared" si="1"/>
        <v>17.5</v>
      </c>
      <c r="AY10" s="497">
        <f t="shared" si="1"/>
        <v>17.75</v>
      </c>
      <c r="AZ10" s="482">
        <f t="shared" si="1"/>
        <v>8</v>
      </c>
      <c r="BA10" s="481">
        <f t="shared" si="1"/>
        <v>8.25</v>
      </c>
      <c r="BB10" s="481">
        <f t="shared" si="1"/>
        <v>8.5</v>
      </c>
      <c r="BC10" s="497">
        <f t="shared" si="1"/>
        <v>8.75</v>
      </c>
      <c r="BD10" s="482">
        <f t="shared" si="1"/>
        <v>9</v>
      </c>
      <c r="BE10" s="481">
        <f t="shared" si="1"/>
        <v>9.25</v>
      </c>
      <c r="BF10" s="481">
        <f t="shared" si="1"/>
        <v>9.5</v>
      </c>
      <c r="BG10" s="497">
        <f t="shared" si="1"/>
        <v>9.75</v>
      </c>
      <c r="BH10" s="482">
        <f t="shared" si="1"/>
        <v>10</v>
      </c>
      <c r="BI10" s="481">
        <f t="shared" si="1"/>
        <v>10.25</v>
      </c>
      <c r="BJ10" s="481">
        <f t="shared" si="1"/>
        <v>10.5</v>
      </c>
      <c r="BK10" s="497">
        <f t="shared" si="1"/>
        <v>10.75</v>
      </c>
      <c r="BL10" s="482">
        <f t="shared" si="1"/>
        <v>11</v>
      </c>
      <c r="BM10" s="481">
        <f t="shared" si="1"/>
        <v>11.25</v>
      </c>
      <c r="BN10" s="481">
        <f t="shared" si="1"/>
        <v>11.5</v>
      </c>
      <c r="BO10" s="497">
        <f t="shared" si="1"/>
        <v>11.75</v>
      </c>
      <c r="BP10" s="482">
        <f t="shared" si="1"/>
        <v>12</v>
      </c>
      <c r="BQ10" s="481">
        <f t="shared" si="1"/>
        <v>12.25</v>
      </c>
      <c r="BR10" s="481">
        <f t="shared" si="1"/>
        <v>12.5</v>
      </c>
      <c r="BS10" s="497">
        <f t="shared" si="1"/>
        <v>12.75</v>
      </c>
      <c r="BT10" s="482">
        <f t="shared" si="1"/>
        <v>13</v>
      </c>
      <c r="BU10" s="481">
        <f t="shared" si="1"/>
        <v>13.25</v>
      </c>
      <c r="BV10" s="481">
        <f t="shared" si="1"/>
        <v>13.5</v>
      </c>
      <c r="BW10" s="501">
        <f t="shared" si="1"/>
        <v>13.75</v>
      </c>
      <c r="BX10" s="483">
        <f t="shared" si="1"/>
        <v>14</v>
      </c>
      <c r="BY10" s="481">
        <f t="shared" ref="BY10:CE10" si="2">IF((BX10+emeth_Paj)=(emeth_Hpj+emeth_Dbj),emeth_Dbj,BX10+emeth_Paj)</f>
        <v>14.25</v>
      </c>
      <c r="BZ10" s="481">
        <f t="shared" si="2"/>
        <v>14.5</v>
      </c>
      <c r="CA10" s="497">
        <f t="shared" si="2"/>
        <v>14.75</v>
      </c>
      <c r="CB10" s="482">
        <f t="shared" si="2"/>
        <v>15</v>
      </c>
      <c r="CC10" s="481">
        <f t="shared" si="2"/>
        <v>15.25</v>
      </c>
      <c r="CD10" s="481">
        <f t="shared" si="2"/>
        <v>15.5</v>
      </c>
      <c r="CE10" s="481">
        <f t="shared" si="2"/>
        <v>15.75</v>
      </c>
    </row>
    <row r="11" spans="1:84" s="477" customFormat="1" ht="39" hidden="1">
      <c r="A11" s="457"/>
      <c r="K11" s="478"/>
      <c r="L11" s="476">
        <f>H1</f>
        <v>39854</v>
      </c>
      <c r="M11" s="481">
        <f t="shared" ref="M11:AR11" si="3">IF(M10=emeth_Dbj,L11+1,L11)</f>
        <v>39854</v>
      </c>
      <c r="N11" s="481">
        <f t="shared" si="3"/>
        <v>39854</v>
      </c>
      <c r="O11" s="497">
        <f t="shared" si="3"/>
        <v>39854</v>
      </c>
      <c r="P11" s="482">
        <f t="shared" si="3"/>
        <v>39854</v>
      </c>
      <c r="Q11" s="481">
        <f t="shared" si="3"/>
        <v>39854</v>
      </c>
      <c r="R11" s="481">
        <f t="shared" si="3"/>
        <v>39854</v>
      </c>
      <c r="S11" s="497">
        <f t="shared" si="3"/>
        <v>39854</v>
      </c>
      <c r="T11" s="482">
        <f t="shared" si="3"/>
        <v>39854</v>
      </c>
      <c r="U11" s="481">
        <f t="shared" si="3"/>
        <v>39854</v>
      </c>
      <c r="V11" s="481">
        <f t="shared" si="3"/>
        <v>39854</v>
      </c>
      <c r="W11" s="497">
        <f t="shared" si="3"/>
        <v>39854</v>
      </c>
      <c r="X11" s="482">
        <f t="shared" si="3"/>
        <v>39854</v>
      </c>
      <c r="Y11" s="481">
        <f t="shared" si="3"/>
        <v>39854</v>
      </c>
      <c r="Z11" s="481">
        <f t="shared" si="3"/>
        <v>39854</v>
      </c>
      <c r="AA11" s="497">
        <f t="shared" si="3"/>
        <v>39854</v>
      </c>
      <c r="AB11" s="482">
        <f t="shared" si="3"/>
        <v>39854</v>
      </c>
      <c r="AC11" s="481">
        <f t="shared" si="3"/>
        <v>39854</v>
      </c>
      <c r="AD11" s="481">
        <f t="shared" si="3"/>
        <v>39854</v>
      </c>
      <c r="AE11" s="497">
        <f t="shared" si="3"/>
        <v>39854</v>
      </c>
      <c r="AF11" s="482">
        <f t="shared" si="3"/>
        <v>39854</v>
      </c>
      <c r="AG11" s="481">
        <f t="shared" si="3"/>
        <v>39854</v>
      </c>
      <c r="AH11" s="481">
        <f t="shared" si="3"/>
        <v>39854</v>
      </c>
      <c r="AI11" s="497">
        <f t="shared" si="3"/>
        <v>39854</v>
      </c>
      <c r="AJ11" s="482">
        <f t="shared" si="3"/>
        <v>39854</v>
      </c>
      <c r="AK11" s="481">
        <f t="shared" si="3"/>
        <v>39854</v>
      </c>
      <c r="AL11" s="481">
        <f t="shared" si="3"/>
        <v>39854</v>
      </c>
      <c r="AM11" s="497">
        <f t="shared" si="3"/>
        <v>39854</v>
      </c>
      <c r="AN11" s="482">
        <f t="shared" si="3"/>
        <v>39854</v>
      </c>
      <c r="AO11" s="481">
        <f t="shared" si="3"/>
        <v>39854</v>
      </c>
      <c r="AP11" s="481">
        <f t="shared" si="3"/>
        <v>39854</v>
      </c>
      <c r="AQ11" s="497">
        <f t="shared" si="3"/>
        <v>39854</v>
      </c>
      <c r="AR11" s="482">
        <f t="shared" si="3"/>
        <v>39854</v>
      </c>
      <c r="AS11" s="481">
        <f t="shared" ref="AS11:BX11" si="4">IF(AS10=emeth_Dbj,AR11+1,AR11)</f>
        <v>39854</v>
      </c>
      <c r="AT11" s="481">
        <f t="shared" si="4"/>
        <v>39854</v>
      </c>
      <c r="AU11" s="497">
        <f t="shared" si="4"/>
        <v>39854</v>
      </c>
      <c r="AV11" s="482">
        <f t="shared" si="4"/>
        <v>39854</v>
      </c>
      <c r="AW11" s="481">
        <f t="shared" si="4"/>
        <v>39854</v>
      </c>
      <c r="AX11" s="481">
        <f t="shared" si="4"/>
        <v>39854</v>
      </c>
      <c r="AY11" s="501">
        <f t="shared" si="4"/>
        <v>39854</v>
      </c>
      <c r="AZ11" s="483">
        <f t="shared" si="4"/>
        <v>39855</v>
      </c>
      <c r="BA11" s="481">
        <f t="shared" si="4"/>
        <v>39855</v>
      </c>
      <c r="BB11" s="481">
        <f t="shared" si="4"/>
        <v>39855</v>
      </c>
      <c r="BC11" s="497">
        <f t="shared" si="4"/>
        <v>39855</v>
      </c>
      <c r="BD11" s="482">
        <f t="shared" si="4"/>
        <v>39855</v>
      </c>
      <c r="BE11" s="481">
        <f t="shared" si="4"/>
        <v>39855</v>
      </c>
      <c r="BF11" s="481">
        <f t="shared" si="4"/>
        <v>39855</v>
      </c>
      <c r="BG11" s="497">
        <f t="shared" si="4"/>
        <v>39855</v>
      </c>
      <c r="BH11" s="482">
        <f t="shared" si="4"/>
        <v>39855</v>
      </c>
      <c r="BI11" s="481">
        <f t="shared" si="4"/>
        <v>39855</v>
      </c>
      <c r="BJ11" s="481">
        <f t="shared" si="4"/>
        <v>39855</v>
      </c>
      <c r="BK11" s="497">
        <f t="shared" si="4"/>
        <v>39855</v>
      </c>
      <c r="BL11" s="482">
        <f t="shared" si="4"/>
        <v>39855</v>
      </c>
      <c r="BM11" s="481">
        <f t="shared" si="4"/>
        <v>39855</v>
      </c>
      <c r="BN11" s="481">
        <f t="shared" si="4"/>
        <v>39855</v>
      </c>
      <c r="BO11" s="497">
        <f t="shared" si="4"/>
        <v>39855</v>
      </c>
      <c r="BP11" s="482">
        <f t="shared" si="4"/>
        <v>39855</v>
      </c>
      <c r="BQ11" s="481">
        <f t="shared" si="4"/>
        <v>39855</v>
      </c>
      <c r="BR11" s="481">
        <f t="shared" si="4"/>
        <v>39855</v>
      </c>
      <c r="BS11" s="497">
        <f t="shared" si="4"/>
        <v>39855</v>
      </c>
      <c r="BT11" s="482">
        <f t="shared" si="4"/>
        <v>39855</v>
      </c>
      <c r="BU11" s="481">
        <f t="shared" si="4"/>
        <v>39855</v>
      </c>
      <c r="BV11" s="481">
        <f t="shared" si="4"/>
        <v>39855</v>
      </c>
      <c r="BW11" s="497">
        <f t="shared" si="4"/>
        <v>39855</v>
      </c>
      <c r="BX11" s="482">
        <f t="shared" si="4"/>
        <v>39855</v>
      </c>
      <c r="BY11" s="481">
        <f t="shared" ref="BY11:CE11" si="5">IF(BY10=emeth_Dbj,BX11+1,BX11)</f>
        <v>39855</v>
      </c>
      <c r="BZ11" s="481">
        <f t="shared" si="5"/>
        <v>39855</v>
      </c>
      <c r="CA11" s="497">
        <f t="shared" si="5"/>
        <v>39855</v>
      </c>
      <c r="CB11" s="482">
        <f t="shared" si="5"/>
        <v>39855</v>
      </c>
      <c r="CC11" s="481">
        <f t="shared" si="5"/>
        <v>39855</v>
      </c>
      <c r="CD11" s="481">
        <f t="shared" si="5"/>
        <v>39855</v>
      </c>
      <c r="CE11" s="481">
        <f t="shared" si="5"/>
        <v>39855</v>
      </c>
    </row>
    <row r="12" spans="1:84" s="7" customFormat="1" ht="21.75">
      <c r="A12" s="6" t="s">
        <v>527</v>
      </c>
      <c r="D12" s="7">
        <v>10</v>
      </c>
      <c r="G12" s="7" t="s">
        <v>529</v>
      </c>
      <c r="H12" s="14">
        <v>0.25</v>
      </c>
      <c r="J12" s="4"/>
      <c r="K12" s="454" t="s">
        <v>512</v>
      </c>
      <c r="L12" s="465">
        <f>IF(L11=K10,"",L11)</f>
        <v>39854</v>
      </c>
      <c r="M12" s="463" t="str">
        <f t="shared" ref="M12:AR12" si="6">IF(M11=L11,"",M11)</f>
        <v/>
      </c>
      <c r="N12" s="463" t="str">
        <f t="shared" si="6"/>
        <v/>
      </c>
      <c r="O12" s="498" t="str">
        <f t="shared" si="6"/>
        <v/>
      </c>
      <c r="P12" s="452" t="str">
        <f t="shared" si="6"/>
        <v/>
      </c>
      <c r="Q12" s="463" t="str">
        <f t="shared" si="6"/>
        <v/>
      </c>
      <c r="R12" s="463" t="str">
        <f t="shared" si="6"/>
        <v/>
      </c>
      <c r="S12" s="498" t="str">
        <f t="shared" si="6"/>
        <v/>
      </c>
      <c r="T12" s="452" t="str">
        <f t="shared" si="6"/>
        <v/>
      </c>
      <c r="U12" s="463" t="str">
        <f t="shared" si="6"/>
        <v/>
      </c>
      <c r="V12" s="463" t="str">
        <f t="shared" si="6"/>
        <v/>
      </c>
      <c r="W12" s="498" t="str">
        <f t="shared" si="6"/>
        <v/>
      </c>
      <c r="X12" s="452" t="str">
        <f t="shared" si="6"/>
        <v/>
      </c>
      <c r="Y12" s="463" t="str">
        <f t="shared" si="6"/>
        <v/>
      </c>
      <c r="Z12" s="463" t="str">
        <f t="shared" si="6"/>
        <v/>
      </c>
      <c r="AA12" s="498" t="str">
        <f t="shared" si="6"/>
        <v/>
      </c>
      <c r="AB12" s="452" t="str">
        <f t="shared" si="6"/>
        <v/>
      </c>
      <c r="AC12" s="463" t="str">
        <f t="shared" si="6"/>
        <v/>
      </c>
      <c r="AD12" s="463" t="str">
        <f t="shared" si="6"/>
        <v/>
      </c>
      <c r="AE12" s="498" t="str">
        <f t="shared" si="6"/>
        <v/>
      </c>
      <c r="AF12" s="452" t="str">
        <f t="shared" si="6"/>
        <v/>
      </c>
      <c r="AG12" s="463" t="str">
        <f t="shared" si="6"/>
        <v/>
      </c>
      <c r="AH12" s="463" t="str">
        <f t="shared" si="6"/>
        <v/>
      </c>
      <c r="AI12" s="498" t="str">
        <f t="shared" si="6"/>
        <v/>
      </c>
      <c r="AJ12" s="452" t="str">
        <f t="shared" si="6"/>
        <v/>
      </c>
      <c r="AK12" s="463" t="str">
        <f t="shared" si="6"/>
        <v/>
      </c>
      <c r="AL12" s="463" t="str">
        <f t="shared" si="6"/>
        <v/>
      </c>
      <c r="AM12" s="498" t="str">
        <f t="shared" si="6"/>
        <v/>
      </c>
      <c r="AN12" s="452" t="str">
        <f t="shared" si="6"/>
        <v/>
      </c>
      <c r="AO12" s="463" t="str">
        <f t="shared" si="6"/>
        <v/>
      </c>
      <c r="AP12" s="463" t="str">
        <f t="shared" si="6"/>
        <v/>
      </c>
      <c r="AQ12" s="498" t="str">
        <f t="shared" si="6"/>
        <v/>
      </c>
      <c r="AR12" s="452" t="str">
        <f t="shared" si="6"/>
        <v/>
      </c>
      <c r="AS12" s="463" t="str">
        <f t="shared" ref="AS12:BX12" si="7">IF(AS11=AR11,"",AS11)</f>
        <v/>
      </c>
      <c r="AT12" s="463" t="str">
        <f t="shared" si="7"/>
        <v/>
      </c>
      <c r="AU12" s="498" t="str">
        <f t="shared" si="7"/>
        <v/>
      </c>
      <c r="AV12" s="452" t="str">
        <f t="shared" si="7"/>
        <v/>
      </c>
      <c r="AW12" s="463" t="str">
        <f t="shared" si="7"/>
        <v/>
      </c>
      <c r="AX12" s="463" t="str">
        <f t="shared" si="7"/>
        <v/>
      </c>
      <c r="AY12" s="502" t="str">
        <f t="shared" si="7"/>
        <v/>
      </c>
      <c r="AZ12" s="465">
        <f t="shared" si="7"/>
        <v>39855</v>
      </c>
      <c r="BA12" s="463" t="str">
        <f t="shared" si="7"/>
        <v/>
      </c>
      <c r="BB12" s="463" t="str">
        <f t="shared" si="7"/>
        <v/>
      </c>
      <c r="BC12" s="498" t="str">
        <f t="shared" si="7"/>
        <v/>
      </c>
      <c r="BD12" s="452" t="str">
        <f t="shared" si="7"/>
        <v/>
      </c>
      <c r="BE12" s="463" t="str">
        <f t="shared" si="7"/>
        <v/>
      </c>
      <c r="BF12" s="463" t="str">
        <f t="shared" si="7"/>
        <v/>
      </c>
      <c r="BG12" s="498" t="str">
        <f t="shared" si="7"/>
        <v/>
      </c>
      <c r="BH12" s="452" t="str">
        <f t="shared" si="7"/>
        <v/>
      </c>
      <c r="BI12" s="463" t="str">
        <f t="shared" si="7"/>
        <v/>
      </c>
      <c r="BJ12" s="463" t="str">
        <f t="shared" si="7"/>
        <v/>
      </c>
      <c r="BK12" s="498" t="str">
        <f t="shared" si="7"/>
        <v/>
      </c>
      <c r="BL12" s="452" t="str">
        <f t="shared" si="7"/>
        <v/>
      </c>
      <c r="BM12" s="463" t="str">
        <f t="shared" si="7"/>
        <v/>
      </c>
      <c r="BN12" s="463" t="str">
        <f t="shared" si="7"/>
        <v/>
      </c>
      <c r="BO12" s="498" t="str">
        <f t="shared" si="7"/>
        <v/>
      </c>
      <c r="BP12" s="452" t="str">
        <f t="shared" si="7"/>
        <v/>
      </c>
      <c r="BQ12" s="463" t="str">
        <f t="shared" si="7"/>
        <v/>
      </c>
      <c r="BR12" s="463" t="str">
        <f t="shared" si="7"/>
        <v/>
      </c>
      <c r="BS12" s="498" t="str">
        <f t="shared" si="7"/>
        <v/>
      </c>
      <c r="BT12" s="452" t="str">
        <f t="shared" si="7"/>
        <v/>
      </c>
      <c r="BU12" s="463" t="str">
        <f t="shared" si="7"/>
        <v/>
      </c>
      <c r="BV12" s="463" t="str">
        <f t="shared" si="7"/>
        <v/>
      </c>
      <c r="BW12" s="498" t="str">
        <f t="shared" si="7"/>
        <v/>
      </c>
      <c r="BX12" s="452" t="str">
        <f t="shared" si="7"/>
        <v/>
      </c>
      <c r="BY12" s="463" t="str">
        <f t="shared" ref="BY12:CE12" si="8">IF(BY11=BX11,"",BY11)</f>
        <v/>
      </c>
      <c r="BZ12" s="463" t="str">
        <f t="shared" si="8"/>
        <v/>
      </c>
      <c r="CA12" s="498" t="str">
        <f t="shared" si="8"/>
        <v/>
      </c>
      <c r="CB12" s="452" t="str">
        <f t="shared" si="8"/>
        <v/>
      </c>
      <c r="CC12" s="463" t="str">
        <f t="shared" si="8"/>
        <v/>
      </c>
      <c r="CD12" s="463" t="str">
        <f t="shared" si="8"/>
        <v/>
      </c>
      <c r="CE12" s="463" t="str">
        <f t="shared" si="8"/>
        <v/>
      </c>
    </row>
    <row r="13" spans="1:84" ht="43.5" customHeight="1">
      <c r="A13" s="9" t="s">
        <v>528</v>
      </c>
      <c r="B13" s="10"/>
      <c r="C13" s="10"/>
      <c r="D13" s="10">
        <v>8</v>
      </c>
      <c r="E13" s="10"/>
      <c r="F13" s="10"/>
      <c r="G13" s="10"/>
      <c r="H13" s="10"/>
      <c r="I13" s="10"/>
      <c r="J13" s="5"/>
      <c r="K13" s="456" t="s">
        <v>519</v>
      </c>
      <c r="L13" s="466">
        <f t="shared" ref="L13:AQ13" si="9">L10/24</f>
        <v>0.33333333333333331</v>
      </c>
      <c r="M13" s="464">
        <f t="shared" si="9"/>
        <v>0.34375</v>
      </c>
      <c r="N13" s="464">
        <f t="shared" si="9"/>
        <v>0.35416666666666669</v>
      </c>
      <c r="O13" s="499">
        <f t="shared" si="9"/>
        <v>0.36458333333333331</v>
      </c>
      <c r="P13" s="453">
        <f t="shared" si="9"/>
        <v>0.375</v>
      </c>
      <c r="Q13" s="464">
        <f t="shared" si="9"/>
        <v>0.38541666666666669</v>
      </c>
      <c r="R13" s="464">
        <f t="shared" si="9"/>
        <v>0.39583333333333331</v>
      </c>
      <c r="S13" s="499">
        <f t="shared" si="9"/>
        <v>0.40625</v>
      </c>
      <c r="T13" s="453">
        <f t="shared" si="9"/>
        <v>0.41666666666666669</v>
      </c>
      <c r="U13" s="464">
        <f t="shared" si="9"/>
        <v>0.42708333333333331</v>
      </c>
      <c r="V13" s="464">
        <f t="shared" si="9"/>
        <v>0.4375</v>
      </c>
      <c r="W13" s="499">
        <f t="shared" si="9"/>
        <v>0.44791666666666669</v>
      </c>
      <c r="X13" s="453">
        <f t="shared" si="9"/>
        <v>0.45833333333333331</v>
      </c>
      <c r="Y13" s="464">
        <f t="shared" si="9"/>
        <v>0.46875</v>
      </c>
      <c r="Z13" s="464">
        <f t="shared" si="9"/>
        <v>0.47916666666666669</v>
      </c>
      <c r="AA13" s="499">
        <f t="shared" si="9"/>
        <v>0.48958333333333331</v>
      </c>
      <c r="AB13" s="453">
        <f t="shared" si="9"/>
        <v>0.5</v>
      </c>
      <c r="AC13" s="464">
        <f t="shared" si="9"/>
        <v>0.51041666666666663</v>
      </c>
      <c r="AD13" s="464">
        <f t="shared" si="9"/>
        <v>0.52083333333333337</v>
      </c>
      <c r="AE13" s="499">
        <f t="shared" si="9"/>
        <v>0.53125</v>
      </c>
      <c r="AF13" s="453">
        <f t="shared" si="9"/>
        <v>0.54166666666666663</v>
      </c>
      <c r="AG13" s="464">
        <f t="shared" si="9"/>
        <v>0.55208333333333337</v>
      </c>
      <c r="AH13" s="464">
        <f t="shared" si="9"/>
        <v>0.5625</v>
      </c>
      <c r="AI13" s="499">
        <f t="shared" si="9"/>
        <v>0.57291666666666663</v>
      </c>
      <c r="AJ13" s="453">
        <f t="shared" si="9"/>
        <v>0.58333333333333337</v>
      </c>
      <c r="AK13" s="464">
        <f t="shared" si="9"/>
        <v>0.59375</v>
      </c>
      <c r="AL13" s="464">
        <f t="shared" si="9"/>
        <v>0.60416666666666663</v>
      </c>
      <c r="AM13" s="499">
        <f t="shared" si="9"/>
        <v>0.61458333333333337</v>
      </c>
      <c r="AN13" s="453">
        <f t="shared" si="9"/>
        <v>0.625</v>
      </c>
      <c r="AO13" s="464">
        <f t="shared" si="9"/>
        <v>0.63541666666666663</v>
      </c>
      <c r="AP13" s="464">
        <f t="shared" si="9"/>
        <v>0.64583333333333337</v>
      </c>
      <c r="AQ13" s="499">
        <f t="shared" si="9"/>
        <v>0.65625</v>
      </c>
      <c r="AR13" s="453">
        <f t="shared" ref="AR13:BW13" si="10">AR10/24</f>
        <v>0.66666666666666663</v>
      </c>
      <c r="AS13" s="464">
        <f t="shared" si="10"/>
        <v>0.67708333333333337</v>
      </c>
      <c r="AT13" s="464">
        <f t="shared" si="10"/>
        <v>0.6875</v>
      </c>
      <c r="AU13" s="499">
        <f t="shared" si="10"/>
        <v>0.69791666666666663</v>
      </c>
      <c r="AV13" s="453">
        <f t="shared" si="10"/>
        <v>0.70833333333333337</v>
      </c>
      <c r="AW13" s="464">
        <f t="shared" si="10"/>
        <v>0.71875</v>
      </c>
      <c r="AX13" s="464">
        <f t="shared" si="10"/>
        <v>0.72916666666666663</v>
      </c>
      <c r="AY13" s="503">
        <f t="shared" si="10"/>
        <v>0.73958333333333337</v>
      </c>
      <c r="AZ13" s="466">
        <f t="shared" si="10"/>
        <v>0.33333333333333331</v>
      </c>
      <c r="BA13" s="464">
        <f t="shared" si="10"/>
        <v>0.34375</v>
      </c>
      <c r="BB13" s="464">
        <f t="shared" si="10"/>
        <v>0.35416666666666669</v>
      </c>
      <c r="BC13" s="499">
        <f t="shared" si="10"/>
        <v>0.36458333333333331</v>
      </c>
      <c r="BD13" s="453">
        <f t="shared" si="10"/>
        <v>0.375</v>
      </c>
      <c r="BE13" s="464">
        <f t="shared" si="10"/>
        <v>0.38541666666666669</v>
      </c>
      <c r="BF13" s="464">
        <f t="shared" si="10"/>
        <v>0.39583333333333331</v>
      </c>
      <c r="BG13" s="499">
        <f t="shared" si="10"/>
        <v>0.40625</v>
      </c>
      <c r="BH13" s="453">
        <f t="shared" si="10"/>
        <v>0.41666666666666669</v>
      </c>
      <c r="BI13" s="464">
        <f t="shared" si="10"/>
        <v>0.42708333333333331</v>
      </c>
      <c r="BJ13" s="464">
        <f t="shared" si="10"/>
        <v>0.4375</v>
      </c>
      <c r="BK13" s="499">
        <f t="shared" si="10"/>
        <v>0.44791666666666669</v>
      </c>
      <c r="BL13" s="453">
        <f t="shared" si="10"/>
        <v>0.45833333333333331</v>
      </c>
      <c r="BM13" s="464">
        <f t="shared" si="10"/>
        <v>0.46875</v>
      </c>
      <c r="BN13" s="464">
        <f t="shared" si="10"/>
        <v>0.47916666666666669</v>
      </c>
      <c r="BO13" s="499">
        <f t="shared" si="10"/>
        <v>0.48958333333333331</v>
      </c>
      <c r="BP13" s="453">
        <f t="shared" si="10"/>
        <v>0.5</v>
      </c>
      <c r="BQ13" s="464">
        <f t="shared" si="10"/>
        <v>0.51041666666666663</v>
      </c>
      <c r="BR13" s="464">
        <f t="shared" si="10"/>
        <v>0.52083333333333337</v>
      </c>
      <c r="BS13" s="499">
        <f t="shared" si="10"/>
        <v>0.53125</v>
      </c>
      <c r="BT13" s="453">
        <f t="shared" si="10"/>
        <v>0.54166666666666663</v>
      </c>
      <c r="BU13" s="464">
        <f t="shared" si="10"/>
        <v>0.55208333333333337</v>
      </c>
      <c r="BV13" s="464">
        <f t="shared" si="10"/>
        <v>0.5625</v>
      </c>
      <c r="BW13" s="499">
        <f t="shared" si="10"/>
        <v>0.57291666666666663</v>
      </c>
      <c r="BX13" s="453">
        <f t="shared" ref="BX13:CE13" si="11">BX10/24</f>
        <v>0.58333333333333337</v>
      </c>
      <c r="BY13" s="464">
        <f t="shared" si="11"/>
        <v>0.59375</v>
      </c>
      <c r="BZ13" s="464">
        <f t="shared" si="11"/>
        <v>0.60416666666666663</v>
      </c>
      <c r="CA13" s="499">
        <f t="shared" si="11"/>
        <v>0.61458333333333337</v>
      </c>
      <c r="CB13" s="453">
        <f t="shared" si="11"/>
        <v>0.625</v>
      </c>
      <c r="CC13" s="464">
        <f t="shared" si="11"/>
        <v>0.63541666666666663</v>
      </c>
      <c r="CD13" s="464">
        <f t="shared" si="11"/>
        <v>0.64583333333333337</v>
      </c>
      <c r="CE13" s="464">
        <f t="shared" si="11"/>
        <v>0.65625</v>
      </c>
    </row>
    <row r="14" spans="1:84" s="10" customFormat="1">
      <c r="A14" s="1" t="s">
        <v>520</v>
      </c>
      <c r="B14" s="1" t="s">
        <v>521</v>
      </c>
      <c r="C14" s="2"/>
      <c r="D14" s="2" t="s">
        <v>522</v>
      </c>
      <c r="E14" s="2" t="s">
        <v>523</v>
      </c>
      <c r="F14" s="2" t="s">
        <v>524</v>
      </c>
      <c r="G14" s="2" t="s">
        <v>525</v>
      </c>
      <c r="H14" s="2" t="s">
        <v>526</v>
      </c>
      <c r="I14" s="2" t="s">
        <v>530</v>
      </c>
      <c r="J14" s="3" t="s">
        <v>531</v>
      </c>
      <c r="K14" s="455" t="s">
        <v>469</v>
      </c>
      <c r="L14" s="493">
        <f t="shared" ref="L14:AQ14" si="12">IF(MINUTE(L13)=0,HOUR(L13)-emeth_Dbj,"")</f>
        <v>0</v>
      </c>
      <c r="M14" s="494" t="str">
        <f t="shared" si="12"/>
        <v/>
      </c>
      <c r="N14" s="494" t="str">
        <f t="shared" si="12"/>
        <v/>
      </c>
      <c r="O14" s="500" t="str">
        <f t="shared" si="12"/>
        <v/>
      </c>
      <c r="P14" s="495">
        <f t="shared" si="12"/>
        <v>1</v>
      </c>
      <c r="Q14" s="494" t="str">
        <f t="shared" si="12"/>
        <v/>
      </c>
      <c r="R14" s="494" t="str">
        <f t="shared" si="12"/>
        <v/>
      </c>
      <c r="S14" s="500" t="str">
        <f t="shared" si="12"/>
        <v/>
      </c>
      <c r="T14" s="495">
        <f t="shared" si="12"/>
        <v>2</v>
      </c>
      <c r="U14" s="494" t="str">
        <f t="shared" si="12"/>
        <v/>
      </c>
      <c r="V14" s="494" t="str">
        <f t="shared" si="12"/>
        <v/>
      </c>
      <c r="W14" s="500" t="str">
        <f t="shared" si="12"/>
        <v/>
      </c>
      <c r="X14" s="495">
        <f t="shared" si="12"/>
        <v>3</v>
      </c>
      <c r="Y14" s="494" t="str">
        <f t="shared" si="12"/>
        <v/>
      </c>
      <c r="Z14" s="494" t="str">
        <f t="shared" si="12"/>
        <v/>
      </c>
      <c r="AA14" s="500" t="str">
        <f t="shared" si="12"/>
        <v/>
      </c>
      <c r="AB14" s="495">
        <f t="shared" si="12"/>
        <v>4</v>
      </c>
      <c r="AC14" s="494" t="str">
        <f t="shared" si="12"/>
        <v/>
      </c>
      <c r="AD14" s="494" t="str">
        <f t="shared" si="12"/>
        <v/>
      </c>
      <c r="AE14" s="500" t="str">
        <f t="shared" si="12"/>
        <v/>
      </c>
      <c r="AF14" s="495">
        <f t="shared" si="12"/>
        <v>5</v>
      </c>
      <c r="AG14" s="494" t="str">
        <f t="shared" si="12"/>
        <v/>
      </c>
      <c r="AH14" s="494" t="str">
        <f t="shared" si="12"/>
        <v/>
      </c>
      <c r="AI14" s="500" t="str">
        <f t="shared" si="12"/>
        <v/>
      </c>
      <c r="AJ14" s="495">
        <f t="shared" si="12"/>
        <v>6</v>
      </c>
      <c r="AK14" s="494" t="str">
        <f t="shared" si="12"/>
        <v/>
      </c>
      <c r="AL14" s="494" t="str">
        <f t="shared" si="12"/>
        <v/>
      </c>
      <c r="AM14" s="500" t="str">
        <f t="shared" si="12"/>
        <v/>
      </c>
      <c r="AN14" s="495">
        <f t="shared" si="12"/>
        <v>7</v>
      </c>
      <c r="AO14" s="494" t="str">
        <f t="shared" si="12"/>
        <v/>
      </c>
      <c r="AP14" s="494" t="str">
        <f t="shared" si="12"/>
        <v/>
      </c>
      <c r="AQ14" s="500" t="str">
        <f t="shared" si="12"/>
        <v/>
      </c>
      <c r="AR14" s="495">
        <f t="shared" ref="AR14:BW14" si="13">IF(MINUTE(AR13)=0,HOUR(AR13)-emeth_Dbj,"")</f>
        <v>8</v>
      </c>
      <c r="AS14" s="494" t="str">
        <f t="shared" si="13"/>
        <v/>
      </c>
      <c r="AT14" s="494" t="str">
        <f t="shared" si="13"/>
        <v/>
      </c>
      <c r="AU14" s="500" t="str">
        <f t="shared" si="13"/>
        <v/>
      </c>
      <c r="AV14" s="495">
        <f t="shared" si="13"/>
        <v>9</v>
      </c>
      <c r="AW14" s="494" t="str">
        <f t="shared" si="13"/>
        <v/>
      </c>
      <c r="AX14" s="494" t="str">
        <f t="shared" si="13"/>
        <v/>
      </c>
      <c r="AY14" s="504" t="str">
        <f t="shared" si="13"/>
        <v/>
      </c>
      <c r="AZ14" s="493">
        <f t="shared" si="13"/>
        <v>0</v>
      </c>
      <c r="BA14" s="494" t="str">
        <f t="shared" si="13"/>
        <v/>
      </c>
      <c r="BB14" s="494" t="str">
        <f t="shared" si="13"/>
        <v/>
      </c>
      <c r="BC14" s="500" t="str">
        <f t="shared" si="13"/>
        <v/>
      </c>
      <c r="BD14" s="495">
        <f t="shared" si="13"/>
        <v>1</v>
      </c>
      <c r="BE14" s="494" t="str">
        <f t="shared" si="13"/>
        <v/>
      </c>
      <c r="BF14" s="494" t="str">
        <f t="shared" si="13"/>
        <v/>
      </c>
      <c r="BG14" s="500" t="str">
        <f t="shared" si="13"/>
        <v/>
      </c>
      <c r="BH14" s="495">
        <f t="shared" si="13"/>
        <v>2</v>
      </c>
      <c r="BI14" s="494" t="str">
        <f t="shared" si="13"/>
        <v/>
      </c>
      <c r="BJ14" s="494" t="str">
        <f t="shared" si="13"/>
        <v/>
      </c>
      <c r="BK14" s="500" t="str">
        <f t="shared" si="13"/>
        <v/>
      </c>
      <c r="BL14" s="495">
        <f t="shared" si="13"/>
        <v>3</v>
      </c>
      <c r="BM14" s="494" t="str">
        <f t="shared" si="13"/>
        <v/>
      </c>
      <c r="BN14" s="494" t="str">
        <f t="shared" si="13"/>
        <v/>
      </c>
      <c r="BO14" s="500" t="str">
        <f t="shared" si="13"/>
        <v/>
      </c>
      <c r="BP14" s="495">
        <f t="shared" si="13"/>
        <v>4</v>
      </c>
      <c r="BQ14" s="494" t="str">
        <f t="shared" si="13"/>
        <v/>
      </c>
      <c r="BR14" s="494" t="str">
        <f t="shared" si="13"/>
        <v/>
      </c>
      <c r="BS14" s="500" t="str">
        <f t="shared" si="13"/>
        <v/>
      </c>
      <c r="BT14" s="495">
        <f t="shared" si="13"/>
        <v>5</v>
      </c>
      <c r="BU14" s="494" t="str">
        <f t="shared" si="13"/>
        <v/>
      </c>
      <c r="BV14" s="494" t="str">
        <f t="shared" si="13"/>
        <v/>
      </c>
      <c r="BW14" s="500" t="str">
        <f t="shared" si="13"/>
        <v/>
      </c>
      <c r="BX14" s="495">
        <f t="shared" ref="BX14:CE14" si="14">IF(MINUTE(BX13)=0,HOUR(BX13)-emeth_Dbj,"")</f>
        <v>6</v>
      </c>
      <c r="BY14" s="494" t="str">
        <f t="shared" si="14"/>
        <v/>
      </c>
      <c r="BZ14" s="494" t="str">
        <f t="shared" si="14"/>
        <v/>
      </c>
      <c r="CA14" s="500" t="str">
        <f t="shared" si="14"/>
        <v/>
      </c>
      <c r="CB14" s="495">
        <f t="shared" si="14"/>
        <v>7</v>
      </c>
      <c r="CC14" s="494" t="str">
        <f t="shared" si="14"/>
        <v/>
      </c>
      <c r="CD14" s="494" t="str">
        <f t="shared" si="14"/>
        <v/>
      </c>
      <c r="CE14" s="494" t="str">
        <f t="shared" si="14"/>
        <v/>
      </c>
    </row>
    <row r="15" spans="1:84">
      <c r="A15" s="509"/>
      <c r="B15" s="609"/>
      <c r="C15" s="512"/>
      <c r="D15" s="610"/>
      <c r="E15" s="512"/>
      <c r="F15" s="512"/>
      <c r="G15" s="512"/>
      <c r="H15" s="611"/>
      <c r="I15" s="611"/>
      <c r="J15" s="512"/>
      <c r="K15" s="612"/>
      <c r="L15" s="529"/>
      <c r="M15" s="530"/>
      <c r="N15" s="530"/>
      <c r="O15" s="528"/>
      <c r="P15" s="531"/>
      <c r="Q15" s="530"/>
      <c r="R15" s="530"/>
      <c r="S15" s="528"/>
      <c r="T15" s="531"/>
      <c r="U15" s="530"/>
      <c r="V15" s="530"/>
      <c r="W15" s="528"/>
      <c r="X15" s="531"/>
      <c r="Y15" s="530"/>
      <c r="Z15" s="530"/>
      <c r="AA15" s="528"/>
      <c r="AB15" s="531"/>
      <c r="AC15" s="530"/>
      <c r="AD15" s="530"/>
      <c r="AE15" s="528"/>
      <c r="AF15" s="531"/>
      <c r="AG15" s="530"/>
      <c r="AH15" s="530"/>
      <c r="AI15" s="528"/>
      <c r="AJ15" s="531"/>
      <c r="AK15" s="530"/>
      <c r="AL15" s="530"/>
      <c r="AM15" s="528"/>
      <c r="AN15" s="531"/>
      <c r="AO15" s="530"/>
      <c r="AP15" s="530"/>
      <c r="AQ15" s="528"/>
      <c r="AR15" s="531"/>
      <c r="AS15" s="530"/>
      <c r="AT15" s="530"/>
      <c r="AU15" s="528"/>
      <c r="AV15" s="531"/>
      <c r="AW15" s="530"/>
      <c r="AX15" s="530"/>
      <c r="AY15" s="527"/>
      <c r="AZ15" s="529"/>
      <c r="BA15" s="530"/>
      <c r="BB15" s="530"/>
      <c r="BC15" s="528"/>
      <c r="BD15" s="531"/>
      <c r="BE15" s="530"/>
      <c r="BF15" s="530"/>
      <c r="BG15" s="528"/>
      <c r="BH15" s="531"/>
      <c r="BI15" s="530"/>
      <c r="BJ15" s="530"/>
      <c r="BK15" s="528"/>
      <c r="BL15" s="531"/>
      <c r="BM15" s="530"/>
      <c r="BN15" s="530"/>
      <c r="BO15" s="528"/>
      <c r="BP15" s="531"/>
      <c r="BQ15" s="530"/>
      <c r="BR15" s="530"/>
      <c r="BS15" s="528"/>
      <c r="BT15" s="531"/>
      <c r="BU15" s="530"/>
      <c r="BV15" s="530"/>
      <c r="BW15" s="528"/>
      <c r="BX15" s="531"/>
      <c r="BY15" s="530"/>
      <c r="BZ15" s="530"/>
      <c r="CA15" s="528"/>
      <c r="CB15" s="531"/>
      <c r="CC15" s="530"/>
      <c r="CD15" s="530"/>
      <c r="CE15" s="530"/>
      <c r="CF15" s="26"/>
    </row>
    <row r="16" spans="1:84">
      <c r="A16" s="515">
        <v>1</v>
      </c>
      <c r="B16" s="613" t="s">
        <v>471</v>
      </c>
      <c r="C16" s="516"/>
      <c r="D16" s="517" t="str">
        <f t="shared" ref="D16:D38" si="15">DureeHL($L16:$CE16)</f>
        <v/>
      </c>
      <c r="E16" s="516"/>
      <c r="F16" s="516"/>
      <c r="G16" s="516" t="str">
        <f t="shared" ref="G16:G38" si="16">Cadence($D16)</f>
        <v/>
      </c>
      <c r="H16" s="614">
        <f t="shared" ref="H16:H38" si="17">debut($L16:$CE16)</f>
        <v>0</v>
      </c>
      <c r="I16" s="614">
        <f t="shared" ref="I16:I38" si="18">Fin($L16:$CE16)</f>
        <v>0</v>
      </c>
      <c r="J16" s="516"/>
      <c r="K16" s="615"/>
      <c r="L16" s="524"/>
      <c r="M16" s="520"/>
      <c r="N16" s="520"/>
      <c r="O16" s="522"/>
      <c r="P16" s="532"/>
      <c r="Q16" s="520"/>
      <c r="R16" s="520"/>
      <c r="S16" s="522"/>
      <c r="T16" s="532"/>
      <c r="U16" s="520"/>
      <c r="V16" s="520"/>
      <c r="W16" s="522"/>
      <c r="X16" s="532"/>
      <c r="Y16" s="520"/>
      <c r="Z16" s="520"/>
      <c r="AA16" s="522"/>
      <c r="AB16" s="532"/>
      <c r="AC16" s="520"/>
      <c r="AD16" s="520"/>
      <c r="AE16" s="522"/>
      <c r="AF16" s="532"/>
      <c r="AG16" s="520"/>
      <c r="AH16" s="520"/>
      <c r="AI16" s="522"/>
      <c r="AJ16" s="532"/>
      <c r="AK16" s="520"/>
      <c r="AL16" s="520"/>
      <c r="AM16" s="522"/>
      <c r="AN16" s="532"/>
      <c r="AO16" s="520"/>
      <c r="AP16" s="520"/>
      <c r="AQ16" s="522"/>
      <c r="AR16" s="532"/>
      <c r="AS16" s="520"/>
      <c r="AT16" s="520"/>
      <c r="AU16" s="522"/>
      <c r="AV16" s="532"/>
      <c r="AW16" s="520"/>
      <c r="AX16" s="520"/>
      <c r="AY16" s="523"/>
      <c r="AZ16" s="524"/>
      <c r="BA16" s="520"/>
      <c r="BB16" s="520"/>
      <c r="BC16" s="522"/>
      <c r="BD16" s="532"/>
      <c r="BE16" s="520"/>
      <c r="BF16" s="520"/>
      <c r="BG16" s="522"/>
      <c r="BH16" s="532"/>
      <c r="BI16" s="520"/>
      <c r="BJ16" s="520"/>
      <c r="BK16" s="522"/>
      <c r="BL16" s="532"/>
      <c r="BM16" s="520"/>
      <c r="BN16" s="520"/>
      <c r="BO16" s="522"/>
      <c r="BP16" s="532"/>
      <c r="BQ16" s="520"/>
      <c r="BR16" s="520"/>
      <c r="BS16" s="522"/>
      <c r="BT16" s="532"/>
      <c r="BU16" s="520"/>
      <c r="BV16" s="520"/>
      <c r="BW16" s="522"/>
      <c r="BX16" s="532"/>
      <c r="BY16" s="520"/>
      <c r="BZ16" s="520"/>
      <c r="CA16" s="522"/>
      <c r="CB16" s="532"/>
      <c r="CC16" s="520"/>
      <c r="CD16" s="520"/>
      <c r="CE16" s="520"/>
      <c r="CF16" s="27"/>
    </row>
    <row r="17" spans="1:84" ht="12" thickBot="1">
      <c r="A17" s="515">
        <v>2</v>
      </c>
      <c r="B17" s="613"/>
      <c r="C17" s="613" t="s">
        <v>459</v>
      </c>
      <c r="D17" s="517">
        <f t="shared" si="15"/>
        <v>2</v>
      </c>
      <c r="E17" s="516"/>
      <c r="F17" s="516"/>
      <c r="G17" s="516" t="str">
        <f t="shared" si="16"/>
        <v/>
      </c>
      <c r="H17" s="614">
        <f t="shared" si="17"/>
        <v>0</v>
      </c>
      <c r="I17" s="614">
        <f t="shared" si="18"/>
        <v>0</v>
      </c>
      <c r="J17" s="516"/>
      <c r="K17" s="615"/>
      <c r="L17" s="622"/>
      <c r="M17" s="624"/>
      <c r="N17" s="520"/>
      <c r="O17" s="522"/>
      <c r="P17" s="532"/>
      <c r="Q17" s="520"/>
      <c r="R17" s="520"/>
      <c r="S17" s="560"/>
      <c r="T17" s="532"/>
      <c r="U17" s="520"/>
      <c r="V17" s="520"/>
      <c r="W17" s="522"/>
      <c r="X17" s="532"/>
      <c r="Y17" s="520"/>
      <c r="Z17" s="520"/>
      <c r="AA17" s="522"/>
      <c r="AB17" s="532"/>
      <c r="AC17" s="520"/>
      <c r="AD17" s="520"/>
      <c r="AE17" s="522"/>
      <c r="AF17" s="532"/>
      <c r="AG17" s="520"/>
      <c r="AH17" s="520"/>
      <c r="AI17" s="522"/>
      <c r="AJ17" s="532"/>
      <c r="AK17" s="520"/>
      <c r="AL17" s="520"/>
      <c r="AM17" s="522"/>
      <c r="AN17" s="532"/>
      <c r="AO17" s="520"/>
      <c r="AP17" s="520"/>
      <c r="AQ17" s="522"/>
      <c r="AR17" s="532"/>
      <c r="AS17" s="520"/>
      <c r="AT17" s="520"/>
      <c r="AU17" s="522"/>
      <c r="AV17" s="532"/>
      <c r="AW17" s="520"/>
      <c r="AX17" s="520"/>
      <c r="AY17" s="523"/>
      <c r="AZ17" s="524"/>
      <c r="BA17" s="520"/>
      <c r="BB17" s="520"/>
      <c r="BC17" s="522"/>
      <c r="BD17" s="532"/>
      <c r="BE17" s="520"/>
      <c r="BF17" s="520"/>
      <c r="BG17" s="522"/>
      <c r="BH17" s="532"/>
      <c r="BI17" s="520"/>
      <c r="BJ17" s="520"/>
      <c r="BK17" s="522"/>
      <c r="BL17" s="532"/>
      <c r="BM17" s="520"/>
      <c r="BN17" s="520"/>
      <c r="BO17" s="522"/>
      <c r="BP17" s="532"/>
      <c r="BQ17" s="520"/>
      <c r="BR17" s="520"/>
      <c r="BS17" s="522"/>
      <c r="BT17" s="532"/>
      <c r="BU17" s="520"/>
      <c r="BV17" s="520"/>
      <c r="BW17" s="522"/>
      <c r="BX17" s="532"/>
      <c r="BY17" s="520"/>
      <c r="BZ17" s="520"/>
      <c r="CA17" s="522"/>
      <c r="CB17" s="532"/>
      <c r="CC17" s="520"/>
      <c r="CD17" s="520"/>
      <c r="CE17" s="520"/>
      <c r="CF17" s="26"/>
    </row>
    <row r="18" spans="1:84" ht="12.75" thickTop="1" thickBot="1">
      <c r="A18" s="515">
        <v>3</v>
      </c>
      <c r="B18" s="613"/>
      <c r="C18" s="613" t="s">
        <v>461</v>
      </c>
      <c r="D18" s="517">
        <f t="shared" si="15"/>
        <v>14</v>
      </c>
      <c r="E18" s="516"/>
      <c r="F18" s="516"/>
      <c r="G18" s="516" t="str">
        <f t="shared" si="16"/>
        <v/>
      </c>
      <c r="H18" s="614">
        <f t="shared" si="17"/>
        <v>0</v>
      </c>
      <c r="I18" s="614">
        <f t="shared" si="18"/>
        <v>0</v>
      </c>
      <c r="J18" s="516"/>
      <c r="K18" s="615"/>
      <c r="L18" s="670"/>
      <c r="M18" s="533"/>
      <c r="N18" s="626"/>
      <c r="O18" s="616"/>
      <c r="P18" s="682"/>
      <c r="Q18" s="626"/>
      <c r="R18" s="626"/>
      <c r="S18" s="617"/>
      <c r="T18" s="532"/>
      <c r="U18" s="652"/>
      <c r="V18" s="652"/>
      <c r="W18" s="522"/>
      <c r="X18" s="532"/>
      <c r="Y18" s="520"/>
      <c r="Z18" s="652"/>
      <c r="AA18" s="653"/>
      <c r="AB18" s="654"/>
      <c r="AC18" s="652"/>
      <c r="AD18" s="652"/>
      <c r="AE18" s="653"/>
      <c r="AF18" s="532"/>
      <c r="AG18" s="520"/>
      <c r="AH18" s="520"/>
      <c r="AI18" s="522"/>
      <c r="AJ18" s="532"/>
      <c r="AK18" s="520"/>
      <c r="AL18" s="520"/>
      <c r="AM18" s="522"/>
      <c r="AN18" s="532"/>
      <c r="AO18" s="520"/>
      <c r="AP18" s="520"/>
      <c r="AQ18" s="522"/>
      <c r="AR18" s="532"/>
      <c r="AS18" s="520"/>
      <c r="AT18" s="520"/>
      <c r="AU18" s="522"/>
      <c r="AV18" s="532"/>
      <c r="AW18" s="520"/>
      <c r="AX18" s="520"/>
      <c r="AY18" s="523"/>
      <c r="AZ18" s="524"/>
      <c r="BA18" s="520"/>
      <c r="BB18" s="520"/>
      <c r="BC18" s="522"/>
      <c r="BD18" s="532"/>
      <c r="BE18" s="520"/>
      <c r="BF18" s="520"/>
      <c r="BG18" s="522"/>
      <c r="BH18" s="532"/>
      <c r="BI18" s="520"/>
      <c r="BJ18" s="520"/>
      <c r="BK18" s="522"/>
      <c r="BL18" s="532"/>
      <c r="BM18" s="520"/>
      <c r="BN18" s="520"/>
      <c r="BO18" s="522"/>
      <c r="BP18" s="532"/>
      <c r="BQ18" s="520"/>
      <c r="BR18" s="520"/>
      <c r="BS18" s="522"/>
      <c r="BT18" s="532"/>
      <c r="BU18" s="520"/>
      <c r="BV18" s="520"/>
      <c r="BW18" s="522"/>
      <c r="BX18" s="532"/>
      <c r="BY18" s="520"/>
      <c r="BZ18" s="520"/>
      <c r="CA18" s="522"/>
      <c r="CB18" s="532"/>
      <c r="CC18" s="520"/>
      <c r="CD18" s="520"/>
      <c r="CE18" s="520"/>
      <c r="CF18" s="26"/>
    </row>
    <row r="19" spans="1:84" ht="12.75" thickTop="1" thickBot="1">
      <c r="A19" s="515">
        <v>4</v>
      </c>
      <c r="B19" s="613"/>
      <c r="C19" s="613" t="s">
        <v>462</v>
      </c>
      <c r="D19" s="517">
        <f t="shared" si="15"/>
        <v>2</v>
      </c>
      <c r="E19" s="516"/>
      <c r="F19" s="516"/>
      <c r="G19" s="516" t="str">
        <f t="shared" si="16"/>
        <v/>
      </c>
      <c r="H19" s="614">
        <f t="shared" si="17"/>
        <v>0</v>
      </c>
      <c r="I19" s="614">
        <f t="shared" si="18"/>
        <v>0</v>
      </c>
      <c r="J19" s="516"/>
      <c r="K19" s="615"/>
      <c r="L19" s="524"/>
      <c r="M19" s="520"/>
      <c r="N19" s="671"/>
      <c r="O19" s="661"/>
      <c r="P19" s="672"/>
      <c r="Q19" s="674"/>
      <c r="R19" s="674"/>
      <c r="S19" s="661"/>
      <c r="T19" s="639"/>
      <c r="U19" s="651"/>
      <c r="V19" s="676"/>
      <c r="W19" s="560"/>
      <c r="X19" s="532"/>
      <c r="Y19" s="520"/>
      <c r="Z19" s="677"/>
      <c r="AA19" s="662"/>
      <c r="AB19" s="678"/>
      <c r="AC19" s="677"/>
      <c r="AD19" s="677"/>
      <c r="AE19" s="662"/>
      <c r="AF19" s="532"/>
      <c r="AG19" s="520"/>
      <c r="AH19" s="520"/>
      <c r="AI19" s="522"/>
      <c r="AJ19" s="532"/>
      <c r="AK19" s="520"/>
      <c r="AL19" s="520"/>
      <c r="AM19" s="522"/>
      <c r="AN19" s="532"/>
      <c r="AO19" s="520"/>
      <c r="AP19" s="520"/>
      <c r="AQ19" s="522"/>
      <c r="AR19" s="532"/>
      <c r="AS19" s="520"/>
      <c r="AT19" s="520"/>
      <c r="AU19" s="522"/>
      <c r="AV19" s="532"/>
      <c r="AW19" s="520"/>
      <c r="AX19" s="520"/>
      <c r="AY19" s="523"/>
      <c r="AZ19" s="547"/>
      <c r="BA19" s="548"/>
      <c r="BB19" s="520"/>
      <c r="BC19" s="522"/>
      <c r="BD19" s="532"/>
      <c r="BE19" s="520"/>
      <c r="BF19" s="520"/>
      <c r="BG19" s="522"/>
      <c r="BH19" s="532"/>
      <c r="BI19" s="520"/>
      <c r="BJ19" s="520"/>
      <c r="BK19" s="522"/>
      <c r="BL19" s="532"/>
      <c r="BM19" s="520"/>
      <c r="BN19" s="520"/>
      <c r="BO19" s="522"/>
      <c r="BP19" s="532"/>
      <c r="BQ19" s="520"/>
      <c r="BR19" s="520"/>
      <c r="BS19" s="522"/>
      <c r="BT19" s="532"/>
      <c r="BU19" s="520"/>
      <c r="BV19" s="520"/>
      <c r="BW19" s="522"/>
      <c r="BX19" s="532"/>
      <c r="BY19" s="520"/>
      <c r="BZ19" s="520"/>
      <c r="CA19" s="522"/>
      <c r="CB19" s="532"/>
      <c r="CC19" s="520"/>
      <c r="CD19" s="520"/>
      <c r="CE19" s="520"/>
      <c r="CF19" s="27"/>
    </row>
    <row r="20" spans="1:84" ht="12.75" thickTop="1" thickBot="1">
      <c r="A20" s="515">
        <v>5</v>
      </c>
      <c r="B20" s="613"/>
      <c r="C20" s="613" t="s">
        <v>472</v>
      </c>
      <c r="D20" s="517">
        <f t="shared" si="15"/>
        <v>3</v>
      </c>
      <c r="E20" s="516"/>
      <c r="F20" s="516"/>
      <c r="G20" s="516" t="str">
        <f t="shared" si="16"/>
        <v/>
      </c>
      <c r="H20" s="614">
        <f t="shared" si="17"/>
        <v>0</v>
      </c>
      <c r="I20" s="614">
        <f t="shared" si="18"/>
        <v>0</v>
      </c>
      <c r="J20" s="516"/>
      <c r="K20" s="615"/>
      <c r="L20" s="524"/>
      <c r="M20" s="520"/>
      <c r="N20" s="548"/>
      <c r="O20" s="560"/>
      <c r="P20" s="532"/>
      <c r="Q20" s="520"/>
      <c r="R20" s="520"/>
      <c r="S20" s="560"/>
      <c r="T20" s="632"/>
      <c r="U20" s="533"/>
      <c r="V20" s="626"/>
      <c r="W20" s="616"/>
      <c r="X20" s="635"/>
      <c r="Y20" s="520"/>
      <c r="Z20" s="520"/>
      <c r="AA20" s="522"/>
      <c r="AB20" s="532"/>
      <c r="AC20" s="520"/>
      <c r="AD20" s="520"/>
      <c r="AE20" s="522"/>
      <c r="AF20" s="532"/>
      <c r="AG20" s="520"/>
      <c r="AH20" s="520"/>
      <c r="AI20" s="522"/>
      <c r="AJ20" s="532"/>
      <c r="AK20" s="520"/>
      <c r="AL20" s="520"/>
      <c r="AM20" s="522"/>
      <c r="AN20" s="532"/>
      <c r="AO20" s="520"/>
      <c r="AP20" s="520"/>
      <c r="AQ20" s="522"/>
      <c r="AR20" s="532"/>
      <c r="AS20" s="520"/>
      <c r="AT20" s="520"/>
      <c r="AU20" s="522"/>
      <c r="AV20" s="532"/>
      <c r="AW20" s="520"/>
      <c r="AX20" s="520"/>
      <c r="AY20" s="523"/>
      <c r="AZ20" s="524"/>
      <c r="BA20" s="520"/>
      <c r="BB20" s="520"/>
      <c r="BC20" s="522"/>
      <c r="BD20" s="532"/>
      <c r="BE20" s="520"/>
      <c r="BF20" s="520"/>
      <c r="BG20" s="522"/>
      <c r="BH20" s="532"/>
      <c r="BI20" s="520"/>
      <c r="BJ20" s="520"/>
      <c r="BK20" s="522"/>
      <c r="BL20" s="532"/>
      <c r="BM20" s="520"/>
      <c r="BN20" s="520"/>
      <c r="BO20" s="522"/>
      <c r="BP20" s="532"/>
      <c r="BQ20" s="520"/>
      <c r="BR20" s="520"/>
      <c r="BS20" s="522"/>
      <c r="BT20" s="532"/>
      <c r="BU20" s="520"/>
      <c r="BV20" s="520"/>
      <c r="BW20" s="522"/>
      <c r="BX20" s="532"/>
      <c r="BY20" s="520"/>
      <c r="BZ20" s="520"/>
      <c r="CA20" s="522"/>
      <c r="CB20" s="532"/>
      <c r="CC20" s="520"/>
      <c r="CD20" s="520"/>
      <c r="CE20" s="520"/>
      <c r="CF20" s="27"/>
    </row>
    <row r="21" spans="1:84" ht="12.75" thickTop="1" thickBot="1">
      <c r="A21" s="515">
        <v>6</v>
      </c>
      <c r="B21" s="613"/>
      <c r="C21" s="613" t="s">
        <v>463</v>
      </c>
      <c r="D21" s="517">
        <f t="shared" si="15"/>
        <v>19</v>
      </c>
      <c r="E21" s="516"/>
      <c r="F21" s="516"/>
      <c r="G21" s="516" t="str">
        <f t="shared" si="16"/>
        <v/>
      </c>
      <c r="H21" s="614">
        <f t="shared" si="17"/>
        <v>0</v>
      </c>
      <c r="I21" s="614">
        <f t="shared" si="18"/>
        <v>0</v>
      </c>
      <c r="J21" s="516"/>
      <c r="K21" s="615"/>
      <c r="L21" s="524"/>
      <c r="M21" s="520"/>
      <c r="N21" s="548"/>
      <c r="O21" s="560"/>
      <c r="P21" s="532"/>
      <c r="Q21" s="520"/>
      <c r="R21" s="520"/>
      <c r="S21" s="643"/>
      <c r="T21" s="683"/>
      <c r="U21" s="684"/>
      <c r="V21" s="685"/>
      <c r="W21" s="644"/>
      <c r="X21" s="686"/>
      <c r="Y21" s="684"/>
      <c r="Z21" s="684"/>
      <c r="AA21" s="645"/>
      <c r="AB21" s="683"/>
      <c r="AC21" s="684"/>
      <c r="AD21" s="684"/>
      <c r="AE21" s="645"/>
      <c r="AF21" s="683"/>
      <c r="AG21" s="684"/>
      <c r="AH21" s="684"/>
      <c r="AI21" s="645"/>
      <c r="AJ21" s="683"/>
      <c r="AK21" s="684"/>
      <c r="AL21" s="520"/>
      <c r="AM21" s="522"/>
      <c r="AN21" s="532"/>
      <c r="AO21" s="520"/>
      <c r="AP21" s="520"/>
      <c r="AQ21" s="522"/>
      <c r="AR21" s="532"/>
      <c r="AS21" s="520"/>
      <c r="AT21" s="520"/>
      <c r="AU21" s="522"/>
      <c r="AV21" s="532"/>
      <c r="AW21" s="520"/>
      <c r="AX21" s="520"/>
      <c r="AY21" s="523"/>
      <c r="AZ21" s="524"/>
      <c r="BA21" s="520"/>
      <c r="BB21" s="520"/>
      <c r="BC21" s="522"/>
      <c r="BD21" s="532"/>
      <c r="BE21" s="520"/>
      <c r="BF21" s="520"/>
      <c r="BG21" s="522"/>
      <c r="BH21" s="532"/>
      <c r="BI21" s="520"/>
      <c r="BJ21" s="520"/>
      <c r="BK21" s="522"/>
      <c r="BL21" s="532"/>
      <c r="BM21" s="520"/>
      <c r="BN21" s="520"/>
      <c r="BO21" s="522"/>
      <c r="BP21" s="532"/>
      <c r="BQ21" s="520"/>
      <c r="BR21" s="520"/>
      <c r="BS21" s="522"/>
      <c r="BT21" s="532"/>
      <c r="BU21" s="520"/>
      <c r="BV21" s="520"/>
      <c r="BW21" s="522"/>
      <c r="BX21" s="532"/>
      <c r="BY21" s="520"/>
      <c r="BZ21" s="520"/>
      <c r="CA21" s="522"/>
      <c r="CB21" s="532"/>
      <c r="CC21" s="520"/>
      <c r="CD21" s="520"/>
      <c r="CE21" s="520"/>
      <c r="CF21" s="27"/>
    </row>
    <row r="22" spans="1:84" ht="12.75" thickTop="1" thickBot="1">
      <c r="A22" s="515">
        <v>7</v>
      </c>
      <c r="B22" s="613"/>
      <c r="C22" s="613" t="s">
        <v>475</v>
      </c>
      <c r="D22" s="517">
        <f t="shared" si="15"/>
        <v>27</v>
      </c>
      <c r="E22" s="516"/>
      <c r="F22" s="516"/>
      <c r="G22" s="516" t="str">
        <f t="shared" si="16"/>
        <v/>
      </c>
      <c r="H22" s="614">
        <f t="shared" si="17"/>
        <v>0</v>
      </c>
      <c r="I22" s="614">
        <f t="shared" si="18"/>
        <v>0</v>
      </c>
      <c r="J22" s="516"/>
      <c r="K22" s="615"/>
      <c r="L22" s="524"/>
      <c r="M22" s="687"/>
      <c r="N22" s="688"/>
      <c r="O22" s="689"/>
      <c r="P22" s="690"/>
      <c r="Q22" s="656"/>
      <c r="R22" s="656"/>
      <c r="S22" s="657"/>
      <c r="T22" s="655"/>
      <c r="U22" s="656"/>
      <c r="V22" s="656"/>
      <c r="W22" s="657"/>
      <c r="X22" s="655"/>
      <c r="Y22" s="656"/>
      <c r="Z22" s="656"/>
      <c r="AA22" s="657"/>
      <c r="AB22" s="655"/>
      <c r="AC22" s="656"/>
      <c r="AD22" s="656"/>
      <c r="AE22" s="657"/>
      <c r="AF22" s="655"/>
      <c r="AG22" s="656"/>
      <c r="AH22" s="656"/>
      <c r="AI22" s="657"/>
      <c r="AJ22" s="655"/>
      <c r="AK22" s="656"/>
      <c r="AL22" s="656"/>
      <c r="AM22" s="657"/>
      <c r="AN22" s="549"/>
      <c r="AO22" s="520"/>
      <c r="AP22" s="520"/>
      <c r="AQ22" s="522"/>
      <c r="AR22" s="532"/>
      <c r="AS22" s="520"/>
      <c r="AT22" s="520"/>
      <c r="AU22" s="522"/>
      <c r="AV22" s="532"/>
      <c r="AW22" s="520"/>
      <c r="AX22" s="520"/>
      <c r="AY22" s="523"/>
      <c r="AZ22" s="524"/>
      <c r="BA22" s="520"/>
      <c r="BB22" s="520"/>
      <c r="BC22" s="522"/>
      <c r="BD22" s="532"/>
      <c r="BE22" s="520"/>
      <c r="BF22" s="520"/>
      <c r="BG22" s="522"/>
      <c r="BH22" s="532"/>
      <c r="BI22" s="520"/>
      <c r="BJ22" s="520"/>
      <c r="BK22" s="522"/>
      <c r="BL22" s="532"/>
      <c r="BM22" s="520"/>
      <c r="BN22" s="520"/>
      <c r="BO22" s="522"/>
      <c r="BP22" s="532"/>
      <c r="BQ22" s="520"/>
      <c r="BR22" s="520"/>
      <c r="BS22" s="522"/>
      <c r="BT22" s="532"/>
      <c r="BU22" s="520"/>
      <c r="BV22" s="520"/>
      <c r="BW22" s="522"/>
      <c r="BX22" s="532"/>
      <c r="BY22" s="520"/>
      <c r="BZ22" s="520"/>
      <c r="CA22" s="522"/>
      <c r="CB22" s="532"/>
      <c r="CC22" s="520"/>
      <c r="CD22" s="520"/>
      <c r="CE22" s="520"/>
    </row>
    <row r="23" spans="1:84" ht="12.75" thickTop="1" thickBot="1">
      <c r="A23" s="515">
        <v>8</v>
      </c>
      <c r="B23" s="613"/>
      <c r="C23" s="613" t="s">
        <v>463</v>
      </c>
      <c r="D23" s="517">
        <f t="shared" si="15"/>
        <v>4</v>
      </c>
      <c r="E23" s="516"/>
      <c r="F23" s="516"/>
      <c r="G23" s="516" t="str">
        <f t="shared" si="16"/>
        <v/>
      </c>
      <c r="H23" s="614">
        <f t="shared" si="17"/>
        <v>0</v>
      </c>
      <c r="I23" s="614">
        <f t="shared" si="18"/>
        <v>0</v>
      </c>
      <c r="J23" s="516"/>
      <c r="K23" s="615"/>
      <c r="L23" s="524"/>
      <c r="M23" s="544"/>
      <c r="N23" s="544"/>
      <c r="O23" s="663"/>
      <c r="P23" s="673"/>
      <c r="Q23" s="544"/>
      <c r="R23" s="544"/>
      <c r="S23" s="663"/>
      <c r="T23" s="673"/>
      <c r="U23" s="544"/>
      <c r="V23" s="544"/>
      <c r="W23" s="663"/>
      <c r="X23" s="673"/>
      <c r="Y23" s="544"/>
      <c r="Z23" s="544"/>
      <c r="AA23" s="663"/>
      <c r="AB23" s="673"/>
      <c r="AC23" s="544"/>
      <c r="AD23" s="544"/>
      <c r="AE23" s="663"/>
      <c r="AF23" s="673"/>
      <c r="AG23" s="544"/>
      <c r="AH23" s="640"/>
      <c r="AI23" s="641"/>
      <c r="AJ23" s="642"/>
      <c r="AK23" s="640"/>
      <c r="AL23" s="544"/>
      <c r="AM23" s="663"/>
      <c r="AN23" s="532"/>
      <c r="AO23" s="520"/>
      <c r="AP23" s="520"/>
      <c r="AQ23" s="522"/>
      <c r="AR23" s="532"/>
      <c r="AS23" s="520"/>
      <c r="AT23" s="520"/>
      <c r="AU23" s="522"/>
      <c r="AV23" s="532"/>
      <c r="AW23" s="520"/>
      <c r="AX23" s="520"/>
      <c r="AY23" s="523"/>
      <c r="AZ23" s="524"/>
      <c r="BA23" s="520"/>
      <c r="BB23" s="520"/>
      <c r="BC23" s="522"/>
      <c r="BD23" s="532"/>
      <c r="BE23" s="520"/>
      <c r="BF23" s="520"/>
      <c r="BG23" s="522"/>
      <c r="BH23" s="532"/>
      <c r="BI23" s="520"/>
      <c r="BJ23" s="520"/>
      <c r="BK23" s="522"/>
      <c r="BL23" s="532"/>
      <c r="BM23" s="520"/>
      <c r="BN23" s="520"/>
      <c r="BO23" s="522"/>
      <c r="BP23" s="532"/>
      <c r="BQ23" s="520"/>
      <c r="BR23" s="520"/>
      <c r="BS23" s="522"/>
      <c r="BT23" s="532"/>
      <c r="BU23" s="520"/>
      <c r="BV23" s="520"/>
      <c r="BW23" s="522"/>
      <c r="BX23" s="532"/>
      <c r="BY23" s="520"/>
      <c r="BZ23" s="520"/>
      <c r="CA23" s="522"/>
      <c r="CB23" s="532"/>
      <c r="CC23" s="520"/>
      <c r="CD23" s="520"/>
      <c r="CE23" s="520"/>
      <c r="CF23" s="26"/>
    </row>
    <row r="24" spans="1:84" ht="12.75" thickTop="1" thickBot="1">
      <c r="A24" s="515">
        <v>9</v>
      </c>
      <c r="B24" s="613"/>
      <c r="C24" s="613" t="s">
        <v>464</v>
      </c>
      <c r="D24" s="517">
        <f t="shared" si="15"/>
        <v>24</v>
      </c>
      <c r="E24" s="516"/>
      <c r="F24" s="516"/>
      <c r="G24" s="516" t="str">
        <f t="shared" si="16"/>
        <v/>
      </c>
      <c r="H24" s="614">
        <f t="shared" si="17"/>
        <v>0</v>
      </c>
      <c r="I24" s="614">
        <f t="shared" si="18"/>
        <v>0</v>
      </c>
      <c r="J24" s="516"/>
      <c r="K24" s="615"/>
      <c r="L24" s="524"/>
      <c r="M24" s="520"/>
      <c r="N24" s="520"/>
      <c r="O24" s="522"/>
      <c r="P24" s="532"/>
      <c r="Q24" s="520"/>
      <c r="R24" s="691"/>
      <c r="S24" s="692"/>
      <c r="T24" s="693"/>
      <c r="U24" s="691"/>
      <c r="V24" s="691"/>
      <c r="W24" s="692"/>
      <c r="X24" s="693"/>
      <c r="Y24" s="691"/>
      <c r="Z24" s="691"/>
      <c r="AA24" s="692"/>
      <c r="AB24" s="693"/>
      <c r="AC24" s="691"/>
      <c r="AD24" s="691"/>
      <c r="AE24" s="692"/>
      <c r="AF24" s="693"/>
      <c r="AG24" s="691"/>
      <c r="AH24" s="694"/>
      <c r="AI24" s="695"/>
      <c r="AJ24" s="696"/>
      <c r="AK24" s="694"/>
      <c r="AL24" s="691"/>
      <c r="AM24" s="692"/>
      <c r="AN24" s="693"/>
      <c r="AO24" s="691"/>
      <c r="AP24" s="520"/>
      <c r="AQ24" s="522"/>
      <c r="AR24" s="532"/>
      <c r="AS24" s="520"/>
      <c r="AT24" s="520"/>
      <c r="AU24" s="522"/>
      <c r="AV24" s="532"/>
      <c r="AW24" s="520"/>
      <c r="AX24" s="520"/>
      <c r="AY24" s="523"/>
      <c r="AZ24" s="524"/>
      <c r="BA24" s="520"/>
      <c r="BB24" s="520"/>
      <c r="BC24" s="522"/>
      <c r="BD24" s="532"/>
      <c r="BE24" s="520"/>
      <c r="BF24" s="520"/>
      <c r="BG24" s="522"/>
      <c r="BH24" s="532"/>
      <c r="BI24" s="520"/>
      <c r="BJ24" s="520"/>
      <c r="BK24" s="522"/>
      <c r="BL24" s="532"/>
      <c r="BM24" s="520"/>
      <c r="BN24" s="520"/>
      <c r="BO24" s="522"/>
      <c r="BP24" s="532"/>
      <c r="BQ24" s="520"/>
      <c r="BR24" s="520"/>
      <c r="BS24" s="522"/>
      <c r="BT24" s="532"/>
      <c r="BU24" s="520"/>
      <c r="BV24" s="520"/>
      <c r="BW24" s="522"/>
      <c r="BX24" s="532"/>
      <c r="BY24" s="520"/>
      <c r="BZ24" s="520"/>
      <c r="CA24" s="522"/>
      <c r="CB24" s="532"/>
      <c r="CC24" s="520"/>
      <c r="CD24" s="520"/>
      <c r="CE24" s="520"/>
      <c r="CF24" s="26"/>
    </row>
    <row r="25" spans="1:84" ht="12.75" thickTop="1" thickBot="1">
      <c r="A25" s="515">
        <v>10</v>
      </c>
      <c r="B25" s="613"/>
      <c r="C25" s="613" t="s">
        <v>465</v>
      </c>
      <c r="D25" s="517">
        <f t="shared" si="15"/>
        <v>2</v>
      </c>
      <c r="E25" s="516"/>
      <c r="F25" s="516"/>
      <c r="G25" s="516" t="str">
        <f t="shared" si="16"/>
        <v/>
      </c>
      <c r="H25" s="614">
        <f t="shared" si="17"/>
        <v>0</v>
      </c>
      <c r="I25" s="614">
        <f t="shared" si="18"/>
        <v>0</v>
      </c>
      <c r="J25" s="516"/>
      <c r="K25" s="615"/>
      <c r="L25" s="524"/>
      <c r="M25" s="520"/>
      <c r="N25" s="520"/>
      <c r="O25" s="522"/>
      <c r="P25" s="532"/>
      <c r="Q25" s="520"/>
      <c r="R25" s="526"/>
      <c r="S25" s="664"/>
      <c r="T25" s="675"/>
      <c r="U25" s="526"/>
      <c r="V25" s="526"/>
      <c r="W25" s="664"/>
      <c r="X25" s="675"/>
      <c r="Y25" s="526"/>
      <c r="Z25" s="526"/>
      <c r="AA25" s="664"/>
      <c r="AB25" s="675"/>
      <c r="AC25" s="526"/>
      <c r="AD25" s="526"/>
      <c r="AE25" s="664"/>
      <c r="AF25" s="675"/>
      <c r="AG25" s="526"/>
      <c r="AH25" s="526"/>
      <c r="AI25" s="664"/>
      <c r="AJ25" s="675"/>
      <c r="AK25" s="526"/>
      <c r="AL25" s="526"/>
      <c r="AM25" s="664"/>
      <c r="AN25" s="675"/>
      <c r="AO25" s="646"/>
      <c r="AP25" s="636"/>
      <c r="AQ25" s="522"/>
      <c r="AR25" s="532"/>
      <c r="AS25" s="520"/>
      <c r="AT25" s="520"/>
      <c r="AU25" s="522"/>
      <c r="AV25" s="532"/>
      <c r="AW25" s="520"/>
      <c r="AX25" s="520"/>
      <c r="AY25" s="523"/>
      <c r="AZ25" s="524"/>
      <c r="BA25" s="520"/>
      <c r="BB25" s="520"/>
      <c r="BC25" s="522"/>
      <c r="BD25" s="532"/>
      <c r="BE25" s="520"/>
      <c r="BF25" s="520"/>
      <c r="BG25" s="522"/>
      <c r="BH25" s="532"/>
      <c r="BI25" s="520"/>
      <c r="BJ25" s="520"/>
      <c r="BK25" s="522"/>
      <c r="BL25" s="532"/>
      <c r="BM25" s="520"/>
      <c r="BN25" s="520"/>
      <c r="BO25" s="522"/>
      <c r="BP25" s="532"/>
      <c r="BQ25" s="520"/>
      <c r="BR25" s="520"/>
      <c r="BS25" s="522"/>
      <c r="BT25" s="532"/>
      <c r="BU25" s="520"/>
      <c r="BV25" s="520"/>
      <c r="BW25" s="522"/>
      <c r="BX25" s="532"/>
      <c r="BY25" s="520"/>
      <c r="BZ25" s="520"/>
      <c r="CA25" s="522"/>
      <c r="CB25" s="532"/>
      <c r="CC25" s="520"/>
      <c r="CD25" s="520"/>
      <c r="CE25" s="520"/>
      <c r="CF25" s="26"/>
    </row>
    <row r="26" spans="1:84" ht="12.75" thickTop="1" thickBot="1">
      <c r="A26" s="515">
        <v>11</v>
      </c>
      <c r="B26" s="613"/>
      <c r="C26" s="613" t="s">
        <v>473</v>
      </c>
      <c r="D26" s="517">
        <f t="shared" si="15"/>
        <v>32</v>
      </c>
      <c r="E26" s="516"/>
      <c r="F26" s="516"/>
      <c r="G26" s="516" t="str">
        <f t="shared" si="16"/>
        <v/>
      </c>
      <c r="H26" s="614">
        <f t="shared" si="17"/>
        <v>0</v>
      </c>
      <c r="I26" s="614">
        <f t="shared" si="18"/>
        <v>0</v>
      </c>
      <c r="J26" s="516"/>
      <c r="K26" s="615">
        <v>55</v>
      </c>
      <c r="L26" s="524"/>
      <c r="M26" s="520"/>
      <c r="N26" s="520"/>
      <c r="O26" s="522"/>
      <c r="P26" s="631">
        <v>55</v>
      </c>
      <c r="Q26" s="624">
        <v>55</v>
      </c>
      <c r="R26" s="624">
        <v>55</v>
      </c>
      <c r="S26" s="637">
        <v>55</v>
      </c>
      <c r="T26" s="631">
        <v>55</v>
      </c>
      <c r="U26" s="624">
        <v>55</v>
      </c>
      <c r="V26" s="624">
        <v>55</v>
      </c>
      <c r="W26" s="637">
        <v>55</v>
      </c>
      <c r="X26" s="631">
        <v>55</v>
      </c>
      <c r="Y26" s="624">
        <v>55</v>
      </c>
      <c r="Z26" s="624">
        <v>55</v>
      </c>
      <c r="AA26" s="637">
        <v>55</v>
      </c>
      <c r="AB26" s="631">
        <v>55</v>
      </c>
      <c r="AC26" s="624">
        <v>55</v>
      </c>
      <c r="AD26" s="624">
        <v>55</v>
      </c>
      <c r="AE26" s="637">
        <v>55</v>
      </c>
      <c r="AF26" s="631">
        <v>55</v>
      </c>
      <c r="AG26" s="624">
        <v>55</v>
      </c>
      <c r="AH26" s="624">
        <v>55</v>
      </c>
      <c r="AI26" s="637">
        <v>55</v>
      </c>
      <c r="AJ26" s="631">
        <v>55</v>
      </c>
      <c r="AK26" s="624">
        <v>55</v>
      </c>
      <c r="AL26" s="624">
        <v>55</v>
      </c>
      <c r="AM26" s="637">
        <v>55</v>
      </c>
      <c r="AN26" s="631">
        <v>55</v>
      </c>
      <c r="AO26" s="647">
        <v>55</v>
      </c>
      <c r="AP26" s="647">
        <v>55</v>
      </c>
      <c r="AQ26" s="637">
        <v>55</v>
      </c>
      <c r="AR26" s="631">
        <v>55</v>
      </c>
      <c r="AS26" s="624">
        <v>55</v>
      </c>
      <c r="AT26" s="624">
        <v>55</v>
      </c>
      <c r="AU26" s="637">
        <v>55</v>
      </c>
      <c r="AV26" s="532">
        <v>55</v>
      </c>
      <c r="AW26" s="520"/>
      <c r="AX26" s="520"/>
      <c r="AY26" s="523"/>
      <c r="AZ26" s="524"/>
      <c r="BA26" s="520"/>
      <c r="BB26" s="520"/>
      <c r="BC26" s="522"/>
      <c r="BD26" s="532"/>
      <c r="BE26" s="520"/>
      <c r="BF26" s="520"/>
      <c r="BG26" s="522"/>
      <c r="BH26" s="532"/>
      <c r="BI26" s="520"/>
      <c r="BJ26" s="520"/>
      <c r="BK26" s="522"/>
      <c r="BL26" s="532"/>
      <c r="BM26" s="520"/>
      <c r="BN26" s="520"/>
      <c r="BO26" s="522"/>
      <c r="BP26" s="532"/>
      <c r="BQ26" s="520"/>
      <c r="BR26" s="520"/>
      <c r="BS26" s="522"/>
      <c r="BT26" s="532"/>
      <c r="BU26" s="520"/>
      <c r="BV26" s="520"/>
      <c r="BW26" s="522"/>
      <c r="BX26" s="532"/>
      <c r="BY26" s="520"/>
      <c r="BZ26" s="520"/>
      <c r="CA26" s="522"/>
      <c r="CB26" s="532"/>
      <c r="CC26" s="520"/>
      <c r="CD26" s="520"/>
      <c r="CE26" s="520"/>
      <c r="CF26" s="26"/>
    </row>
    <row r="27" spans="1:84" ht="12" thickTop="1">
      <c r="A27" s="515">
        <v>12</v>
      </c>
      <c r="B27" s="613"/>
      <c r="C27" s="516"/>
      <c r="D27" s="517" t="str">
        <f t="shared" si="15"/>
        <v/>
      </c>
      <c r="E27" s="516"/>
      <c r="F27" s="516"/>
      <c r="G27" s="516" t="str">
        <f t="shared" si="16"/>
        <v/>
      </c>
      <c r="H27" s="614">
        <f t="shared" si="17"/>
        <v>0</v>
      </c>
      <c r="I27" s="614">
        <f t="shared" si="18"/>
        <v>0</v>
      </c>
      <c r="J27" s="516"/>
      <c r="K27" s="615"/>
      <c r="L27" s="524"/>
      <c r="M27" s="520"/>
      <c r="N27" s="520"/>
      <c r="O27" s="522"/>
      <c r="P27" s="632"/>
      <c r="Q27" s="533"/>
      <c r="R27" s="533"/>
      <c r="S27" s="665"/>
      <c r="T27" s="632"/>
      <c r="U27" s="533"/>
      <c r="V27" s="533"/>
      <c r="W27" s="665"/>
      <c r="X27" s="632"/>
      <c r="Y27" s="533"/>
      <c r="Z27" s="533"/>
      <c r="AA27" s="665"/>
      <c r="AB27" s="632"/>
      <c r="AC27" s="533"/>
      <c r="AD27" s="533"/>
      <c r="AE27" s="665"/>
      <c r="AF27" s="632"/>
      <c r="AG27" s="533"/>
      <c r="AH27" s="533"/>
      <c r="AI27" s="665"/>
      <c r="AJ27" s="632"/>
      <c r="AK27" s="533"/>
      <c r="AL27" s="533"/>
      <c r="AM27" s="665"/>
      <c r="AN27" s="632"/>
      <c r="AO27" s="533"/>
      <c r="AP27" s="533"/>
      <c r="AQ27" s="665"/>
      <c r="AR27" s="632"/>
      <c r="AS27" s="533"/>
      <c r="AT27" s="533"/>
      <c r="AU27" s="665"/>
      <c r="AV27" s="532"/>
      <c r="AW27" s="520"/>
      <c r="AX27" s="520"/>
      <c r="AY27" s="523"/>
      <c r="AZ27" s="524"/>
      <c r="BA27" s="520"/>
      <c r="BB27" s="520"/>
      <c r="BC27" s="522"/>
      <c r="BD27" s="532"/>
      <c r="BE27" s="520"/>
      <c r="BF27" s="520"/>
      <c r="BG27" s="522"/>
      <c r="BH27" s="532"/>
      <c r="BI27" s="520"/>
      <c r="BJ27" s="520"/>
      <c r="BK27" s="522"/>
      <c r="BL27" s="532"/>
      <c r="BM27" s="520"/>
      <c r="BN27" s="520"/>
      <c r="BO27" s="522"/>
      <c r="BP27" s="532"/>
      <c r="BQ27" s="520"/>
      <c r="BR27" s="520"/>
      <c r="BS27" s="522"/>
      <c r="BT27" s="532"/>
      <c r="BU27" s="520"/>
      <c r="BV27" s="520"/>
      <c r="BW27" s="522"/>
      <c r="BX27" s="532"/>
      <c r="BY27" s="520"/>
      <c r="BZ27" s="520"/>
      <c r="CA27" s="522"/>
      <c r="CB27" s="532"/>
      <c r="CC27" s="520"/>
      <c r="CD27" s="520"/>
      <c r="CE27" s="520"/>
      <c r="CF27" s="26"/>
    </row>
    <row r="28" spans="1:84">
      <c r="A28" s="515">
        <v>13</v>
      </c>
      <c r="B28" s="613" t="s">
        <v>474</v>
      </c>
      <c r="C28" s="516"/>
      <c r="D28" s="517" t="str">
        <f t="shared" si="15"/>
        <v/>
      </c>
      <c r="E28" s="516"/>
      <c r="F28" s="516"/>
      <c r="G28" s="516" t="str">
        <f t="shared" si="16"/>
        <v/>
      </c>
      <c r="H28" s="614">
        <f t="shared" si="17"/>
        <v>0</v>
      </c>
      <c r="I28" s="614">
        <f t="shared" si="18"/>
        <v>0</v>
      </c>
      <c r="J28" s="516"/>
      <c r="K28" s="615"/>
      <c r="L28" s="524"/>
      <c r="M28" s="520"/>
      <c r="N28" s="520"/>
      <c r="O28" s="522"/>
      <c r="P28" s="532"/>
      <c r="Q28" s="520"/>
      <c r="R28" s="520"/>
      <c r="S28" s="522"/>
      <c r="T28" s="532"/>
      <c r="U28" s="520"/>
      <c r="V28" s="520"/>
      <c r="W28" s="522"/>
      <c r="X28" s="532"/>
      <c r="Y28" s="520"/>
      <c r="Z28" s="520"/>
      <c r="AA28" s="522"/>
      <c r="AB28" s="532"/>
      <c r="AC28" s="520"/>
      <c r="AD28" s="520"/>
      <c r="AE28" s="522"/>
      <c r="AF28" s="532"/>
      <c r="AG28" s="520"/>
      <c r="AH28" s="520"/>
      <c r="AI28" s="522"/>
      <c r="AJ28" s="532"/>
      <c r="AK28" s="520"/>
      <c r="AL28" s="520"/>
      <c r="AM28" s="522"/>
      <c r="AN28" s="532"/>
      <c r="AO28" s="520"/>
      <c r="AP28" s="520"/>
      <c r="AQ28" s="522"/>
      <c r="AR28" s="532"/>
      <c r="AS28" s="520"/>
      <c r="AT28" s="520"/>
      <c r="AU28" s="522"/>
      <c r="AV28" s="532"/>
      <c r="AW28" s="520"/>
      <c r="AX28" s="520"/>
      <c r="AY28" s="523"/>
      <c r="AZ28" s="524"/>
      <c r="BA28" s="520"/>
      <c r="BB28" s="520"/>
      <c r="BC28" s="522"/>
      <c r="BD28" s="532"/>
      <c r="BE28" s="520"/>
      <c r="BF28" s="520"/>
      <c r="BG28" s="522"/>
      <c r="BH28" s="532"/>
      <c r="BI28" s="520"/>
      <c r="BJ28" s="520"/>
      <c r="BK28" s="522"/>
      <c r="BL28" s="532"/>
      <c r="BM28" s="520"/>
      <c r="BN28" s="520"/>
      <c r="BO28" s="522"/>
      <c r="BP28" s="532"/>
      <c r="BQ28" s="520"/>
      <c r="BR28" s="520"/>
      <c r="BS28" s="522"/>
      <c r="BT28" s="532"/>
      <c r="BU28" s="520"/>
      <c r="BV28" s="520"/>
      <c r="BW28" s="522"/>
      <c r="BX28" s="532"/>
      <c r="BY28" s="520"/>
      <c r="BZ28" s="520"/>
      <c r="CA28" s="522"/>
      <c r="CB28" s="532"/>
      <c r="CC28" s="520"/>
      <c r="CD28" s="520"/>
      <c r="CE28" s="520"/>
      <c r="CF28" s="26"/>
    </row>
    <row r="29" spans="1:84" ht="12" thickBot="1">
      <c r="A29" s="515">
        <v>14</v>
      </c>
      <c r="B29" s="613"/>
      <c r="C29" s="613" t="s">
        <v>476</v>
      </c>
      <c r="D29" s="517">
        <f t="shared" si="15"/>
        <v>14</v>
      </c>
      <c r="E29" s="516"/>
      <c r="F29" s="516"/>
      <c r="G29" s="516" t="str">
        <f t="shared" si="16"/>
        <v/>
      </c>
      <c r="H29" s="614">
        <f t="shared" si="17"/>
        <v>0</v>
      </c>
      <c r="I29" s="614">
        <f t="shared" si="18"/>
        <v>0</v>
      </c>
      <c r="J29" s="516"/>
      <c r="K29" s="615"/>
      <c r="L29" s="524"/>
      <c r="M29" s="520"/>
      <c r="N29" s="520"/>
      <c r="O29" s="522"/>
      <c r="P29" s="532"/>
      <c r="Q29" s="520"/>
      <c r="R29" s="627"/>
      <c r="S29" s="618"/>
      <c r="T29" s="629"/>
      <c r="U29" s="627"/>
      <c r="V29" s="627"/>
      <c r="W29" s="618"/>
      <c r="X29" s="697"/>
      <c r="Y29" s="698"/>
      <c r="Z29" s="698"/>
      <c r="AA29" s="705"/>
      <c r="AB29" s="532"/>
      <c r="AC29" s="699"/>
      <c r="AD29" s="699"/>
      <c r="AE29" s="660"/>
      <c r="AF29" s="700"/>
      <c r="AG29" s="666"/>
      <c r="AH29" s="666"/>
      <c r="AI29" s="522"/>
      <c r="AJ29" s="532"/>
      <c r="AK29" s="520"/>
      <c r="AL29" s="520"/>
      <c r="AM29" s="522"/>
      <c r="AN29" s="532"/>
      <c r="AO29" s="520"/>
      <c r="AP29" s="520"/>
      <c r="AQ29" s="522"/>
      <c r="AR29" s="532"/>
      <c r="AS29" s="520"/>
      <c r="AT29" s="520"/>
      <c r="AU29" s="522"/>
      <c r="AV29" s="532"/>
      <c r="AW29" s="520"/>
      <c r="AX29" s="520"/>
      <c r="AY29" s="523"/>
      <c r="AZ29" s="524"/>
      <c r="BA29" s="520"/>
      <c r="BB29" s="520"/>
      <c r="BC29" s="522"/>
      <c r="BD29" s="532"/>
      <c r="BE29" s="520"/>
      <c r="BF29" s="520"/>
      <c r="BG29" s="522"/>
      <c r="BH29" s="532"/>
      <c r="BI29" s="520"/>
      <c r="BJ29" s="520"/>
      <c r="BK29" s="522"/>
      <c r="BL29" s="532"/>
      <c r="BM29" s="520"/>
      <c r="BN29" s="520"/>
      <c r="BO29" s="522"/>
      <c r="BP29" s="532"/>
      <c r="BQ29" s="520"/>
      <c r="BR29" s="520"/>
      <c r="BS29" s="522"/>
      <c r="BT29" s="532"/>
      <c r="BU29" s="520"/>
      <c r="BV29" s="520"/>
      <c r="BW29" s="522"/>
      <c r="BX29" s="532"/>
      <c r="BY29" s="520"/>
      <c r="BZ29" s="520"/>
      <c r="CA29" s="522"/>
      <c r="CB29" s="532"/>
      <c r="CC29" s="520"/>
      <c r="CD29" s="520"/>
      <c r="CE29" s="520"/>
      <c r="CF29" s="26"/>
    </row>
    <row r="30" spans="1:84" ht="12.75" thickTop="1" thickBot="1">
      <c r="A30" s="515">
        <v>15</v>
      </c>
      <c r="B30" s="613"/>
      <c r="C30" s="613" t="s">
        <v>477</v>
      </c>
      <c r="D30" s="517">
        <f t="shared" si="15"/>
        <v>5</v>
      </c>
      <c r="E30" s="516"/>
      <c r="F30" s="516"/>
      <c r="G30" s="516" t="str">
        <f t="shared" si="16"/>
        <v/>
      </c>
      <c r="H30" s="614">
        <f t="shared" si="17"/>
        <v>0</v>
      </c>
      <c r="I30" s="614">
        <f t="shared" si="18"/>
        <v>0</v>
      </c>
      <c r="J30" s="516"/>
      <c r="K30" s="615"/>
      <c r="L30" s="524"/>
      <c r="M30" s="520"/>
      <c r="N30" s="520"/>
      <c r="O30" s="522"/>
      <c r="P30" s="532"/>
      <c r="Q30" s="520"/>
      <c r="R30" s="628"/>
      <c r="S30" s="619"/>
      <c r="T30" s="630"/>
      <c r="U30" s="628"/>
      <c r="V30" s="648"/>
      <c r="W30" s="649"/>
      <c r="X30" s="650"/>
      <c r="Y30" s="648"/>
      <c r="Z30" s="648"/>
      <c r="AA30" s="667"/>
      <c r="AB30" s="532"/>
      <c r="AC30" s="537"/>
      <c r="AD30" s="537"/>
      <c r="AE30" s="668"/>
      <c r="AF30" s="679"/>
      <c r="AG30" s="520"/>
      <c r="AH30" s="520"/>
      <c r="AI30" s="522"/>
      <c r="AJ30" s="532"/>
      <c r="AK30" s="520"/>
      <c r="AL30" s="520"/>
      <c r="AM30" s="522"/>
      <c r="AN30" s="532"/>
      <c r="AO30" s="520"/>
      <c r="AP30" s="520"/>
      <c r="AQ30" s="522"/>
      <c r="AR30" s="532"/>
      <c r="AS30" s="520"/>
      <c r="AT30" s="520"/>
      <c r="AU30" s="522"/>
      <c r="AV30" s="532"/>
      <c r="AW30" s="520"/>
      <c r="AX30" s="520"/>
      <c r="AY30" s="523"/>
      <c r="AZ30" s="524"/>
      <c r="BA30" s="520"/>
      <c r="BB30" s="520"/>
      <c r="BC30" s="522"/>
      <c r="BD30" s="532"/>
      <c r="BE30" s="520"/>
      <c r="BF30" s="520"/>
      <c r="BG30" s="522"/>
      <c r="BH30" s="532"/>
      <c r="BI30" s="520"/>
      <c r="BJ30" s="520"/>
      <c r="BK30" s="522"/>
      <c r="BL30" s="532"/>
      <c r="BM30" s="520"/>
      <c r="BN30" s="520"/>
      <c r="BO30" s="522"/>
      <c r="BP30" s="532"/>
      <c r="BQ30" s="520"/>
      <c r="BR30" s="520"/>
      <c r="BS30" s="522"/>
      <c r="BT30" s="532"/>
      <c r="BU30" s="520"/>
      <c r="BV30" s="520"/>
      <c r="BW30" s="522"/>
      <c r="BX30" s="532"/>
      <c r="BY30" s="520"/>
      <c r="BZ30" s="520"/>
      <c r="CA30" s="522"/>
      <c r="CB30" s="532"/>
      <c r="CC30" s="520"/>
      <c r="CD30" s="520"/>
      <c r="CE30" s="520"/>
      <c r="CF30" s="29"/>
    </row>
    <row r="31" spans="1:84" ht="12.75" thickTop="1" thickBot="1">
      <c r="A31" s="515">
        <v>16</v>
      </c>
      <c r="B31" s="613"/>
      <c r="C31" s="613" t="s">
        <v>478</v>
      </c>
      <c r="D31" s="517">
        <f t="shared" si="15"/>
        <v>9</v>
      </c>
      <c r="E31" s="516"/>
      <c r="F31" s="516"/>
      <c r="G31" s="516" t="str">
        <f t="shared" si="16"/>
        <v/>
      </c>
      <c r="H31" s="614">
        <f t="shared" si="17"/>
        <v>0</v>
      </c>
      <c r="I31" s="614">
        <f t="shared" si="18"/>
        <v>0</v>
      </c>
      <c r="J31" s="516"/>
      <c r="K31" s="615"/>
      <c r="L31" s="524"/>
      <c r="M31" s="520"/>
      <c r="N31" s="520"/>
      <c r="O31" s="522"/>
      <c r="P31" s="532"/>
      <c r="Q31" s="520"/>
      <c r="R31" s="520"/>
      <c r="S31" s="522"/>
      <c r="T31" s="532"/>
      <c r="U31" s="520"/>
      <c r="V31" s="628"/>
      <c r="W31" s="619"/>
      <c r="X31" s="630"/>
      <c r="Y31" s="628"/>
      <c r="Z31" s="628"/>
      <c r="AA31" s="522"/>
      <c r="AB31" s="532"/>
      <c r="AC31" s="520"/>
      <c r="AD31" s="520"/>
      <c r="AE31" s="522"/>
      <c r="AF31" s="532"/>
      <c r="AG31" s="520"/>
      <c r="AH31" s="627"/>
      <c r="AI31" s="618"/>
      <c r="AJ31" s="629"/>
      <c r="AK31" s="627"/>
      <c r="AL31" s="627"/>
      <c r="AM31" s="618"/>
      <c r="AN31" s="629"/>
      <c r="AO31" s="627"/>
      <c r="AP31" s="627"/>
      <c r="AQ31" s="522"/>
      <c r="AR31" s="532"/>
      <c r="AS31" s="520"/>
      <c r="AT31" s="520"/>
      <c r="AU31" s="522"/>
      <c r="AV31" s="532"/>
      <c r="AW31" s="520"/>
      <c r="AX31" s="520"/>
      <c r="AY31" s="523"/>
      <c r="AZ31" s="524"/>
      <c r="BA31" s="520"/>
      <c r="BB31" s="520"/>
      <c r="BC31" s="522"/>
      <c r="BD31" s="532"/>
      <c r="BE31" s="520"/>
      <c r="BF31" s="520"/>
      <c r="BG31" s="522"/>
      <c r="BH31" s="532"/>
      <c r="BI31" s="520"/>
      <c r="BJ31" s="520"/>
      <c r="BK31" s="522"/>
      <c r="BL31" s="532"/>
      <c r="BM31" s="520"/>
      <c r="BN31" s="520"/>
      <c r="BO31" s="522"/>
      <c r="BP31" s="532"/>
      <c r="BQ31" s="520"/>
      <c r="BR31" s="520"/>
      <c r="BS31" s="522"/>
      <c r="BT31" s="532"/>
      <c r="BU31" s="520"/>
      <c r="BV31" s="520"/>
      <c r="BW31" s="522"/>
      <c r="BX31" s="532"/>
      <c r="BY31" s="520"/>
      <c r="BZ31" s="520"/>
      <c r="CA31" s="522"/>
      <c r="CB31" s="532"/>
      <c r="CC31" s="520"/>
      <c r="CD31" s="520"/>
      <c r="CE31" s="520"/>
      <c r="CF31" s="29"/>
    </row>
    <row r="32" spans="1:84" ht="12.75" thickTop="1" thickBot="1">
      <c r="A32" s="515">
        <v>17</v>
      </c>
      <c r="B32" s="613"/>
      <c r="C32" s="516"/>
      <c r="D32" s="517">
        <f t="shared" si="15"/>
        <v>11</v>
      </c>
      <c r="E32" s="516"/>
      <c r="F32" s="516"/>
      <c r="G32" s="516" t="str">
        <f t="shared" si="16"/>
        <v/>
      </c>
      <c r="H32" s="614">
        <f t="shared" si="17"/>
        <v>0</v>
      </c>
      <c r="I32" s="614">
        <f t="shared" si="18"/>
        <v>0</v>
      </c>
      <c r="J32" s="516"/>
      <c r="K32" s="615">
        <v>22</v>
      </c>
      <c r="L32" s="524"/>
      <c r="M32" s="520"/>
      <c r="N32" s="520"/>
      <c r="O32" s="522"/>
      <c r="P32" s="532"/>
      <c r="Q32" s="520"/>
      <c r="R32" s="520"/>
      <c r="S32" s="522"/>
      <c r="T32" s="532"/>
      <c r="U32" s="520"/>
      <c r="V32" s="520"/>
      <c r="W32" s="522"/>
      <c r="X32" s="532"/>
      <c r="Y32" s="520"/>
      <c r="Z32" s="520"/>
      <c r="AA32" s="522"/>
      <c r="AB32" s="532"/>
      <c r="AC32" s="520"/>
      <c r="AD32" s="701">
        <v>22</v>
      </c>
      <c r="AE32" s="658">
        <v>22</v>
      </c>
      <c r="AF32" s="702">
        <v>22</v>
      </c>
      <c r="AG32" s="701">
        <v>22</v>
      </c>
      <c r="AH32" s="703">
        <v>22</v>
      </c>
      <c r="AI32" s="659">
        <v>22</v>
      </c>
      <c r="AJ32" s="704">
        <v>22</v>
      </c>
      <c r="AK32" s="703">
        <v>22</v>
      </c>
      <c r="AL32" s="703">
        <v>22</v>
      </c>
      <c r="AM32" s="659">
        <v>22</v>
      </c>
      <c r="AN32" s="704">
        <v>22</v>
      </c>
      <c r="AO32" s="628"/>
      <c r="AP32" s="628"/>
      <c r="AQ32" s="522"/>
      <c r="AR32" s="532"/>
      <c r="AS32" s="520"/>
      <c r="AT32" s="520"/>
      <c r="AU32" s="522"/>
      <c r="AV32" s="532"/>
      <c r="AW32" s="520"/>
      <c r="AX32" s="520"/>
      <c r="AY32" s="523"/>
      <c r="AZ32" s="524"/>
      <c r="BA32" s="520"/>
      <c r="BB32" s="520"/>
      <c r="BC32" s="522"/>
      <c r="BD32" s="532"/>
      <c r="BE32" s="520"/>
      <c r="BF32" s="520"/>
      <c r="BG32" s="522"/>
      <c r="BH32" s="532"/>
      <c r="BI32" s="520"/>
      <c r="BJ32" s="520"/>
      <c r="BK32" s="522"/>
      <c r="BL32" s="532"/>
      <c r="BM32" s="520"/>
      <c r="BN32" s="520"/>
      <c r="BO32" s="522"/>
      <c r="BP32" s="532"/>
      <c r="BQ32" s="520"/>
      <c r="BR32" s="520"/>
      <c r="BS32" s="522"/>
      <c r="BT32" s="532"/>
      <c r="BU32" s="520"/>
      <c r="BV32" s="520"/>
      <c r="BW32" s="522"/>
      <c r="BX32" s="532"/>
      <c r="BY32" s="520"/>
      <c r="BZ32" s="520"/>
      <c r="CA32" s="522"/>
      <c r="CB32" s="532"/>
      <c r="CC32" s="520"/>
      <c r="CD32" s="520"/>
      <c r="CE32" s="520"/>
      <c r="CF32" s="29"/>
    </row>
    <row r="33" spans="1:84" ht="12.75" thickTop="1" thickBot="1">
      <c r="A33" s="515">
        <v>18</v>
      </c>
      <c r="B33" s="613" t="s">
        <v>479</v>
      </c>
      <c r="C33" s="516"/>
      <c r="D33" s="517">
        <f t="shared" si="15"/>
        <v>13</v>
      </c>
      <c r="E33" s="516"/>
      <c r="F33" s="516"/>
      <c r="G33" s="516" t="str">
        <f t="shared" si="16"/>
        <v/>
      </c>
      <c r="H33" s="614">
        <f t="shared" si="17"/>
        <v>0</v>
      </c>
      <c r="I33" s="614">
        <f t="shared" si="18"/>
        <v>0</v>
      </c>
      <c r="J33" s="516"/>
      <c r="K33" s="615"/>
      <c r="L33" s="524"/>
      <c r="M33" s="520"/>
      <c r="N33" s="520"/>
      <c r="O33" s="522"/>
      <c r="P33" s="532"/>
      <c r="Q33" s="520"/>
      <c r="R33" s="520"/>
      <c r="S33" s="522"/>
      <c r="T33" s="655"/>
      <c r="U33" s="656"/>
      <c r="V33" s="656"/>
      <c r="W33" s="657"/>
      <c r="X33" s="655"/>
      <c r="Y33" s="656"/>
      <c r="Z33" s="656"/>
      <c r="AA33" s="657"/>
      <c r="AB33" s="655"/>
      <c r="AC33" s="656"/>
      <c r="AD33" s="656"/>
      <c r="AE33" s="657"/>
      <c r="AF33" s="655"/>
      <c r="AG33" s="680"/>
      <c r="AH33" s="680"/>
      <c r="AI33" s="669"/>
      <c r="AJ33" s="681"/>
      <c r="AK33" s="680"/>
      <c r="AL33" s="680"/>
      <c r="AM33" s="669"/>
      <c r="AN33" s="681"/>
      <c r="AO33" s="520"/>
      <c r="AP33" s="520"/>
      <c r="AQ33" s="522"/>
      <c r="AR33" s="532"/>
      <c r="AS33" s="520"/>
      <c r="AT33" s="520"/>
      <c r="AU33" s="522"/>
      <c r="AV33" s="532"/>
      <c r="AW33" s="520"/>
      <c r="AX33" s="520"/>
      <c r="AY33" s="523"/>
      <c r="AZ33" s="524"/>
      <c r="BA33" s="520"/>
      <c r="BB33" s="520"/>
      <c r="BC33" s="522"/>
      <c r="BD33" s="532"/>
      <c r="BE33" s="520"/>
      <c r="BF33" s="520"/>
      <c r="BG33" s="522"/>
      <c r="BH33" s="532"/>
      <c r="BI33" s="520"/>
      <c r="BJ33" s="520"/>
      <c r="BK33" s="522"/>
      <c r="BL33" s="532"/>
      <c r="BM33" s="520"/>
      <c r="BN33" s="520"/>
      <c r="BO33" s="522"/>
      <c r="BP33" s="532"/>
      <c r="BQ33" s="520"/>
      <c r="BR33" s="520"/>
      <c r="BS33" s="522"/>
      <c r="BT33" s="532"/>
      <c r="BU33" s="520"/>
      <c r="BV33" s="520"/>
      <c r="BW33" s="522"/>
      <c r="BX33" s="532"/>
      <c r="BY33" s="520"/>
      <c r="BZ33" s="520"/>
      <c r="CA33" s="522"/>
      <c r="CB33" s="532"/>
      <c r="CC33" s="520"/>
      <c r="CD33" s="520"/>
      <c r="CE33" s="520"/>
      <c r="CF33" s="29"/>
    </row>
    <row r="34" spans="1:84" ht="12.75" thickTop="1" thickBot="1">
      <c r="A34" s="515">
        <v>19</v>
      </c>
      <c r="B34" s="613"/>
      <c r="C34" s="613" t="s">
        <v>480</v>
      </c>
      <c r="D34" s="517">
        <f t="shared" si="15"/>
        <v>4</v>
      </c>
      <c r="E34" s="516"/>
      <c r="F34" s="516"/>
      <c r="G34" s="516" t="str">
        <f t="shared" si="16"/>
        <v/>
      </c>
      <c r="H34" s="614">
        <f t="shared" si="17"/>
        <v>0</v>
      </c>
      <c r="I34" s="614">
        <f t="shared" si="18"/>
        <v>0</v>
      </c>
      <c r="J34" s="516"/>
      <c r="K34" s="615"/>
      <c r="L34" s="623"/>
      <c r="M34" s="625"/>
      <c r="N34" s="520"/>
      <c r="O34" s="653"/>
      <c r="P34" s="532"/>
      <c r="Q34" s="520"/>
      <c r="R34" s="627"/>
      <c r="S34" s="522"/>
      <c r="T34" s="673"/>
      <c r="U34" s="544"/>
      <c r="V34" s="544"/>
      <c r="W34" s="663"/>
      <c r="X34" s="673"/>
      <c r="Y34" s="544"/>
      <c r="Z34" s="544"/>
      <c r="AA34" s="663"/>
      <c r="AB34" s="673"/>
      <c r="AC34" s="544"/>
      <c r="AD34" s="544"/>
      <c r="AE34" s="663"/>
      <c r="AF34" s="673"/>
      <c r="AG34" s="520"/>
      <c r="AH34" s="520"/>
      <c r="AI34" s="522"/>
      <c r="AJ34" s="532"/>
      <c r="AK34" s="520"/>
      <c r="AL34" s="520"/>
      <c r="AM34" s="522"/>
      <c r="AN34" s="532"/>
      <c r="AO34" s="520"/>
      <c r="AP34" s="520"/>
      <c r="AQ34" s="522"/>
      <c r="AR34" s="532"/>
      <c r="AS34" s="520"/>
      <c r="AT34" s="520"/>
      <c r="AU34" s="522"/>
      <c r="AV34" s="532"/>
      <c r="AW34" s="520"/>
      <c r="AX34" s="520"/>
      <c r="AY34" s="523"/>
      <c r="AZ34" s="524"/>
      <c r="BA34" s="520"/>
      <c r="BB34" s="520"/>
      <c r="BC34" s="522"/>
      <c r="BD34" s="532"/>
      <c r="BE34" s="520"/>
      <c r="BF34" s="520"/>
      <c r="BG34" s="522"/>
      <c r="BH34" s="532"/>
      <c r="BI34" s="520"/>
      <c r="BJ34" s="520"/>
      <c r="BK34" s="522"/>
      <c r="BL34" s="532"/>
      <c r="BM34" s="520"/>
      <c r="BN34" s="520"/>
      <c r="BO34" s="522"/>
      <c r="BP34" s="532"/>
      <c r="BQ34" s="520"/>
      <c r="BR34" s="520"/>
      <c r="BS34" s="522"/>
      <c r="BT34" s="532"/>
      <c r="BU34" s="520"/>
      <c r="BV34" s="520"/>
      <c r="BW34" s="522"/>
      <c r="BX34" s="532"/>
      <c r="BY34" s="520"/>
      <c r="BZ34" s="520"/>
      <c r="CA34" s="522"/>
      <c r="CB34" s="532"/>
      <c r="CC34" s="520"/>
      <c r="CD34" s="520"/>
      <c r="CE34" s="520"/>
      <c r="CF34" s="29"/>
    </row>
    <row r="35" spans="1:84" ht="12.75" thickTop="1" thickBot="1">
      <c r="A35" s="515">
        <v>20</v>
      </c>
      <c r="B35" s="613"/>
      <c r="C35" s="613" t="s">
        <v>481</v>
      </c>
      <c r="D35" s="517">
        <f t="shared" si="15"/>
        <v>2</v>
      </c>
      <c r="E35" s="516"/>
      <c r="F35" s="516"/>
      <c r="G35" s="516" t="str">
        <f t="shared" si="16"/>
        <v/>
      </c>
      <c r="H35" s="614">
        <f t="shared" si="17"/>
        <v>0</v>
      </c>
      <c r="I35" s="614">
        <f t="shared" si="18"/>
        <v>0</v>
      </c>
      <c r="J35" s="516"/>
      <c r="K35" s="615"/>
      <c r="L35" s="608"/>
      <c r="M35" s="525"/>
      <c r="N35" s="520"/>
      <c r="O35" s="662"/>
      <c r="P35" s="532"/>
      <c r="Q35" s="520"/>
      <c r="R35" s="628"/>
      <c r="S35" s="522"/>
      <c r="T35" s="633"/>
      <c r="U35" s="625"/>
      <c r="V35" s="520"/>
      <c r="W35" s="522"/>
      <c r="X35" s="532"/>
      <c r="Y35" s="520"/>
      <c r="Z35" s="520"/>
      <c r="AA35" s="522"/>
      <c r="AB35" s="532"/>
      <c r="AC35" s="520"/>
      <c r="AD35" s="520"/>
      <c r="AE35" s="522"/>
      <c r="AF35" s="532"/>
      <c r="AG35" s="520"/>
      <c r="AH35" s="520"/>
      <c r="AI35" s="522"/>
      <c r="AJ35" s="532"/>
      <c r="AK35" s="520"/>
      <c r="AL35" s="520"/>
      <c r="AM35" s="522"/>
      <c r="AN35" s="532"/>
      <c r="AO35" s="520"/>
      <c r="AP35" s="520"/>
      <c r="AQ35" s="522"/>
      <c r="AR35" s="532"/>
      <c r="AS35" s="520"/>
      <c r="AT35" s="520"/>
      <c r="AU35" s="522"/>
      <c r="AV35" s="532"/>
      <c r="AW35" s="520"/>
      <c r="AX35" s="520"/>
      <c r="AY35" s="523"/>
      <c r="AZ35" s="524"/>
      <c r="BA35" s="520"/>
      <c r="BB35" s="520"/>
      <c r="BC35" s="522"/>
      <c r="BD35" s="532"/>
      <c r="BE35" s="520"/>
      <c r="BF35" s="520"/>
      <c r="BG35" s="522"/>
      <c r="BH35" s="532"/>
      <c r="BI35" s="520"/>
      <c r="BJ35" s="520"/>
      <c r="BK35" s="522"/>
      <c r="BL35" s="532"/>
      <c r="BM35" s="520"/>
      <c r="BN35" s="520"/>
      <c r="BO35" s="522"/>
      <c r="BP35" s="532"/>
      <c r="BQ35" s="520"/>
      <c r="BR35" s="520"/>
      <c r="BS35" s="522"/>
      <c r="BT35" s="532"/>
      <c r="BU35" s="520"/>
      <c r="BV35" s="520"/>
      <c r="BW35" s="522"/>
      <c r="BX35" s="532"/>
      <c r="BY35" s="520"/>
      <c r="BZ35" s="520"/>
      <c r="CA35" s="522"/>
      <c r="CB35" s="532"/>
      <c r="CC35" s="520"/>
      <c r="CD35" s="520"/>
      <c r="CE35" s="520"/>
      <c r="CF35" s="29"/>
    </row>
    <row r="36" spans="1:84" ht="12.75" thickTop="1" thickBot="1">
      <c r="A36" s="515">
        <v>21</v>
      </c>
      <c r="B36" s="613"/>
      <c r="C36" s="613" t="s">
        <v>482</v>
      </c>
      <c r="D36" s="517">
        <f t="shared" si="15"/>
        <v>3</v>
      </c>
      <c r="E36" s="516"/>
      <c r="F36" s="516"/>
      <c r="G36" s="516" t="str">
        <f t="shared" si="16"/>
        <v/>
      </c>
      <c r="H36" s="614">
        <f t="shared" si="17"/>
        <v>0</v>
      </c>
      <c r="I36" s="614">
        <f t="shared" si="18"/>
        <v>0</v>
      </c>
      <c r="J36" s="516"/>
      <c r="K36" s="615"/>
      <c r="L36" s="524"/>
      <c r="M36" s="520"/>
      <c r="N36" s="520"/>
      <c r="O36" s="522"/>
      <c r="P36" s="532"/>
      <c r="Q36" s="520"/>
      <c r="R36" s="520"/>
      <c r="S36" s="522"/>
      <c r="T36" s="634"/>
      <c r="U36" s="525"/>
      <c r="V36" s="520"/>
      <c r="W36" s="522"/>
      <c r="X36" s="532"/>
      <c r="Y36" s="520"/>
      <c r="Z36" s="520"/>
      <c r="AA36" s="620"/>
      <c r="AB36" s="633"/>
      <c r="AC36" s="625"/>
      <c r="AD36" s="520"/>
      <c r="AE36" s="522"/>
      <c r="AF36" s="532"/>
      <c r="AG36" s="520"/>
      <c r="AH36" s="520"/>
      <c r="AI36" s="522"/>
      <c r="AJ36" s="532"/>
      <c r="AK36" s="520"/>
      <c r="AL36" s="520"/>
      <c r="AM36" s="522"/>
      <c r="AN36" s="532"/>
      <c r="AO36" s="520"/>
      <c r="AP36" s="520"/>
      <c r="AQ36" s="522"/>
      <c r="AR36" s="532"/>
      <c r="AS36" s="520"/>
      <c r="AT36" s="520"/>
      <c r="AU36" s="522"/>
      <c r="AV36" s="532"/>
      <c r="AW36" s="520"/>
      <c r="AX36" s="520"/>
      <c r="AY36" s="523"/>
      <c r="AZ36" s="524"/>
      <c r="BA36" s="520"/>
      <c r="BB36" s="520"/>
      <c r="BC36" s="522"/>
      <c r="BD36" s="532"/>
      <c r="BE36" s="520"/>
      <c r="BF36" s="520"/>
      <c r="BG36" s="522"/>
      <c r="BH36" s="532"/>
      <c r="BI36" s="520"/>
      <c r="BJ36" s="520"/>
      <c r="BK36" s="522"/>
      <c r="BL36" s="532"/>
      <c r="BM36" s="520"/>
      <c r="BN36" s="520"/>
      <c r="BO36" s="522"/>
      <c r="BP36" s="532"/>
      <c r="BQ36" s="520"/>
      <c r="BR36" s="520"/>
      <c r="BS36" s="522"/>
      <c r="BT36" s="532"/>
      <c r="BU36" s="520"/>
      <c r="BV36" s="520"/>
      <c r="BW36" s="522"/>
      <c r="BX36" s="532"/>
      <c r="BY36" s="520"/>
      <c r="BZ36" s="520"/>
      <c r="CA36" s="522"/>
      <c r="CB36" s="532"/>
      <c r="CC36" s="520"/>
      <c r="CD36" s="520"/>
      <c r="CE36" s="520"/>
      <c r="CF36" s="29"/>
    </row>
    <row r="37" spans="1:84" ht="12.75" thickTop="1" thickBot="1">
      <c r="A37" s="515">
        <v>22</v>
      </c>
      <c r="B37" s="613"/>
      <c r="C37" s="613" t="s">
        <v>483</v>
      </c>
      <c r="D37" s="517">
        <f t="shared" si="15"/>
        <v>3</v>
      </c>
      <c r="E37" s="516"/>
      <c r="F37" s="516"/>
      <c r="G37" s="516" t="str">
        <f t="shared" si="16"/>
        <v/>
      </c>
      <c r="H37" s="614">
        <f t="shared" si="17"/>
        <v>0</v>
      </c>
      <c r="I37" s="614">
        <f t="shared" si="18"/>
        <v>0</v>
      </c>
      <c r="J37" s="516"/>
      <c r="K37" s="615"/>
      <c r="L37" s="524"/>
      <c r="M37" s="520"/>
      <c r="N37" s="520"/>
      <c r="O37" s="522"/>
      <c r="P37" s="532"/>
      <c r="Q37" s="520"/>
      <c r="R37" s="520"/>
      <c r="S37" s="522"/>
      <c r="T37" s="532"/>
      <c r="U37" s="520"/>
      <c r="V37" s="520"/>
      <c r="W37" s="522"/>
      <c r="X37" s="532"/>
      <c r="Y37" s="520"/>
      <c r="Z37" s="520"/>
      <c r="AA37" s="621"/>
      <c r="AB37" s="634"/>
      <c r="AC37" s="525"/>
      <c r="AD37" s="520"/>
      <c r="AE37" s="522"/>
      <c r="AF37" s="532"/>
      <c r="AG37" s="520"/>
      <c r="AH37" s="520"/>
      <c r="AI37" s="522"/>
      <c r="AJ37" s="532"/>
      <c r="AK37" s="520"/>
      <c r="AL37" s="520"/>
      <c r="AM37" s="522"/>
      <c r="AN37" s="532"/>
      <c r="AO37" s="520"/>
      <c r="AP37" s="520"/>
      <c r="AQ37" s="620"/>
      <c r="AR37" s="633"/>
      <c r="AS37" s="625"/>
      <c r="AT37" s="520"/>
      <c r="AU37" s="522"/>
      <c r="AV37" s="532"/>
      <c r="AW37" s="520"/>
      <c r="AX37" s="520"/>
      <c r="AY37" s="523"/>
      <c r="AZ37" s="524"/>
      <c r="BA37" s="520"/>
      <c r="BB37" s="520"/>
      <c r="BC37" s="522"/>
      <c r="BD37" s="532"/>
      <c r="BE37" s="520"/>
      <c r="BF37" s="520"/>
      <c r="BG37" s="522"/>
      <c r="BH37" s="532"/>
      <c r="BI37" s="520"/>
      <c r="BJ37" s="520"/>
      <c r="BK37" s="522"/>
      <c r="BL37" s="532"/>
      <c r="BM37" s="520"/>
      <c r="BN37" s="520"/>
      <c r="BO37" s="522"/>
      <c r="BP37" s="532"/>
      <c r="BQ37" s="520"/>
      <c r="BR37" s="520"/>
      <c r="BS37" s="522"/>
      <c r="BT37" s="532"/>
      <c r="BU37" s="520"/>
      <c r="BV37" s="520"/>
      <c r="BW37" s="522"/>
      <c r="BX37" s="532"/>
      <c r="BY37" s="520"/>
      <c r="BZ37" s="520"/>
      <c r="CA37" s="522"/>
      <c r="CB37" s="532"/>
      <c r="CC37" s="520"/>
      <c r="CD37" s="520"/>
      <c r="CE37" s="520"/>
      <c r="CF37" s="29"/>
    </row>
    <row r="38" spans="1:84" ht="12" thickTop="1">
      <c r="A38" s="515">
        <v>23</v>
      </c>
      <c r="B38" s="613"/>
      <c r="C38" s="613" t="s">
        <v>477</v>
      </c>
      <c r="D38" s="517" t="str">
        <f t="shared" si="15"/>
        <v/>
      </c>
      <c r="E38" s="516"/>
      <c r="F38" s="516"/>
      <c r="G38" s="516" t="str">
        <f t="shared" si="16"/>
        <v/>
      </c>
      <c r="H38" s="614">
        <f t="shared" si="17"/>
        <v>0</v>
      </c>
      <c r="I38" s="614">
        <f t="shared" si="18"/>
        <v>0</v>
      </c>
      <c r="J38" s="516"/>
      <c r="K38" s="615"/>
      <c r="L38" s="524"/>
      <c r="M38" s="520"/>
      <c r="N38" s="520"/>
      <c r="O38" s="522"/>
      <c r="P38" s="532"/>
      <c r="Q38" s="520"/>
      <c r="R38" s="520"/>
      <c r="S38" s="522"/>
      <c r="T38" s="532"/>
      <c r="U38" s="520"/>
      <c r="V38" s="520"/>
      <c r="W38" s="522"/>
      <c r="X38" s="532"/>
      <c r="Y38" s="520"/>
      <c r="Z38" s="520"/>
      <c r="AA38" s="522"/>
      <c r="AB38" s="532"/>
      <c r="AC38" s="520"/>
      <c r="AD38" s="520"/>
      <c r="AE38" s="522"/>
      <c r="AF38" s="532"/>
      <c r="AG38" s="520"/>
      <c r="AH38" s="520"/>
      <c r="AI38" s="522"/>
      <c r="AJ38" s="532"/>
      <c r="AK38" s="520"/>
      <c r="AL38" s="520"/>
      <c r="AM38" s="522"/>
      <c r="AN38" s="532"/>
      <c r="AO38" s="520"/>
      <c r="AP38" s="520"/>
      <c r="AQ38" s="621"/>
      <c r="AR38" s="634"/>
      <c r="AS38" s="525"/>
      <c r="AT38" s="520"/>
      <c r="AU38" s="522"/>
      <c r="AV38" s="532"/>
      <c r="AW38" s="520"/>
      <c r="AX38" s="520"/>
      <c r="AY38" s="523"/>
      <c r="AZ38" s="524"/>
      <c r="BA38" s="520"/>
      <c r="BB38" s="520"/>
      <c r="BC38" s="522"/>
      <c r="BD38" s="532"/>
      <c r="BE38" s="520"/>
      <c r="BF38" s="520"/>
      <c r="BG38" s="522"/>
      <c r="BH38" s="532"/>
      <c r="BI38" s="520"/>
      <c r="BJ38" s="520"/>
      <c r="BK38" s="522"/>
      <c r="BL38" s="532"/>
      <c r="BM38" s="520"/>
      <c r="BN38" s="520"/>
      <c r="BO38" s="522"/>
      <c r="BP38" s="532"/>
      <c r="BQ38" s="520"/>
      <c r="BR38" s="520"/>
      <c r="BS38" s="522"/>
      <c r="BT38" s="532"/>
      <c r="BU38" s="520"/>
      <c r="BV38" s="520"/>
      <c r="BW38" s="522"/>
      <c r="BX38" s="532"/>
      <c r="BY38" s="520"/>
      <c r="BZ38" s="520"/>
      <c r="CA38" s="522"/>
      <c r="CB38" s="532"/>
      <c r="CC38" s="520"/>
      <c r="CD38" s="520"/>
      <c r="CE38" s="520"/>
      <c r="CF38" s="29"/>
    </row>
  </sheetData>
  <dataConsolidate/>
  <mergeCells count="1">
    <mergeCell ref="H1:I1"/>
  </mergeCells>
  <phoneticPr fontId="0" type="noConversion"/>
  <dataValidations count="1">
    <dataValidation type="date" allowBlank="1" showInputMessage="1" showErrorMessage="1" sqref="H1">
      <formula1>1</formula1>
      <formula2>73051</formula2>
    </dataValidation>
  </dataValidations>
  <pageMargins left="0.39370078740157483" right="0.39370078740157483" top="0.39370078740157483" bottom="0.39370078740157483" header="0.51181102362204722" footer="0.51181102362204722"/>
  <pageSetup paperSize="9" scale="53" orientation="landscape" verticalDpi="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2"/>
  <dimension ref="A1:N978"/>
  <sheetViews>
    <sheetView workbookViewId="0">
      <pane ySplit="2310" activePane="bottomLeft"/>
      <selection pane="bottomLeft" activeCell="B15" sqref="B15"/>
    </sheetView>
  </sheetViews>
  <sheetFormatPr baseColWidth="10" defaultRowHeight="12.75" outlineLevelCol="1"/>
  <cols>
    <col min="1" max="1" width="3.42578125" customWidth="1"/>
    <col min="2" max="2" width="75.140625" customWidth="1"/>
    <col min="3" max="3" width="7.42578125" customWidth="1" outlineLevel="1"/>
    <col min="4" max="4" width="9.42578125" customWidth="1" outlineLevel="1"/>
    <col min="5" max="5" width="7.28515625" customWidth="1" outlineLevel="1"/>
    <col min="6" max="6" width="3" customWidth="1" outlineLevel="1"/>
    <col min="7" max="7" width="5.7109375" customWidth="1" outlineLevel="1"/>
    <col min="8" max="8" width="19" customWidth="1" outlineLevel="1"/>
    <col min="9" max="9" width="19.7109375" customWidth="1" outlineLevel="1"/>
    <col min="10" max="10" width="22.42578125" style="444" customWidth="1"/>
  </cols>
  <sheetData>
    <row r="1" spans="1:14" ht="55.5" customHeight="1" thickBot="1">
      <c r="A1" s="36" t="s">
        <v>634</v>
      </c>
      <c r="B1" s="36"/>
      <c r="C1" s="36"/>
      <c r="D1" s="36"/>
      <c r="E1" s="36"/>
      <c r="F1" s="36"/>
      <c r="G1" s="36"/>
      <c r="H1" s="36"/>
      <c r="I1" s="36"/>
      <c r="J1" s="37" t="s">
        <v>458</v>
      </c>
      <c r="K1" s="505"/>
      <c r="L1" s="38"/>
      <c r="M1" s="38"/>
      <c r="N1" s="38"/>
    </row>
    <row r="2" spans="1:14" ht="12" customHeight="1" thickTop="1" thickBot="1">
      <c r="A2" s="39"/>
      <c r="B2" s="40" t="s">
        <v>635</v>
      </c>
      <c r="C2" s="1140" t="s">
        <v>636</v>
      </c>
      <c r="D2" s="1141"/>
      <c r="E2" s="1141"/>
      <c r="F2" s="1137" t="s">
        <v>637</v>
      </c>
      <c r="G2" s="1138"/>
      <c r="H2" s="1139"/>
      <c r="I2" s="41"/>
      <c r="J2" s="40" t="s">
        <v>638</v>
      </c>
      <c r="K2" s="38"/>
    </row>
    <row r="3" spans="1:14" ht="12" customHeight="1" thickBot="1">
      <c r="A3" s="42"/>
      <c r="B3" s="43"/>
      <c r="C3" s="44" t="s">
        <v>639</v>
      </c>
      <c r="D3" s="45" t="s">
        <v>640</v>
      </c>
      <c r="E3" s="46"/>
      <c r="F3" s="47"/>
      <c r="G3" s="48"/>
      <c r="H3" s="49"/>
      <c r="I3" s="50"/>
      <c r="J3" s="43"/>
      <c r="K3">
        <v>1</v>
      </c>
    </row>
    <row r="4" spans="1:14" ht="12" customHeight="1" thickTop="1">
      <c r="A4" s="51"/>
      <c r="B4" s="950" t="s">
        <v>641</v>
      </c>
      <c r="C4" s="1052"/>
      <c r="D4" s="1053"/>
      <c r="E4" s="998"/>
      <c r="F4" s="1064"/>
      <c r="G4" s="1004"/>
      <c r="H4" s="1005"/>
      <c r="J4" s="53"/>
      <c r="K4">
        <f t="shared" ref="K4:K67" si="0">IF(M4&gt;0,1,0)</f>
        <v>0</v>
      </c>
      <c r="L4">
        <f t="shared" ref="L4:L67" si="1">IF(couleur(B4)=2,L5,IF(couleur(B5)=2,0,J4+L5))</f>
        <v>0</v>
      </c>
      <c r="M4">
        <f t="shared" ref="M4:M67" si="2">IF(couleur(B4)=2,L4,J4)</f>
        <v>0</v>
      </c>
      <c r="N4">
        <f t="shared" ref="N4:N67" si="3">IF(ISNUMBER(C4),J4*C4,0)</f>
        <v>0</v>
      </c>
    </row>
    <row r="5" spans="1:14" ht="12" customHeight="1">
      <c r="A5" s="51"/>
      <c r="B5" s="946"/>
      <c r="C5" s="1014"/>
      <c r="D5" s="1016"/>
      <c r="E5" s="999"/>
      <c r="F5" s="1003"/>
      <c r="G5" s="1004"/>
      <c r="H5" s="1005"/>
      <c r="J5" s="53"/>
      <c r="K5">
        <f t="shared" si="0"/>
        <v>0</v>
      </c>
      <c r="L5">
        <f t="shared" si="1"/>
        <v>0</v>
      </c>
      <c r="M5">
        <f t="shared" si="2"/>
        <v>0</v>
      </c>
      <c r="N5">
        <f t="shared" si="3"/>
        <v>0</v>
      </c>
    </row>
    <row r="6" spans="1:14" ht="12" customHeight="1">
      <c r="A6" s="54"/>
      <c r="B6" s="1045" t="s">
        <v>642</v>
      </c>
      <c r="C6" s="1054"/>
      <c r="D6" s="1056"/>
      <c r="E6" s="1058"/>
      <c r="F6" s="1065"/>
      <c r="G6" s="1066"/>
      <c r="H6" s="1067"/>
      <c r="J6" s="53"/>
      <c r="K6">
        <f t="shared" si="0"/>
        <v>0</v>
      </c>
      <c r="L6">
        <f t="shared" si="1"/>
        <v>0</v>
      </c>
      <c r="M6">
        <f t="shared" si="2"/>
        <v>0</v>
      </c>
      <c r="N6">
        <f t="shared" si="3"/>
        <v>0</v>
      </c>
    </row>
    <row r="7" spans="1:14" ht="12" customHeight="1">
      <c r="A7" s="55"/>
      <c r="B7" s="1046"/>
      <c r="C7" s="1055"/>
      <c r="D7" s="1057"/>
      <c r="E7" s="1059"/>
      <c r="F7" s="1068"/>
      <c r="G7" s="1066"/>
      <c r="H7" s="1067"/>
      <c r="J7" s="53"/>
      <c r="K7">
        <f t="shared" si="0"/>
        <v>0</v>
      </c>
      <c r="L7">
        <f t="shared" si="1"/>
        <v>0</v>
      </c>
      <c r="M7">
        <f t="shared" si="2"/>
        <v>0</v>
      </c>
      <c r="N7">
        <f t="shared" si="3"/>
        <v>0</v>
      </c>
    </row>
    <row r="8" spans="1:14" ht="12.95" customHeight="1">
      <c r="A8" s="56"/>
      <c r="B8" s="57" t="s">
        <v>643</v>
      </c>
      <c r="C8" s="58">
        <v>13.700073588159011</v>
      </c>
      <c r="D8" s="59">
        <f>C8*30</f>
        <v>411.00220764477035</v>
      </c>
      <c r="E8" s="60"/>
      <c r="F8" s="913" t="s">
        <v>644</v>
      </c>
      <c r="G8" s="1062"/>
      <c r="H8" s="1063"/>
      <c r="J8" s="53"/>
      <c r="K8">
        <f t="shared" si="0"/>
        <v>0</v>
      </c>
      <c r="L8">
        <f t="shared" si="1"/>
        <v>0</v>
      </c>
      <c r="M8">
        <f t="shared" si="2"/>
        <v>0</v>
      </c>
      <c r="N8">
        <f t="shared" si="3"/>
        <v>0</v>
      </c>
    </row>
    <row r="9" spans="1:14" ht="12.95" customHeight="1">
      <c r="A9" s="56"/>
      <c r="B9" s="57" t="s">
        <v>645</v>
      </c>
      <c r="C9" s="58">
        <v>17.20193542045967</v>
      </c>
      <c r="D9" s="59">
        <f>C9*30</f>
        <v>516.05806261379007</v>
      </c>
      <c r="E9" s="60"/>
      <c r="F9" s="913" t="s">
        <v>644</v>
      </c>
      <c r="G9" s="1062"/>
      <c r="H9" s="1063"/>
      <c r="J9" s="53"/>
      <c r="K9">
        <f t="shared" si="0"/>
        <v>0</v>
      </c>
      <c r="L9">
        <f t="shared" si="1"/>
        <v>0</v>
      </c>
      <c r="M9">
        <f t="shared" si="2"/>
        <v>0</v>
      </c>
      <c r="N9">
        <f t="shared" si="3"/>
        <v>0</v>
      </c>
    </row>
    <row r="10" spans="1:14" ht="12.95" customHeight="1">
      <c r="A10" s="62"/>
      <c r="B10" s="63"/>
      <c r="C10" s="64"/>
      <c r="D10" s="59"/>
      <c r="E10" s="60"/>
      <c r="F10" s="913"/>
      <c r="G10" s="1062"/>
      <c r="H10" s="1063"/>
      <c r="J10" s="53"/>
      <c r="K10">
        <f t="shared" si="0"/>
        <v>0</v>
      </c>
      <c r="L10">
        <f t="shared" si="1"/>
        <v>0</v>
      </c>
      <c r="M10">
        <f t="shared" si="2"/>
        <v>0</v>
      </c>
      <c r="N10">
        <f t="shared" si="3"/>
        <v>0</v>
      </c>
    </row>
    <row r="11" spans="1:14" ht="12.95" customHeight="1">
      <c r="A11" s="65"/>
      <c r="B11" s="63"/>
      <c r="C11" s="66"/>
      <c r="D11" s="59"/>
      <c r="E11" s="60"/>
      <c r="F11" s="913"/>
      <c r="G11" s="1062"/>
      <c r="H11" s="1063"/>
      <c r="J11" s="53"/>
      <c r="K11">
        <f t="shared" si="0"/>
        <v>0</v>
      </c>
      <c r="L11">
        <f t="shared" si="1"/>
        <v>0</v>
      </c>
      <c r="M11">
        <f t="shared" si="2"/>
        <v>0</v>
      </c>
      <c r="N11">
        <f t="shared" si="3"/>
        <v>0</v>
      </c>
    </row>
    <row r="12" spans="1:14" ht="12" customHeight="1">
      <c r="A12" s="67"/>
      <c r="B12" s="1051" t="s">
        <v>646</v>
      </c>
      <c r="C12" s="1021"/>
      <c r="D12" s="1047"/>
      <c r="E12" s="957"/>
      <c r="F12" s="1069"/>
      <c r="G12" s="1006"/>
      <c r="H12" s="1007"/>
      <c r="J12" s="53"/>
      <c r="K12">
        <f t="shared" si="0"/>
        <v>0</v>
      </c>
      <c r="L12">
        <f t="shared" si="1"/>
        <v>0</v>
      </c>
      <c r="M12">
        <f t="shared" si="2"/>
        <v>0</v>
      </c>
      <c r="N12">
        <f t="shared" si="3"/>
        <v>0</v>
      </c>
    </row>
    <row r="13" spans="1:14" ht="12" customHeight="1">
      <c r="A13" s="69"/>
      <c r="B13" s="946"/>
      <c r="C13" s="1049"/>
      <c r="D13" s="1050"/>
      <c r="E13" s="1091"/>
      <c r="F13" s="1008"/>
      <c r="G13" s="1006"/>
      <c r="H13" s="1007"/>
      <c r="J13" s="53"/>
      <c r="K13">
        <f t="shared" si="0"/>
        <v>0</v>
      </c>
      <c r="L13">
        <f t="shared" si="1"/>
        <v>0</v>
      </c>
      <c r="M13">
        <f t="shared" si="2"/>
        <v>0</v>
      </c>
      <c r="N13">
        <f t="shared" si="3"/>
        <v>0</v>
      </c>
    </row>
    <row r="14" spans="1:14" ht="12.95" customHeight="1">
      <c r="A14" s="70"/>
      <c r="B14" s="57" t="s">
        <v>647</v>
      </c>
      <c r="C14" s="58">
        <v>11.143915922014488</v>
      </c>
      <c r="D14" s="59">
        <f t="shared" ref="D14:D19" si="4">C14*30</f>
        <v>334.31747766043463</v>
      </c>
      <c r="E14" s="60"/>
      <c r="F14" s="913" t="s">
        <v>644</v>
      </c>
      <c r="G14" s="1062"/>
      <c r="H14" s="1063"/>
      <c r="J14" s="53"/>
      <c r="K14">
        <f t="shared" si="0"/>
        <v>0</v>
      </c>
      <c r="L14">
        <f t="shared" si="1"/>
        <v>0</v>
      </c>
      <c r="M14">
        <f t="shared" si="2"/>
        <v>0</v>
      </c>
      <c r="N14">
        <f t="shared" si="3"/>
        <v>0</v>
      </c>
    </row>
    <row r="15" spans="1:14" ht="12.95" customHeight="1">
      <c r="A15" s="70"/>
      <c r="B15" s="57" t="s">
        <v>648</v>
      </c>
      <c r="C15" s="58">
        <v>16.995258414931818</v>
      </c>
      <c r="D15" s="59">
        <f t="shared" si="4"/>
        <v>509.85775244795457</v>
      </c>
      <c r="E15" s="60"/>
      <c r="F15" s="913" t="s">
        <v>644</v>
      </c>
      <c r="G15" s="1062"/>
      <c r="H15" s="1063"/>
      <c r="J15" s="53"/>
      <c r="K15">
        <f t="shared" si="0"/>
        <v>0</v>
      </c>
      <c r="L15">
        <f t="shared" si="1"/>
        <v>0</v>
      </c>
      <c r="M15">
        <f t="shared" si="2"/>
        <v>0</v>
      </c>
      <c r="N15">
        <f t="shared" si="3"/>
        <v>0</v>
      </c>
    </row>
    <row r="16" spans="1:14" ht="12.95" customHeight="1">
      <c r="A16" s="70"/>
      <c r="B16" s="57" t="s">
        <v>649</v>
      </c>
      <c r="C16" s="58">
        <v>20.089165393895424</v>
      </c>
      <c r="D16" s="59">
        <f t="shared" si="4"/>
        <v>602.67496181686272</v>
      </c>
      <c r="E16" s="60"/>
      <c r="F16" s="913" t="s">
        <v>644</v>
      </c>
      <c r="G16" s="1062"/>
      <c r="H16" s="1063"/>
      <c r="J16" s="53"/>
      <c r="K16">
        <f t="shared" si="0"/>
        <v>0</v>
      </c>
      <c r="L16">
        <f t="shared" si="1"/>
        <v>0</v>
      </c>
      <c r="M16">
        <f t="shared" si="2"/>
        <v>0</v>
      </c>
      <c r="N16">
        <f t="shared" si="3"/>
        <v>0</v>
      </c>
    </row>
    <row r="17" spans="1:14" ht="12.95" customHeight="1">
      <c r="A17" s="70"/>
      <c r="B17" s="57" t="s">
        <v>650</v>
      </c>
      <c r="C17" s="58">
        <v>25.673301808701538</v>
      </c>
      <c r="D17" s="71">
        <f t="shared" si="4"/>
        <v>770.19905426104617</v>
      </c>
      <c r="E17" s="60"/>
      <c r="F17" s="913" t="s">
        <v>644</v>
      </c>
      <c r="G17" s="1062"/>
      <c r="H17" s="1063"/>
      <c r="J17" s="53"/>
      <c r="K17">
        <f t="shared" si="0"/>
        <v>0</v>
      </c>
      <c r="L17">
        <f t="shared" si="1"/>
        <v>0</v>
      </c>
      <c r="M17">
        <f t="shared" si="2"/>
        <v>0</v>
      </c>
      <c r="N17">
        <f t="shared" si="3"/>
        <v>0</v>
      </c>
    </row>
    <row r="18" spans="1:14" ht="12.95" customHeight="1">
      <c r="A18" s="70"/>
      <c r="B18" s="57" t="s">
        <v>651</v>
      </c>
      <c r="C18" s="58">
        <v>28.553698257796484</v>
      </c>
      <c r="D18" s="71">
        <f t="shared" si="4"/>
        <v>856.61094773389448</v>
      </c>
      <c r="E18" s="60"/>
      <c r="F18" s="913" t="s">
        <v>644</v>
      </c>
      <c r="G18" s="1062"/>
      <c r="H18" s="1063"/>
      <c r="J18" s="53"/>
      <c r="K18">
        <f t="shared" si="0"/>
        <v>0</v>
      </c>
      <c r="L18">
        <f t="shared" si="1"/>
        <v>0</v>
      </c>
      <c r="M18">
        <f t="shared" si="2"/>
        <v>0</v>
      </c>
      <c r="N18">
        <f t="shared" si="3"/>
        <v>0</v>
      </c>
    </row>
    <row r="19" spans="1:14" ht="12.95" customHeight="1">
      <c r="A19" s="70"/>
      <c r="B19" s="57" t="s">
        <v>652</v>
      </c>
      <c r="C19" s="58">
        <v>32.312669783094002</v>
      </c>
      <c r="D19" s="59">
        <f t="shared" si="4"/>
        <v>969.38009349282004</v>
      </c>
      <c r="E19" s="60"/>
      <c r="F19" s="913" t="s">
        <v>644</v>
      </c>
      <c r="G19" s="1062"/>
      <c r="H19" s="1063"/>
      <c r="J19" s="53"/>
      <c r="K19">
        <f t="shared" si="0"/>
        <v>0</v>
      </c>
      <c r="L19">
        <f t="shared" si="1"/>
        <v>0</v>
      </c>
      <c r="M19">
        <f t="shared" si="2"/>
        <v>0</v>
      </c>
      <c r="N19">
        <f t="shared" si="3"/>
        <v>0</v>
      </c>
    </row>
    <row r="20" spans="1:14" ht="12.95" customHeight="1">
      <c r="A20" s="65"/>
      <c r="B20" s="57"/>
      <c r="C20" s="64"/>
      <c r="D20" s="59"/>
      <c r="E20" s="60"/>
      <c r="F20" s="913"/>
      <c r="G20" s="1062"/>
      <c r="H20" s="1063"/>
      <c r="J20" s="53"/>
      <c r="K20">
        <f t="shared" si="0"/>
        <v>0</v>
      </c>
      <c r="L20">
        <f t="shared" si="1"/>
        <v>0</v>
      </c>
      <c r="M20">
        <f t="shared" si="2"/>
        <v>0</v>
      </c>
      <c r="N20">
        <f t="shared" si="3"/>
        <v>0</v>
      </c>
    </row>
    <row r="21" spans="1:14" ht="12.95" customHeight="1">
      <c r="A21" s="70"/>
      <c r="B21" s="63"/>
      <c r="C21" s="66"/>
      <c r="D21" s="59"/>
      <c r="E21" s="60"/>
      <c r="F21" s="913"/>
      <c r="G21" s="1062"/>
      <c r="H21" s="1063"/>
      <c r="J21" s="53"/>
      <c r="K21">
        <f t="shared" si="0"/>
        <v>0</v>
      </c>
      <c r="L21">
        <f t="shared" si="1"/>
        <v>0</v>
      </c>
      <c r="M21">
        <f t="shared" si="2"/>
        <v>0</v>
      </c>
      <c r="N21">
        <f t="shared" si="3"/>
        <v>0</v>
      </c>
    </row>
    <row r="22" spans="1:14" ht="12" customHeight="1">
      <c r="A22" s="67"/>
      <c r="B22" s="949" t="s">
        <v>653</v>
      </c>
      <c r="C22" s="1048"/>
      <c r="D22" s="1047"/>
      <c r="E22" s="1090"/>
      <c r="F22" s="1089"/>
      <c r="G22" s="1006"/>
      <c r="H22" s="1007"/>
      <c r="J22" s="53"/>
      <c r="K22">
        <f t="shared" si="0"/>
        <v>0</v>
      </c>
      <c r="L22">
        <f t="shared" si="1"/>
        <v>0</v>
      </c>
      <c r="M22">
        <f t="shared" si="2"/>
        <v>0</v>
      </c>
      <c r="N22">
        <f t="shared" si="3"/>
        <v>0</v>
      </c>
    </row>
    <row r="23" spans="1:14" ht="12" customHeight="1">
      <c r="A23" s="72"/>
      <c r="B23" s="946"/>
      <c r="C23" s="1049"/>
      <c r="D23" s="1050"/>
      <c r="E23" s="1091"/>
      <c r="F23" s="1008"/>
      <c r="G23" s="1006"/>
      <c r="H23" s="1007"/>
      <c r="J23" s="53"/>
      <c r="K23">
        <f t="shared" si="0"/>
        <v>0</v>
      </c>
      <c r="L23">
        <f t="shared" si="1"/>
        <v>0</v>
      </c>
      <c r="M23">
        <f t="shared" si="2"/>
        <v>0</v>
      </c>
      <c r="N23">
        <f t="shared" si="3"/>
        <v>0</v>
      </c>
    </row>
    <row r="24" spans="1:14" ht="12.95" customHeight="1">
      <c r="A24" s="70"/>
      <c r="B24" s="57" t="s">
        <v>654</v>
      </c>
      <c r="C24" s="944" t="s">
        <v>655</v>
      </c>
      <c r="D24" s="953"/>
      <c r="E24" s="60"/>
      <c r="F24" s="73"/>
      <c r="G24" s="74"/>
      <c r="H24" s="75"/>
      <c r="I24" s="76"/>
      <c r="J24" s="53"/>
      <c r="K24">
        <f t="shared" si="0"/>
        <v>0</v>
      </c>
      <c r="L24">
        <f t="shared" si="1"/>
        <v>0</v>
      </c>
      <c r="M24">
        <f t="shared" si="2"/>
        <v>0</v>
      </c>
      <c r="N24">
        <f t="shared" si="3"/>
        <v>0</v>
      </c>
    </row>
    <row r="25" spans="1:14" ht="12" customHeight="1">
      <c r="A25" s="67"/>
      <c r="B25" s="949" t="s">
        <v>656</v>
      </c>
      <c r="C25" s="1021"/>
      <c r="D25" s="1047"/>
      <c r="E25" s="957"/>
      <c r="F25" s="1069"/>
      <c r="G25" s="1006"/>
      <c r="H25" s="1007"/>
      <c r="J25" s="53"/>
      <c r="K25">
        <f t="shared" si="0"/>
        <v>0</v>
      </c>
      <c r="L25">
        <f t="shared" si="1"/>
        <v>0</v>
      </c>
      <c r="M25">
        <f t="shared" si="2"/>
        <v>0</v>
      </c>
      <c r="N25">
        <f t="shared" si="3"/>
        <v>0</v>
      </c>
    </row>
    <row r="26" spans="1:14" ht="12" customHeight="1">
      <c r="A26" s="72"/>
      <c r="B26" s="946"/>
      <c r="C26" s="1021"/>
      <c r="D26" s="1047"/>
      <c r="E26" s="957"/>
      <c r="F26" s="1008"/>
      <c r="G26" s="1006"/>
      <c r="H26" s="1007"/>
      <c r="J26" s="53"/>
      <c r="K26">
        <f t="shared" si="0"/>
        <v>0</v>
      </c>
      <c r="L26">
        <f t="shared" si="1"/>
        <v>0</v>
      </c>
      <c r="M26">
        <f t="shared" si="2"/>
        <v>0</v>
      </c>
      <c r="N26">
        <f t="shared" si="3"/>
        <v>0</v>
      </c>
    </row>
    <row r="27" spans="1:14" ht="12.95" customHeight="1">
      <c r="A27" s="70"/>
      <c r="B27" s="57" t="s">
        <v>657</v>
      </c>
      <c r="C27" s="944" t="s">
        <v>655</v>
      </c>
      <c r="D27" s="953"/>
      <c r="E27" s="60"/>
      <c r="F27" s="73"/>
      <c r="G27" s="74"/>
      <c r="H27" s="77"/>
      <c r="I27" s="78"/>
      <c r="J27" s="53"/>
      <c r="K27">
        <f t="shared" si="0"/>
        <v>0</v>
      </c>
      <c r="L27">
        <f t="shared" si="1"/>
        <v>0</v>
      </c>
      <c r="M27">
        <f t="shared" si="2"/>
        <v>0</v>
      </c>
      <c r="N27">
        <f t="shared" si="3"/>
        <v>0</v>
      </c>
    </row>
    <row r="28" spans="1:14" ht="12.95" customHeight="1">
      <c r="A28" s="65"/>
      <c r="B28" s="57" t="s">
        <v>658</v>
      </c>
      <c r="C28" s="944" t="s">
        <v>655</v>
      </c>
      <c r="D28" s="953"/>
      <c r="E28" s="60"/>
      <c r="F28" s="73"/>
      <c r="G28" s="74"/>
      <c r="H28" s="77"/>
      <c r="I28" s="78"/>
      <c r="J28" s="53"/>
      <c r="K28">
        <f t="shared" si="0"/>
        <v>0</v>
      </c>
      <c r="L28">
        <f t="shared" si="1"/>
        <v>0</v>
      </c>
      <c r="M28">
        <f t="shared" si="2"/>
        <v>0</v>
      </c>
      <c r="N28">
        <f t="shared" si="3"/>
        <v>0</v>
      </c>
    </row>
    <row r="29" spans="1:14" ht="12.95" customHeight="1">
      <c r="A29" s="70"/>
      <c r="B29" s="57" t="s">
        <v>659</v>
      </c>
      <c r="C29" s="944" t="s">
        <v>655</v>
      </c>
      <c r="D29" s="953"/>
      <c r="E29" s="60"/>
      <c r="F29" s="73"/>
      <c r="G29" s="74"/>
      <c r="H29" s="77"/>
      <c r="I29" s="78"/>
      <c r="J29" s="53"/>
      <c r="K29">
        <f t="shared" si="0"/>
        <v>0</v>
      </c>
      <c r="L29">
        <f t="shared" si="1"/>
        <v>0</v>
      </c>
      <c r="M29">
        <f t="shared" si="2"/>
        <v>0</v>
      </c>
      <c r="N29">
        <f t="shared" si="3"/>
        <v>0</v>
      </c>
    </row>
    <row r="30" spans="1:14" ht="12.95" customHeight="1">
      <c r="A30" s="70"/>
      <c r="B30" s="79"/>
      <c r="C30" s="66"/>
      <c r="D30" s="59"/>
      <c r="E30" s="60"/>
      <c r="F30" s="73"/>
      <c r="G30" s="74"/>
      <c r="H30" s="77"/>
      <c r="I30" s="78"/>
      <c r="J30" s="53"/>
      <c r="K30">
        <f t="shared" si="0"/>
        <v>0</v>
      </c>
      <c r="L30">
        <f t="shared" si="1"/>
        <v>0</v>
      </c>
      <c r="M30">
        <f t="shared" si="2"/>
        <v>0</v>
      </c>
      <c r="N30">
        <f t="shared" si="3"/>
        <v>0</v>
      </c>
    </row>
    <row r="31" spans="1:14" ht="12" customHeight="1">
      <c r="A31" s="80"/>
      <c r="B31" s="949" t="s">
        <v>660</v>
      </c>
      <c r="C31" s="1021"/>
      <c r="D31" s="1047"/>
      <c r="E31" s="957"/>
      <c r="F31" s="1069"/>
      <c r="G31" s="1006"/>
      <c r="H31" s="1007"/>
      <c r="J31" s="53"/>
      <c r="K31">
        <f t="shared" si="0"/>
        <v>0</v>
      </c>
      <c r="L31">
        <f t="shared" si="1"/>
        <v>0</v>
      </c>
      <c r="M31">
        <f t="shared" si="2"/>
        <v>0</v>
      </c>
      <c r="N31">
        <f t="shared" si="3"/>
        <v>0</v>
      </c>
    </row>
    <row r="32" spans="1:14" ht="12" customHeight="1">
      <c r="A32" s="72"/>
      <c r="B32" s="946"/>
      <c r="C32" s="1021"/>
      <c r="D32" s="1047"/>
      <c r="E32" s="957"/>
      <c r="F32" s="1008"/>
      <c r="G32" s="1006"/>
      <c r="H32" s="1007"/>
      <c r="J32" s="53"/>
      <c r="K32">
        <f t="shared" si="0"/>
        <v>0</v>
      </c>
      <c r="L32">
        <f t="shared" si="1"/>
        <v>0</v>
      </c>
      <c r="M32">
        <f t="shared" si="2"/>
        <v>0</v>
      </c>
      <c r="N32">
        <f t="shared" si="3"/>
        <v>0</v>
      </c>
    </row>
    <row r="33" spans="1:14" ht="12" customHeight="1">
      <c r="A33" s="81"/>
      <c r="B33" s="82" t="s">
        <v>661</v>
      </c>
      <c r="C33" s="58">
        <v>4.1571535657866709</v>
      </c>
      <c r="D33" s="59">
        <f>C33*30</f>
        <v>124.71460697360013</v>
      </c>
      <c r="E33" s="60"/>
      <c r="F33" s="83"/>
      <c r="G33" s="84"/>
      <c r="H33" s="85"/>
      <c r="I33" s="84"/>
      <c r="J33" s="53"/>
      <c r="K33">
        <f t="shared" si="0"/>
        <v>0</v>
      </c>
      <c r="L33">
        <f t="shared" si="1"/>
        <v>0</v>
      </c>
      <c r="M33">
        <f t="shared" si="2"/>
        <v>0</v>
      </c>
      <c r="N33">
        <f t="shared" si="3"/>
        <v>0</v>
      </c>
    </row>
    <row r="34" spans="1:14" ht="12.95" customHeight="1">
      <c r="A34" s="65"/>
      <c r="B34" s="57" t="s">
        <v>662</v>
      </c>
      <c r="C34" s="58">
        <v>3.326808357361156</v>
      </c>
      <c r="D34" s="59">
        <f>C34*30</f>
        <v>99.804250720834673</v>
      </c>
      <c r="E34" s="60"/>
      <c r="F34" s="1086" t="s">
        <v>663</v>
      </c>
      <c r="G34" s="1087"/>
      <c r="H34" s="1088"/>
      <c r="J34" s="53"/>
      <c r="K34">
        <f t="shared" si="0"/>
        <v>0</v>
      </c>
      <c r="L34">
        <f t="shared" si="1"/>
        <v>0</v>
      </c>
      <c r="M34">
        <f t="shared" si="2"/>
        <v>0</v>
      </c>
      <c r="N34">
        <f t="shared" si="3"/>
        <v>0</v>
      </c>
    </row>
    <row r="35" spans="1:14" ht="12.95" customHeight="1">
      <c r="A35" s="65"/>
      <c r="B35" s="57" t="s">
        <v>664</v>
      </c>
      <c r="C35" s="58">
        <v>5.5219257589759962</v>
      </c>
      <c r="D35" s="59">
        <f>C35*30</f>
        <v>165.65777276927989</v>
      </c>
      <c r="E35" s="60"/>
      <c r="F35" s="1086" t="s">
        <v>663</v>
      </c>
      <c r="G35" s="1087"/>
      <c r="H35" s="1088"/>
      <c r="J35" s="53"/>
      <c r="K35">
        <f t="shared" si="0"/>
        <v>0</v>
      </c>
      <c r="L35">
        <f t="shared" si="1"/>
        <v>0</v>
      </c>
      <c r="M35">
        <f t="shared" si="2"/>
        <v>0</v>
      </c>
      <c r="N35">
        <f t="shared" si="3"/>
        <v>0</v>
      </c>
    </row>
    <row r="36" spans="1:14" ht="12" customHeight="1">
      <c r="A36" s="86"/>
      <c r="B36" s="949" t="s">
        <v>665</v>
      </c>
      <c r="C36" s="1021"/>
      <c r="D36" s="1047"/>
      <c r="E36" s="957"/>
      <c r="F36" s="1069"/>
      <c r="G36" s="1006"/>
      <c r="H36" s="1007"/>
      <c r="J36" s="53"/>
      <c r="K36">
        <f t="shared" si="0"/>
        <v>0</v>
      </c>
      <c r="L36">
        <f t="shared" si="1"/>
        <v>0</v>
      </c>
      <c r="M36">
        <f t="shared" si="2"/>
        <v>0</v>
      </c>
      <c r="N36">
        <f t="shared" si="3"/>
        <v>0</v>
      </c>
    </row>
    <row r="37" spans="1:14" ht="12" customHeight="1">
      <c r="A37" s="87"/>
      <c r="B37" s="949"/>
      <c r="C37" s="1021"/>
      <c r="D37" s="1047"/>
      <c r="E37" s="957"/>
      <c r="F37" s="1008"/>
      <c r="G37" s="1006"/>
      <c r="H37" s="1007"/>
      <c r="J37" s="53"/>
      <c r="K37">
        <f t="shared" si="0"/>
        <v>0</v>
      </c>
      <c r="L37">
        <f t="shared" si="1"/>
        <v>0</v>
      </c>
      <c r="M37">
        <f t="shared" si="2"/>
        <v>0</v>
      </c>
      <c r="N37">
        <f t="shared" si="3"/>
        <v>0</v>
      </c>
    </row>
    <row r="38" spans="1:14" ht="12.95" customHeight="1">
      <c r="A38" s="62"/>
      <c r="B38" s="57" t="s">
        <v>666</v>
      </c>
      <c r="C38" s="58">
        <v>2.7298869691312442</v>
      </c>
      <c r="D38" s="59">
        <f>C38*30</f>
        <v>81.896609073937327</v>
      </c>
      <c r="E38" s="60"/>
      <c r="F38" s="73"/>
      <c r="G38" s="74"/>
      <c r="H38" s="88"/>
      <c r="I38" s="89"/>
      <c r="J38" s="53"/>
      <c r="K38">
        <f t="shared" si="0"/>
        <v>0</v>
      </c>
      <c r="L38">
        <f t="shared" si="1"/>
        <v>0</v>
      </c>
      <c r="M38">
        <f t="shared" si="2"/>
        <v>0</v>
      </c>
      <c r="N38">
        <f t="shared" si="3"/>
        <v>0</v>
      </c>
    </row>
    <row r="39" spans="1:14" ht="12.95" customHeight="1">
      <c r="A39" s="62"/>
      <c r="B39" s="57" t="s">
        <v>667</v>
      </c>
      <c r="C39" s="58">
        <v>2.825587337949079</v>
      </c>
      <c r="D39" s="59">
        <f>C39*30</f>
        <v>84.767620138472367</v>
      </c>
      <c r="E39" s="60"/>
      <c r="F39" s="73"/>
      <c r="G39" s="74"/>
      <c r="H39" s="88"/>
      <c r="I39" s="89"/>
      <c r="J39" s="53"/>
      <c r="K39">
        <f t="shared" si="0"/>
        <v>0</v>
      </c>
      <c r="L39">
        <f t="shared" si="1"/>
        <v>0</v>
      </c>
      <c r="M39">
        <f t="shared" si="2"/>
        <v>0</v>
      </c>
      <c r="N39">
        <f t="shared" si="3"/>
        <v>0</v>
      </c>
    </row>
    <row r="40" spans="1:14" ht="12.95" customHeight="1">
      <c r="A40" s="62"/>
      <c r="B40" s="57"/>
      <c r="C40" s="66"/>
      <c r="D40" s="59"/>
      <c r="E40" s="60"/>
      <c r="F40" s="73"/>
      <c r="G40" s="74"/>
      <c r="H40" s="88"/>
      <c r="I40" s="89"/>
      <c r="J40" s="53"/>
      <c r="K40">
        <f t="shared" si="0"/>
        <v>0</v>
      </c>
      <c r="L40">
        <f t="shared" si="1"/>
        <v>0</v>
      </c>
      <c r="M40">
        <f t="shared" si="2"/>
        <v>0</v>
      </c>
      <c r="N40">
        <f t="shared" si="3"/>
        <v>0</v>
      </c>
    </row>
    <row r="41" spans="1:14" ht="12" customHeight="1">
      <c r="A41" s="90"/>
      <c r="B41" s="870" t="s">
        <v>668</v>
      </c>
      <c r="C41" s="91"/>
      <c r="D41" s="92"/>
      <c r="E41" s="93"/>
      <c r="F41" s="94"/>
      <c r="G41" s="95"/>
      <c r="H41" s="96"/>
      <c r="I41" s="97"/>
      <c r="J41" s="53"/>
      <c r="K41">
        <f t="shared" si="0"/>
        <v>0</v>
      </c>
      <c r="L41">
        <f t="shared" si="1"/>
        <v>0</v>
      </c>
      <c r="M41">
        <f t="shared" si="2"/>
        <v>0</v>
      </c>
      <c r="N41">
        <f t="shared" si="3"/>
        <v>0</v>
      </c>
    </row>
    <row r="42" spans="1:14" ht="12" customHeight="1">
      <c r="A42" s="87"/>
      <c r="B42" s="1061"/>
      <c r="C42" s="98"/>
      <c r="D42" s="99"/>
      <c r="E42" s="100"/>
      <c r="F42" s="101"/>
      <c r="G42" s="102"/>
      <c r="H42" s="103"/>
      <c r="I42" s="104"/>
      <c r="J42" s="53"/>
      <c r="K42">
        <f t="shared" si="0"/>
        <v>0</v>
      </c>
      <c r="L42">
        <f t="shared" si="1"/>
        <v>0</v>
      </c>
      <c r="M42">
        <f t="shared" si="2"/>
        <v>0</v>
      </c>
      <c r="N42">
        <f t="shared" si="3"/>
        <v>0</v>
      </c>
    </row>
    <row r="43" spans="1:14" ht="12" customHeight="1">
      <c r="A43" s="62"/>
      <c r="B43" s="105" t="s">
        <v>669</v>
      </c>
      <c r="C43" s="58">
        <v>2.4063148549333158</v>
      </c>
      <c r="D43" s="59">
        <f>C43*30</f>
        <v>72.189445647999477</v>
      </c>
      <c r="E43" s="60"/>
      <c r="F43" s="73"/>
      <c r="G43" s="74"/>
      <c r="H43" s="77"/>
      <c r="I43" s="78"/>
      <c r="J43" s="53"/>
      <c r="K43">
        <f t="shared" si="0"/>
        <v>0</v>
      </c>
      <c r="L43">
        <f t="shared" si="1"/>
        <v>0</v>
      </c>
      <c r="M43">
        <f t="shared" si="2"/>
        <v>0</v>
      </c>
      <c r="N43">
        <f t="shared" si="3"/>
        <v>0</v>
      </c>
    </row>
    <row r="44" spans="1:14" ht="12.95" customHeight="1">
      <c r="A44" s="62"/>
      <c r="B44" s="57" t="s">
        <v>536</v>
      </c>
      <c r="C44" s="58">
        <v>3.4218441264943991</v>
      </c>
      <c r="D44" s="59">
        <f>C44*30</f>
        <v>102.65532379483197</v>
      </c>
      <c r="E44" s="60"/>
      <c r="F44" s="73"/>
      <c r="G44" s="74"/>
      <c r="H44" s="88"/>
      <c r="I44" s="89"/>
      <c r="J44" s="53"/>
      <c r="K44">
        <f t="shared" si="0"/>
        <v>0</v>
      </c>
      <c r="L44">
        <f t="shared" si="1"/>
        <v>0</v>
      </c>
      <c r="M44">
        <f t="shared" si="2"/>
        <v>0</v>
      </c>
      <c r="N44">
        <f t="shared" si="3"/>
        <v>0</v>
      </c>
    </row>
    <row r="45" spans="1:14" ht="12.95" customHeight="1">
      <c r="A45" s="62"/>
      <c r="B45" s="57" t="s">
        <v>670</v>
      </c>
      <c r="C45" s="58">
        <v>7.2376623251294863</v>
      </c>
      <c r="D45" s="59">
        <f>C45*30</f>
        <v>217.12986975388458</v>
      </c>
      <c r="E45" s="60"/>
      <c r="F45" s="73"/>
      <c r="G45" s="74"/>
      <c r="H45" s="88"/>
      <c r="I45" s="89"/>
      <c r="J45" s="53"/>
      <c r="K45">
        <f t="shared" si="0"/>
        <v>0</v>
      </c>
      <c r="L45">
        <f t="shared" si="1"/>
        <v>0</v>
      </c>
      <c r="M45">
        <f t="shared" si="2"/>
        <v>0</v>
      </c>
      <c r="N45">
        <f t="shared" si="3"/>
        <v>0</v>
      </c>
    </row>
    <row r="46" spans="1:14" ht="12.95" customHeight="1">
      <c r="A46" s="62"/>
      <c r="B46" s="57" t="s">
        <v>537</v>
      </c>
      <c r="C46" s="58">
        <v>2.5059203712369107</v>
      </c>
      <c r="D46" s="59">
        <f>C46*30</f>
        <v>75.17761113710732</v>
      </c>
      <c r="E46" s="60"/>
      <c r="F46" s="73"/>
      <c r="G46" s="74"/>
      <c r="H46" s="88"/>
      <c r="I46" s="89"/>
      <c r="J46" s="53"/>
      <c r="K46">
        <f t="shared" si="0"/>
        <v>0</v>
      </c>
      <c r="L46">
        <f t="shared" si="1"/>
        <v>0</v>
      </c>
      <c r="M46">
        <f t="shared" si="2"/>
        <v>0</v>
      </c>
      <c r="N46">
        <f t="shared" si="3"/>
        <v>0</v>
      </c>
    </row>
    <row r="47" spans="1:14" ht="12.95" customHeight="1">
      <c r="A47" s="62"/>
      <c r="B47" s="57"/>
      <c r="C47" s="66"/>
      <c r="D47" s="59"/>
      <c r="E47" s="60"/>
      <c r="F47" s="73"/>
      <c r="G47" s="74"/>
      <c r="H47" s="88"/>
      <c r="I47" s="89"/>
      <c r="J47" s="53"/>
      <c r="K47">
        <f t="shared" si="0"/>
        <v>0</v>
      </c>
      <c r="L47">
        <f t="shared" si="1"/>
        <v>0</v>
      </c>
      <c r="M47">
        <f t="shared" si="2"/>
        <v>0</v>
      </c>
      <c r="N47">
        <f t="shared" si="3"/>
        <v>0</v>
      </c>
    </row>
    <row r="48" spans="1:14" ht="12.95" customHeight="1">
      <c r="A48" s="1117"/>
      <c r="B48" s="1060" t="s">
        <v>671</v>
      </c>
      <c r="C48" s="1119"/>
      <c r="D48" s="1097"/>
      <c r="E48" s="1082"/>
      <c r="F48" s="1142"/>
      <c r="G48" s="1144"/>
      <c r="H48" s="1130"/>
      <c r="I48" s="1146"/>
      <c r="J48" s="53"/>
      <c r="K48">
        <f t="shared" si="0"/>
        <v>0</v>
      </c>
      <c r="L48">
        <f t="shared" si="1"/>
        <v>0</v>
      </c>
      <c r="M48">
        <f t="shared" si="2"/>
        <v>0</v>
      </c>
      <c r="N48">
        <f t="shared" si="3"/>
        <v>0</v>
      </c>
    </row>
    <row r="49" spans="1:14" ht="12.95" customHeight="1">
      <c r="A49" s="1118"/>
      <c r="B49" s="903"/>
      <c r="C49" s="1120"/>
      <c r="D49" s="1098"/>
      <c r="E49" s="1083"/>
      <c r="F49" s="1143"/>
      <c r="G49" s="1145"/>
      <c r="H49" s="1131"/>
      <c r="I49" s="1147"/>
      <c r="J49" s="53"/>
      <c r="K49">
        <f t="shared" si="0"/>
        <v>0</v>
      </c>
      <c r="L49">
        <f t="shared" si="1"/>
        <v>0</v>
      </c>
      <c r="M49">
        <f t="shared" si="2"/>
        <v>0</v>
      </c>
      <c r="N49">
        <f t="shared" si="3"/>
        <v>0</v>
      </c>
    </row>
    <row r="50" spans="1:14" ht="12.95" customHeight="1">
      <c r="A50" s="62"/>
      <c r="B50" s="57" t="s">
        <v>672</v>
      </c>
      <c r="C50" s="58">
        <v>6.4793526709750067</v>
      </c>
      <c r="D50" s="59">
        <f>C50*30</f>
        <v>194.38058012925021</v>
      </c>
      <c r="E50" s="60"/>
      <c r="F50" s="73"/>
      <c r="G50" s="74"/>
      <c r="H50" s="77"/>
      <c r="I50" s="78"/>
      <c r="J50" s="53"/>
      <c r="K50">
        <f t="shared" si="0"/>
        <v>0</v>
      </c>
      <c r="L50">
        <f t="shared" si="1"/>
        <v>0</v>
      </c>
      <c r="M50">
        <f t="shared" si="2"/>
        <v>0</v>
      </c>
      <c r="N50">
        <f t="shared" si="3"/>
        <v>0</v>
      </c>
    </row>
    <row r="51" spans="1:14" ht="12.95" customHeight="1">
      <c r="A51" s="62"/>
      <c r="B51" s="57" t="s">
        <v>673</v>
      </c>
      <c r="C51" s="58">
        <v>9.5642610682989435</v>
      </c>
      <c r="D51" s="59">
        <f>C51*30</f>
        <v>286.9278320489683</v>
      </c>
      <c r="E51" s="60"/>
      <c r="F51" s="73"/>
      <c r="G51" s="74"/>
      <c r="H51" s="88"/>
      <c r="I51" s="89"/>
      <c r="J51" s="53"/>
      <c r="K51">
        <f t="shared" si="0"/>
        <v>0</v>
      </c>
      <c r="L51">
        <f t="shared" si="1"/>
        <v>0</v>
      </c>
      <c r="M51">
        <f t="shared" si="2"/>
        <v>0</v>
      </c>
      <c r="N51">
        <f t="shared" si="3"/>
        <v>0</v>
      </c>
    </row>
    <row r="52" spans="1:14" ht="12.95" customHeight="1">
      <c r="A52" s="62"/>
      <c r="B52" s="57" t="s">
        <v>674</v>
      </c>
      <c r="C52" s="58">
        <v>8.2353758385996052</v>
      </c>
      <c r="D52" s="59">
        <f>C52*30</f>
        <v>247.06127515798815</v>
      </c>
      <c r="E52" s="60"/>
      <c r="F52" s="73"/>
      <c r="G52" s="74"/>
      <c r="H52" s="88"/>
      <c r="I52" s="89"/>
      <c r="J52" s="53"/>
      <c r="K52">
        <f t="shared" si="0"/>
        <v>0</v>
      </c>
      <c r="L52">
        <f t="shared" si="1"/>
        <v>0</v>
      </c>
      <c r="M52">
        <f t="shared" si="2"/>
        <v>0</v>
      </c>
      <c r="N52">
        <f t="shared" si="3"/>
        <v>0</v>
      </c>
    </row>
    <row r="53" spans="1:14" ht="12.95" customHeight="1">
      <c r="A53" s="62"/>
      <c r="B53" s="111"/>
      <c r="C53" s="66"/>
      <c r="D53" s="59"/>
      <c r="E53" s="60"/>
      <c r="F53" s="73"/>
      <c r="G53" s="74"/>
      <c r="H53" s="88"/>
      <c r="I53" s="89"/>
      <c r="J53" s="53"/>
      <c r="K53">
        <f t="shared" si="0"/>
        <v>0</v>
      </c>
      <c r="L53">
        <f t="shared" si="1"/>
        <v>0</v>
      </c>
      <c r="M53">
        <f t="shared" si="2"/>
        <v>0</v>
      </c>
      <c r="N53">
        <f t="shared" si="3"/>
        <v>0</v>
      </c>
    </row>
    <row r="54" spans="1:14" ht="12.95" customHeight="1">
      <c r="A54" s="1117"/>
      <c r="B54" s="1060" t="s">
        <v>538</v>
      </c>
      <c r="C54" s="1119"/>
      <c r="D54" s="1097"/>
      <c r="E54" s="1082"/>
      <c r="F54" s="1142"/>
      <c r="G54" s="1144"/>
      <c r="H54" s="1130"/>
      <c r="I54" s="1146"/>
      <c r="J54" s="53"/>
      <c r="K54">
        <f t="shared" si="0"/>
        <v>0</v>
      </c>
      <c r="L54">
        <f t="shared" si="1"/>
        <v>0</v>
      </c>
      <c r="M54">
        <f t="shared" si="2"/>
        <v>0</v>
      </c>
      <c r="N54">
        <f t="shared" si="3"/>
        <v>0</v>
      </c>
    </row>
    <row r="55" spans="1:14" ht="12.95" customHeight="1">
      <c r="A55" s="1118"/>
      <c r="B55" s="903"/>
      <c r="C55" s="1120"/>
      <c r="D55" s="1098"/>
      <c r="E55" s="1083"/>
      <c r="F55" s="1143"/>
      <c r="G55" s="1145"/>
      <c r="H55" s="1131"/>
      <c r="I55" s="1147"/>
      <c r="J55" s="53"/>
      <c r="K55">
        <f t="shared" si="0"/>
        <v>0</v>
      </c>
      <c r="L55">
        <f t="shared" si="1"/>
        <v>0</v>
      </c>
      <c r="M55">
        <f t="shared" si="2"/>
        <v>0</v>
      </c>
      <c r="N55">
        <f t="shared" si="3"/>
        <v>0</v>
      </c>
    </row>
    <row r="56" spans="1:14" ht="12.95" customHeight="1">
      <c r="A56" s="62"/>
      <c r="B56" s="57" t="s">
        <v>675</v>
      </c>
      <c r="C56" s="944" t="s">
        <v>655</v>
      </c>
      <c r="D56" s="953"/>
      <c r="E56" s="60"/>
      <c r="F56" s="73"/>
      <c r="G56" s="74"/>
      <c r="H56" s="88"/>
      <c r="I56" s="89"/>
      <c r="J56" s="53"/>
      <c r="K56">
        <f t="shared" si="0"/>
        <v>0</v>
      </c>
      <c r="L56">
        <f t="shared" si="1"/>
        <v>0</v>
      </c>
      <c r="M56">
        <f t="shared" si="2"/>
        <v>0</v>
      </c>
      <c r="N56">
        <f t="shared" si="3"/>
        <v>0</v>
      </c>
    </row>
    <row r="57" spans="1:14" ht="12.95" customHeight="1">
      <c r="A57" s="62"/>
      <c r="B57" s="111"/>
      <c r="C57" s="112"/>
      <c r="D57" s="113"/>
      <c r="E57" s="60"/>
      <c r="F57" s="73"/>
      <c r="G57" s="74"/>
      <c r="H57" s="88"/>
      <c r="I57" s="89"/>
      <c r="J57" s="53"/>
      <c r="K57">
        <f t="shared" si="0"/>
        <v>0</v>
      </c>
      <c r="L57">
        <f t="shared" si="1"/>
        <v>0</v>
      </c>
      <c r="M57">
        <f t="shared" si="2"/>
        <v>0</v>
      </c>
      <c r="N57">
        <f t="shared" si="3"/>
        <v>0</v>
      </c>
    </row>
    <row r="58" spans="1:14" ht="12.95" customHeight="1">
      <c r="A58" s="62"/>
      <c r="B58" s="111"/>
      <c r="C58" s="112"/>
      <c r="D58" s="113"/>
      <c r="E58" s="60"/>
      <c r="F58" s="73"/>
      <c r="G58" s="74"/>
      <c r="H58" s="88"/>
      <c r="I58" s="89"/>
      <c r="J58" s="53"/>
      <c r="K58">
        <f t="shared" si="0"/>
        <v>0</v>
      </c>
      <c r="L58">
        <f t="shared" si="1"/>
        <v>0</v>
      </c>
      <c r="M58">
        <f t="shared" si="2"/>
        <v>0</v>
      </c>
      <c r="N58">
        <f t="shared" si="3"/>
        <v>0</v>
      </c>
    </row>
    <row r="59" spans="1:14" ht="12.95" customHeight="1" thickBot="1">
      <c r="A59" s="114"/>
      <c r="B59" s="115"/>
      <c r="C59" s="116"/>
      <c r="D59" s="117"/>
      <c r="E59" s="118"/>
      <c r="F59" s="119"/>
      <c r="G59" s="120"/>
      <c r="H59" s="121"/>
      <c r="I59" s="122"/>
      <c r="J59" s="53"/>
      <c r="K59">
        <f t="shared" si="0"/>
        <v>0</v>
      </c>
      <c r="L59">
        <f t="shared" si="1"/>
        <v>0</v>
      </c>
      <c r="M59">
        <f t="shared" si="2"/>
        <v>0</v>
      </c>
      <c r="N59">
        <f t="shared" si="3"/>
        <v>0</v>
      </c>
    </row>
    <row r="60" spans="1:14" ht="12" customHeight="1" thickTop="1">
      <c r="A60" s="888"/>
      <c r="B60" s="941" t="s">
        <v>635</v>
      </c>
      <c r="C60" s="942" t="s">
        <v>636</v>
      </c>
      <c r="D60" s="907"/>
      <c r="E60" s="943"/>
      <c r="F60" s="906" t="s">
        <v>637</v>
      </c>
      <c r="G60" s="907"/>
      <c r="H60" s="908"/>
      <c r="J60" s="53"/>
      <c r="K60">
        <f t="shared" si="0"/>
        <v>0</v>
      </c>
      <c r="L60">
        <f t="shared" si="1"/>
        <v>0</v>
      </c>
      <c r="M60">
        <f t="shared" si="2"/>
        <v>0</v>
      </c>
      <c r="N60">
        <f t="shared" si="3"/>
        <v>0</v>
      </c>
    </row>
    <row r="61" spans="1:14" ht="12" customHeight="1" thickBot="1">
      <c r="A61" s="889"/>
      <c r="B61" s="903"/>
      <c r="C61" s="900"/>
      <c r="D61" s="901"/>
      <c r="E61" s="902"/>
      <c r="F61" s="876"/>
      <c r="G61" s="876"/>
      <c r="H61" s="877"/>
      <c r="J61" s="53"/>
      <c r="K61">
        <f t="shared" si="0"/>
        <v>0</v>
      </c>
      <c r="L61">
        <f t="shared" si="1"/>
        <v>0</v>
      </c>
      <c r="M61">
        <f t="shared" si="2"/>
        <v>0</v>
      </c>
      <c r="N61">
        <f t="shared" si="3"/>
        <v>0</v>
      </c>
    </row>
    <row r="62" spans="1:14" ht="12" customHeight="1" thickBot="1">
      <c r="A62" s="890"/>
      <c r="B62" s="904"/>
      <c r="C62" s="44" t="s">
        <v>639</v>
      </c>
      <c r="D62" s="45" t="s">
        <v>640</v>
      </c>
      <c r="E62" s="126"/>
      <c r="F62" s="878"/>
      <c r="G62" s="878"/>
      <c r="H62" s="879"/>
      <c r="J62" s="53"/>
      <c r="K62">
        <f t="shared" si="0"/>
        <v>0</v>
      </c>
      <c r="L62">
        <f t="shared" si="1"/>
        <v>0</v>
      </c>
      <c r="M62">
        <f t="shared" si="2"/>
        <v>0</v>
      </c>
      <c r="N62">
        <f t="shared" si="3"/>
        <v>0</v>
      </c>
    </row>
    <row r="63" spans="1:14" ht="12" customHeight="1" thickTop="1">
      <c r="A63" s="51"/>
      <c r="B63" s="1092" t="s">
        <v>676</v>
      </c>
      <c r="C63" s="1093"/>
      <c r="D63" s="1095"/>
      <c r="E63" s="1078"/>
      <c r="F63" s="893"/>
      <c r="G63" s="985"/>
      <c r="H63" s="986"/>
      <c r="J63" s="53"/>
      <c r="K63">
        <f t="shared" si="0"/>
        <v>0</v>
      </c>
      <c r="L63">
        <f t="shared" si="1"/>
        <v>0</v>
      </c>
      <c r="M63">
        <f t="shared" si="2"/>
        <v>0</v>
      </c>
      <c r="N63">
        <f t="shared" si="3"/>
        <v>0</v>
      </c>
    </row>
    <row r="64" spans="1:14" ht="12" customHeight="1">
      <c r="A64" s="51"/>
      <c r="B64" s="903"/>
      <c r="C64" s="1094"/>
      <c r="D64" s="1096"/>
      <c r="E64" s="1079"/>
      <c r="F64" s="987"/>
      <c r="G64" s="988"/>
      <c r="H64" s="989"/>
      <c r="J64" s="53"/>
      <c r="K64">
        <f t="shared" si="0"/>
        <v>0</v>
      </c>
      <c r="L64">
        <f t="shared" si="1"/>
        <v>0</v>
      </c>
      <c r="M64">
        <f t="shared" si="2"/>
        <v>0</v>
      </c>
      <c r="N64">
        <f t="shared" si="3"/>
        <v>0</v>
      </c>
    </row>
    <row r="65" spans="1:14" ht="12" customHeight="1">
      <c r="A65" s="127"/>
      <c r="B65" s="128" t="s">
        <v>677</v>
      </c>
      <c r="C65" s="58">
        <v>150.44620943507667</v>
      </c>
      <c r="D65" s="129">
        <f t="shared" ref="D65:D72" si="5">C65*30</f>
        <v>4513.3862830523003</v>
      </c>
      <c r="E65" s="130"/>
      <c r="F65" s="991" t="s">
        <v>678</v>
      </c>
      <c r="G65" s="992"/>
      <c r="H65" s="993"/>
      <c r="J65" s="53"/>
      <c r="K65">
        <f t="shared" si="0"/>
        <v>0</v>
      </c>
      <c r="L65">
        <f t="shared" si="1"/>
        <v>0</v>
      </c>
      <c r="M65">
        <f t="shared" si="2"/>
        <v>0</v>
      </c>
      <c r="N65">
        <f t="shared" si="3"/>
        <v>0</v>
      </c>
    </row>
    <row r="66" spans="1:14" ht="12" customHeight="1">
      <c r="A66" s="127"/>
      <c r="B66" s="128" t="s">
        <v>437</v>
      </c>
      <c r="C66" s="58">
        <v>171.9598324776203</v>
      </c>
      <c r="D66" s="129">
        <f t="shared" si="5"/>
        <v>5158.794974328609</v>
      </c>
      <c r="E66" s="130"/>
      <c r="F66" s="131"/>
      <c r="G66" s="132"/>
      <c r="H66" s="133"/>
      <c r="I66" s="132"/>
      <c r="J66" s="53"/>
      <c r="K66">
        <f t="shared" si="0"/>
        <v>0</v>
      </c>
      <c r="L66">
        <f t="shared" si="1"/>
        <v>0</v>
      </c>
      <c r="M66">
        <f t="shared" si="2"/>
        <v>0</v>
      </c>
      <c r="N66">
        <f t="shared" si="3"/>
        <v>0</v>
      </c>
    </row>
    <row r="67" spans="1:14" ht="12.95" customHeight="1">
      <c r="A67" s="56"/>
      <c r="B67" s="134" t="s">
        <v>436</v>
      </c>
      <c r="C67" s="58">
        <v>207.31188004738343</v>
      </c>
      <c r="D67" s="136">
        <f t="shared" si="5"/>
        <v>6219.3564014215026</v>
      </c>
      <c r="E67" s="137"/>
      <c r="F67" s="962" t="s">
        <v>679</v>
      </c>
      <c r="G67" s="963"/>
      <c r="H67" s="964"/>
      <c r="J67" s="53"/>
      <c r="K67">
        <f t="shared" si="0"/>
        <v>0</v>
      </c>
      <c r="L67">
        <f t="shared" si="1"/>
        <v>0</v>
      </c>
      <c r="M67">
        <f t="shared" si="2"/>
        <v>0</v>
      </c>
      <c r="N67">
        <f t="shared" si="3"/>
        <v>0</v>
      </c>
    </row>
    <row r="68" spans="1:14" ht="12.95" customHeight="1">
      <c r="A68" s="56"/>
      <c r="B68" s="134" t="s">
        <v>435</v>
      </c>
      <c r="C68" s="58">
        <v>201.75746372501004</v>
      </c>
      <c r="D68" s="136">
        <f t="shared" si="5"/>
        <v>6052.7239117503013</v>
      </c>
      <c r="E68" s="137"/>
      <c r="F68" s="962" t="s">
        <v>680</v>
      </c>
      <c r="G68" s="963"/>
      <c r="H68" s="964"/>
      <c r="J68" s="53"/>
      <c r="K68">
        <f t="shared" ref="K68:K131" si="6">IF(M68&gt;0,1,0)</f>
        <v>0</v>
      </c>
      <c r="L68">
        <f t="shared" ref="L68:L131" si="7">IF(couleur(B68)=2,L69,IF(couleur(B69)=2,0,J68+L69))</f>
        <v>0</v>
      </c>
      <c r="M68">
        <f t="shared" ref="M68:M131" si="8">IF(couleur(B68)=2,L68,J68)</f>
        <v>0</v>
      </c>
      <c r="N68">
        <f t="shared" ref="N68:N131" si="9">IF(ISNUMBER(C68),J68*C68,0)</f>
        <v>0</v>
      </c>
    </row>
    <row r="69" spans="1:14" ht="12.95" customHeight="1">
      <c r="A69" s="56"/>
      <c r="B69" s="139" t="s">
        <v>539</v>
      </c>
      <c r="C69" s="58">
        <v>245.64214757310748</v>
      </c>
      <c r="D69" s="136">
        <f t="shared" si="5"/>
        <v>7369.264427193224</v>
      </c>
      <c r="E69" s="137"/>
      <c r="F69" s="140"/>
      <c r="G69" s="141"/>
      <c r="H69" s="142"/>
      <c r="I69" s="143"/>
      <c r="J69" s="53"/>
      <c r="K69">
        <f t="shared" si="6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ht="12.95" customHeight="1">
      <c r="A70" s="62"/>
      <c r="B70" s="134" t="s">
        <v>681</v>
      </c>
      <c r="C70" s="58">
        <v>260.38312308338135</v>
      </c>
      <c r="D70" s="136">
        <f t="shared" si="5"/>
        <v>7811.4936925014408</v>
      </c>
      <c r="E70" s="137"/>
      <c r="F70" s="140"/>
      <c r="G70" s="141"/>
      <c r="H70" s="142"/>
      <c r="I70" s="143"/>
      <c r="J70" s="53"/>
      <c r="K70">
        <f t="shared" si="6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ht="12.95" customHeight="1">
      <c r="A71" s="70"/>
      <c r="B71" s="139" t="s">
        <v>682</v>
      </c>
      <c r="C71" s="58">
        <v>290.77419453965854</v>
      </c>
      <c r="D71" s="136">
        <f t="shared" si="5"/>
        <v>8723.2258361897566</v>
      </c>
      <c r="E71" s="137"/>
      <c r="F71" s="140"/>
      <c r="G71" s="141"/>
      <c r="H71" s="142"/>
      <c r="I71" s="143"/>
      <c r="J71" s="53"/>
      <c r="K71">
        <f t="shared" si="6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ht="12.95" customHeight="1">
      <c r="A72" s="70"/>
      <c r="B72" s="139" t="s">
        <v>683</v>
      </c>
      <c r="C72" s="58">
        <v>280.73885398556814</v>
      </c>
      <c r="D72" s="136">
        <f t="shared" si="5"/>
        <v>8422.1656195670439</v>
      </c>
      <c r="E72" s="137"/>
      <c r="F72" s="144"/>
      <c r="G72" s="145"/>
      <c r="H72" s="146"/>
      <c r="I72" s="145"/>
      <c r="J72" s="53"/>
      <c r="K72">
        <f t="shared" si="6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ht="12.95" customHeight="1">
      <c r="A73" s="70"/>
      <c r="B73" s="139"/>
      <c r="C73" s="147"/>
      <c r="D73" s="148"/>
      <c r="E73" s="137"/>
      <c r="F73" s="149"/>
      <c r="G73" s="150"/>
      <c r="H73" s="151"/>
      <c r="I73" s="152"/>
      <c r="J73" s="53"/>
      <c r="K73">
        <f t="shared" si="6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ht="12.95" customHeight="1">
      <c r="A74" s="70"/>
      <c r="B74" s="153" t="s">
        <v>684</v>
      </c>
      <c r="C74" s="58">
        <v>149.17310593641534</v>
      </c>
      <c r="D74" s="136">
        <f>C74*30</f>
        <v>4475.1931780924606</v>
      </c>
      <c r="E74" s="137"/>
      <c r="F74" s="149"/>
      <c r="G74" s="150"/>
      <c r="H74" s="151"/>
      <c r="I74" s="152"/>
      <c r="J74" s="53"/>
      <c r="K74">
        <f t="shared" si="6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ht="12" customHeight="1">
      <c r="A75" s="67"/>
      <c r="B75" s="1060" t="s">
        <v>685</v>
      </c>
      <c r="C75" s="969"/>
      <c r="D75" s="971"/>
      <c r="E75" s="958"/>
      <c r="F75" s="965"/>
      <c r="G75" s="966"/>
      <c r="H75" s="967"/>
      <c r="J75" s="53"/>
      <c r="K75">
        <f t="shared" si="6"/>
        <v>0</v>
      </c>
      <c r="L75">
        <f t="shared" si="7"/>
        <v>0</v>
      </c>
      <c r="M75">
        <f t="shared" si="8"/>
        <v>0</v>
      </c>
      <c r="N75">
        <f t="shared" si="9"/>
        <v>0</v>
      </c>
    </row>
    <row r="76" spans="1:14" ht="12" customHeight="1">
      <c r="A76" s="69"/>
      <c r="B76" s="903"/>
      <c r="C76" s="970"/>
      <c r="D76" s="972"/>
      <c r="E76" s="1077"/>
      <c r="F76" s="968"/>
      <c r="G76" s="966"/>
      <c r="H76" s="967"/>
      <c r="J76" s="53"/>
      <c r="K76">
        <f t="shared" si="6"/>
        <v>0</v>
      </c>
      <c r="L76">
        <f t="shared" si="7"/>
        <v>0</v>
      </c>
      <c r="M76">
        <f t="shared" si="8"/>
        <v>0</v>
      </c>
      <c r="N76">
        <f t="shared" si="9"/>
        <v>0</v>
      </c>
    </row>
    <row r="77" spans="1:14" ht="12.95" customHeight="1">
      <c r="A77" s="70"/>
      <c r="B77" s="157" t="s">
        <v>540</v>
      </c>
      <c r="C77" s="58">
        <v>18.547519691497389</v>
      </c>
      <c r="D77" s="136">
        <f>C77*30</f>
        <v>556.42559074492169</v>
      </c>
      <c r="E77" s="137"/>
      <c r="F77" s="149"/>
      <c r="G77" s="150"/>
      <c r="H77" s="151"/>
      <c r="I77" s="152"/>
      <c r="J77" s="53"/>
      <c r="K77">
        <f t="shared" si="6"/>
        <v>0</v>
      </c>
      <c r="L77">
        <f t="shared" si="7"/>
        <v>0</v>
      </c>
      <c r="M77">
        <f t="shared" si="8"/>
        <v>0</v>
      </c>
      <c r="N77">
        <f t="shared" si="9"/>
        <v>0</v>
      </c>
    </row>
    <row r="78" spans="1:14" ht="12.95" customHeight="1">
      <c r="A78" s="70"/>
      <c r="B78" s="157" t="s">
        <v>686</v>
      </c>
      <c r="C78" s="58">
        <v>12.558656409644104</v>
      </c>
      <c r="D78" s="136">
        <f>C78*30</f>
        <v>376.75969228932314</v>
      </c>
      <c r="E78" s="137"/>
      <c r="F78" s="149"/>
      <c r="G78" s="150"/>
      <c r="H78" s="151"/>
      <c r="I78" s="152"/>
      <c r="J78" s="53"/>
      <c r="K78">
        <f t="shared" si="6"/>
        <v>0</v>
      </c>
      <c r="L78">
        <f t="shared" si="7"/>
        <v>0</v>
      </c>
      <c r="M78">
        <f t="shared" si="8"/>
        <v>0</v>
      </c>
      <c r="N78">
        <f t="shared" si="9"/>
        <v>0</v>
      </c>
    </row>
    <row r="79" spans="1:14" ht="12.95" customHeight="1">
      <c r="A79" s="70"/>
      <c r="B79" s="157" t="s">
        <v>541</v>
      </c>
      <c r="C79" s="58">
        <v>3.1171414131112218</v>
      </c>
      <c r="D79" s="136">
        <f>C79*30</f>
        <v>93.514242393336659</v>
      </c>
      <c r="E79" s="137"/>
      <c r="F79" s="149"/>
      <c r="G79" s="150"/>
      <c r="H79" s="151"/>
      <c r="I79" s="152"/>
      <c r="J79" s="53"/>
      <c r="K79">
        <f t="shared" si="6"/>
        <v>0</v>
      </c>
      <c r="L79">
        <f t="shared" si="7"/>
        <v>0</v>
      </c>
      <c r="M79">
        <f t="shared" si="8"/>
        <v>0</v>
      </c>
      <c r="N79">
        <f t="shared" si="9"/>
        <v>0</v>
      </c>
    </row>
    <row r="80" spans="1:14" ht="12.95" customHeight="1">
      <c r="A80" s="65"/>
      <c r="B80" s="157" t="s">
        <v>687</v>
      </c>
      <c r="C80" s="944" t="s">
        <v>655</v>
      </c>
      <c r="D80" s="990"/>
      <c r="E80" s="137"/>
      <c r="F80" s="149"/>
      <c r="G80" s="150"/>
      <c r="H80" s="151"/>
      <c r="I80" s="152"/>
      <c r="J80" s="53"/>
      <c r="K80">
        <f t="shared" si="6"/>
        <v>0</v>
      </c>
      <c r="L80">
        <f t="shared" si="7"/>
        <v>0</v>
      </c>
      <c r="M80">
        <f t="shared" si="8"/>
        <v>0</v>
      </c>
      <c r="N80">
        <f t="shared" si="9"/>
        <v>0</v>
      </c>
    </row>
    <row r="81" spans="1:14" ht="12.95" customHeight="1">
      <c r="A81" s="70"/>
      <c r="B81" s="157" t="s">
        <v>688</v>
      </c>
      <c r="C81" s="58">
        <v>19.034867642744807</v>
      </c>
      <c r="D81" s="136">
        <f>C81*30</f>
        <v>571.04602928234419</v>
      </c>
      <c r="E81" s="137"/>
      <c r="F81" s="149"/>
      <c r="G81" s="150"/>
      <c r="H81" s="151"/>
      <c r="I81" s="152"/>
      <c r="J81" s="53"/>
      <c r="K81">
        <f t="shared" si="6"/>
        <v>0</v>
      </c>
      <c r="L81">
        <f t="shared" si="7"/>
        <v>0</v>
      </c>
      <c r="M81">
        <f t="shared" si="8"/>
        <v>0</v>
      </c>
      <c r="N81">
        <f t="shared" si="9"/>
        <v>0</v>
      </c>
    </row>
    <row r="82" spans="1:14" ht="12.95" customHeight="1">
      <c r="A82" s="70"/>
      <c r="B82" s="157" t="s">
        <v>542</v>
      </c>
      <c r="C82" s="58">
        <v>19.395896596724288</v>
      </c>
      <c r="D82" s="136">
        <f>C82*30</f>
        <v>581.87689790172863</v>
      </c>
      <c r="E82" s="137"/>
      <c r="F82" s="149"/>
      <c r="G82" s="150"/>
      <c r="H82" s="151"/>
      <c r="I82" s="152"/>
      <c r="J82" s="53"/>
      <c r="K82">
        <f t="shared" si="6"/>
        <v>0</v>
      </c>
      <c r="L82">
        <f t="shared" si="7"/>
        <v>0</v>
      </c>
      <c r="M82">
        <f t="shared" si="8"/>
        <v>0</v>
      </c>
      <c r="N82">
        <f t="shared" si="9"/>
        <v>0</v>
      </c>
    </row>
    <row r="83" spans="1:14" ht="12.95" customHeight="1">
      <c r="A83" s="70"/>
      <c r="B83" s="157" t="s">
        <v>689</v>
      </c>
      <c r="C83" s="58">
        <v>0.31768756048702701</v>
      </c>
      <c r="D83" s="136">
        <f>C83*30</f>
        <v>9.5306268146108106</v>
      </c>
      <c r="E83" s="137"/>
      <c r="F83" s="149"/>
      <c r="G83" s="150"/>
      <c r="H83" s="151"/>
      <c r="I83" s="152"/>
      <c r="J83" s="53"/>
      <c r="K83">
        <f t="shared" si="6"/>
        <v>0</v>
      </c>
      <c r="L83">
        <f t="shared" si="7"/>
        <v>0</v>
      </c>
      <c r="M83">
        <f t="shared" si="8"/>
        <v>0</v>
      </c>
      <c r="N83">
        <f t="shared" si="9"/>
        <v>0</v>
      </c>
    </row>
    <row r="84" spans="1:14" ht="12.95" customHeight="1">
      <c r="A84" s="70"/>
      <c r="B84" s="157" t="s">
        <v>690</v>
      </c>
      <c r="C84" s="58">
        <v>0.83774902404084794</v>
      </c>
      <c r="D84" s="136">
        <f>C84*30</f>
        <v>25.132470721225438</v>
      </c>
      <c r="E84" s="137"/>
      <c r="F84" s="149"/>
      <c r="G84" s="150"/>
      <c r="H84" s="151"/>
      <c r="I84" s="152"/>
      <c r="J84" s="53"/>
      <c r="K84">
        <f t="shared" si="6"/>
        <v>0</v>
      </c>
      <c r="L84">
        <f t="shared" si="7"/>
        <v>0</v>
      </c>
      <c r="M84">
        <f t="shared" si="8"/>
        <v>0</v>
      </c>
      <c r="N84">
        <f t="shared" si="9"/>
        <v>0</v>
      </c>
    </row>
    <row r="85" spans="1:14" ht="12.95" customHeight="1">
      <c r="A85" s="70"/>
      <c r="B85" s="157" t="s">
        <v>691</v>
      </c>
      <c r="C85" s="58">
        <v>0.34851235275638576</v>
      </c>
      <c r="D85" s="136">
        <f>C85*30</f>
        <v>10.455370582691573</v>
      </c>
      <c r="E85" s="158"/>
      <c r="F85" s="159"/>
      <c r="G85" s="160"/>
      <c r="H85" s="161"/>
      <c r="I85" s="162"/>
      <c r="J85" s="53"/>
      <c r="K85">
        <f t="shared" si="6"/>
        <v>0</v>
      </c>
      <c r="L85">
        <f t="shared" si="7"/>
        <v>0</v>
      </c>
      <c r="M85">
        <f t="shared" si="8"/>
        <v>0</v>
      </c>
      <c r="N85">
        <f t="shared" si="9"/>
        <v>0</v>
      </c>
    </row>
    <row r="86" spans="1:14" ht="12.95" customHeight="1">
      <c r="A86" s="70"/>
      <c r="B86" s="157" t="s">
        <v>692</v>
      </c>
      <c r="C86" s="944" t="s">
        <v>655</v>
      </c>
      <c r="D86" s="953"/>
      <c r="E86" s="137"/>
      <c r="F86" s="149"/>
      <c r="G86" s="150"/>
      <c r="H86" s="161"/>
      <c r="I86" s="162"/>
      <c r="J86" s="53"/>
      <c r="K86">
        <f t="shared" si="6"/>
        <v>0</v>
      </c>
      <c r="L86">
        <f t="shared" si="7"/>
        <v>0</v>
      </c>
      <c r="M86">
        <f t="shared" si="8"/>
        <v>0</v>
      </c>
      <c r="N86">
        <f t="shared" si="9"/>
        <v>0</v>
      </c>
    </row>
    <row r="87" spans="1:14" ht="12.95" customHeight="1">
      <c r="A87" s="70"/>
      <c r="B87" s="157" t="s">
        <v>693</v>
      </c>
      <c r="C87" s="944" t="s">
        <v>655</v>
      </c>
      <c r="D87" s="953"/>
      <c r="E87" s="137"/>
      <c r="F87" s="149"/>
      <c r="G87" s="150"/>
      <c r="H87" s="161"/>
      <c r="I87" s="162"/>
      <c r="J87" s="53"/>
      <c r="K87">
        <f t="shared" si="6"/>
        <v>0</v>
      </c>
      <c r="L87">
        <f t="shared" si="7"/>
        <v>0</v>
      </c>
      <c r="M87">
        <f t="shared" si="8"/>
        <v>0</v>
      </c>
      <c r="N87">
        <f t="shared" si="9"/>
        <v>0</v>
      </c>
    </row>
    <row r="88" spans="1:14" ht="12.95" customHeight="1">
      <c r="A88" s="65"/>
      <c r="B88" s="157" t="s">
        <v>694</v>
      </c>
      <c r="C88" s="944" t="s">
        <v>655</v>
      </c>
      <c r="D88" s="953"/>
      <c r="E88" s="137"/>
      <c r="F88" s="149"/>
      <c r="G88" s="150"/>
      <c r="H88" s="151"/>
      <c r="I88" s="152"/>
      <c r="J88" s="53"/>
      <c r="K88">
        <f t="shared" si="6"/>
        <v>0</v>
      </c>
      <c r="L88">
        <f t="shared" si="7"/>
        <v>0</v>
      </c>
      <c r="M88">
        <f t="shared" si="8"/>
        <v>0</v>
      </c>
      <c r="N88">
        <f t="shared" si="9"/>
        <v>0</v>
      </c>
    </row>
    <row r="89" spans="1:14" ht="12.95" customHeight="1">
      <c r="A89" s="70"/>
      <c r="B89" s="163"/>
      <c r="C89" s="154"/>
      <c r="D89" s="136"/>
      <c r="E89" s="137"/>
      <c r="F89" s="149"/>
      <c r="G89" s="150"/>
      <c r="H89" s="151"/>
      <c r="I89" s="152"/>
      <c r="J89" s="53"/>
      <c r="K89">
        <f t="shared" si="6"/>
        <v>0</v>
      </c>
      <c r="L89">
        <f t="shared" si="7"/>
        <v>0</v>
      </c>
      <c r="M89">
        <f t="shared" si="8"/>
        <v>0</v>
      </c>
      <c r="N89">
        <f t="shared" si="9"/>
        <v>0</v>
      </c>
    </row>
    <row r="90" spans="1:14" ht="12" customHeight="1">
      <c r="A90" s="86"/>
      <c r="B90" s="1060" t="s">
        <v>695</v>
      </c>
      <c r="C90" s="1084" t="s">
        <v>696</v>
      </c>
      <c r="D90" s="1080" t="s">
        <v>697</v>
      </c>
      <c r="E90" s="958"/>
      <c r="F90" s="965"/>
      <c r="G90" s="966"/>
      <c r="H90" s="967"/>
      <c r="J90" s="53"/>
      <c r="K90">
        <f t="shared" si="6"/>
        <v>0</v>
      </c>
      <c r="L90">
        <f t="shared" si="7"/>
        <v>0</v>
      </c>
      <c r="M90">
        <f t="shared" si="8"/>
        <v>0</v>
      </c>
      <c r="N90">
        <f t="shared" si="9"/>
        <v>0</v>
      </c>
    </row>
    <row r="91" spans="1:14" ht="12" customHeight="1">
      <c r="A91" s="69"/>
      <c r="B91" s="903"/>
      <c r="C91" s="1085"/>
      <c r="D91" s="1081"/>
      <c r="E91" s="958"/>
      <c r="F91" s="968"/>
      <c r="G91" s="966"/>
      <c r="H91" s="967"/>
      <c r="J91" s="53"/>
      <c r="K91">
        <f t="shared" si="6"/>
        <v>0</v>
      </c>
      <c r="L91">
        <f t="shared" si="7"/>
        <v>0</v>
      </c>
      <c r="M91">
        <f t="shared" si="8"/>
        <v>0</v>
      </c>
      <c r="N91">
        <f t="shared" si="9"/>
        <v>0</v>
      </c>
    </row>
    <row r="92" spans="1:14" ht="12.95" customHeight="1">
      <c r="A92" s="70"/>
      <c r="B92" s="57" t="s">
        <v>698</v>
      </c>
      <c r="C92" s="944" t="s">
        <v>655</v>
      </c>
      <c r="D92" s="953"/>
      <c r="E92" s="137"/>
      <c r="F92" s="149"/>
      <c r="G92" s="150"/>
      <c r="H92" s="151"/>
      <c r="I92" s="152"/>
      <c r="J92" s="53"/>
      <c r="K92">
        <f t="shared" si="6"/>
        <v>0</v>
      </c>
      <c r="L92">
        <f t="shared" si="7"/>
        <v>0</v>
      </c>
      <c r="M92">
        <f t="shared" si="8"/>
        <v>0</v>
      </c>
      <c r="N92">
        <f t="shared" si="9"/>
        <v>0</v>
      </c>
    </row>
    <row r="93" spans="1:14" ht="12.95" customHeight="1">
      <c r="A93" s="164"/>
      <c r="B93" s="57" t="s">
        <v>699</v>
      </c>
      <c r="C93" s="944" t="s">
        <v>655</v>
      </c>
      <c r="D93" s="953"/>
      <c r="E93" s="137"/>
      <c r="F93" s="149"/>
      <c r="G93" s="150"/>
      <c r="H93" s="151"/>
      <c r="I93" s="152"/>
      <c r="J93" s="53"/>
      <c r="K93">
        <f t="shared" si="6"/>
        <v>0</v>
      </c>
      <c r="L93">
        <f t="shared" si="7"/>
        <v>0</v>
      </c>
      <c r="M93">
        <f t="shared" si="8"/>
        <v>0</v>
      </c>
      <c r="N93">
        <f t="shared" si="9"/>
        <v>0</v>
      </c>
    </row>
    <row r="94" spans="1:14" ht="12.95" customHeight="1">
      <c r="A94" s="65"/>
      <c r="B94" s="57" t="s">
        <v>686</v>
      </c>
      <c r="C94" s="944" t="s">
        <v>655</v>
      </c>
      <c r="D94" s="953"/>
      <c r="E94" s="137"/>
      <c r="F94" s="149"/>
      <c r="G94" s="150"/>
      <c r="H94" s="165"/>
      <c r="I94" s="166"/>
      <c r="J94" s="53"/>
      <c r="K94">
        <f t="shared" si="6"/>
        <v>0</v>
      </c>
      <c r="L94">
        <f t="shared" si="7"/>
        <v>0</v>
      </c>
      <c r="M94">
        <f t="shared" si="8"/>
        <v>0</v>
      </c>
      <c r="N94">
        <f t="shared" si="9"/>
        <v>0</v>
      </c>
    </row>
    <row r="95" spans="1:14" ht="12.95" customHeight="1">
      <c r="A95" s="65"/>
      <c r="B95" s="57" t="s">
        <v>700</v>
      </c>
      <c r="C95" s="944" t="s">
        <v>655</v>
      </c>
      <c r="D95" s="953"/>
      <c r="E95" s="137"/>
      <c r="F95" s="149"/>
      <c r="G95" s="150"/>
      <c r="H95" s="165"/>
      <c r="I95" s="166"/>
      <c r="J95" s="53"/>
      <c r="K95">
        <f t="shared" si="6"/>
        <v>0</v>
      </c>
      <c r="L95">
        <f t="shared" si="7"/>
        <v>0</v>
      </c>
      <c r="M95">
        <f t="shared" si="8"/>
        <v>0</v>
      </c>
      <c r="N95">
        <f t="shared" si="9"/>
        <v>0</v>
      </c>
    </row>
    <row r="96" spans="1:14" ht="12.95" customHeight="1">
      <c r="A96" s="65"/>
      <c r="B96" s="57" t="s">
        <v>687</v>
      </c>
      <c r="C96" s="944" t="s">
        <v>655</v>
      </c>
      <c r="D96" s="953"/>
      <c r="E96" s="137"/>
      <c r="F96" s="149"/>
      <c r="G96" s="150"/>
      <c r="H96" s="165"/>
      <c r="I96" s="166"/>
      <c r="J96" s="53"/>
      <c r="K96">
        <f t="shared" si="6"/>
        <v>0</v>
      </c>
      <c r="L96">
        <f t="shared" si="7"/>
        <v>0</v>
      </c>
      <c r="M96">
        <f t="shared" si="8"/>
        <v>0</v>
      </c>
      <c r="N96">
        <f t="shared" si="9"/>
        <v>0</v>
      </c>
    </row>
    <row r="97" spans="1:14" ht="12.95" customHeight="1">
      <c r="A97" s="65"/>
      <c r="B97" s="57" t="s">
        <v>688</v>
      </c>
      <c r="C97" s="944" t="s">
        <v>655</v>
      </c>
      <c r="D97" s="953"/>
      <c r="E97" s="137"/>
      <c r="F97" s="149"/>
      <c r="G97" s="150"/>
      <c r="H97" s="165"/>
      <c r="I97" s="166"/>
      <c r="J97" s="53"/>
      <c r="K97">
        <f t="shared" si="6"/>
        <v>0</v>
      </c>
      <c r="L97">
        <f t="shared" si="7"/>
        <v>0</v>
      </c>
      <c r="M97">
        <f t="shared" si="8"/>
        <v>0</v>
      </c>
      <c r="N97">
        <f t="shared" si="9"/>
        <v>0</v>
      </c>
    </row>
    <row r="98" spans="1:14" ht="12.95" customHeight="1">
      <c r="A98" s="62"/>
      <c r="B98" s="57" t="s">
        <v>701</v>
      </c>
      <c r="C98" s="944" t="s">
        <v>655</v>
      </c>
      <c r="D98" s="953"/>
      <c r="E98" s="137"/>
      <c r="F98" s="149"/>
      <c r="G98" s="150"/>
      <c r="H98" s="165"/>
      <c r="I98" s="166"/>
      <c r="J98" s="53"/>
      <c r="K98">
        <f t="shared" si="6"/>
        <v>0</v>
      </c>
      <c r="L98">
        <f t="shared" si="7"/>
        <v>0</v>
      </c>
      <c r="M98">
        <f t="shared" si="8"/>
        <v>0</v>
      </c>
      <c r="N98">
        <f t="shared" si="9"/>
        <v>0</v>
      </c>
    </row>
    <row r="99" spans="1:14" ht="12.95" customHeight="1">
      <c r="A99" s="62"/>
      <c r="B99" s="57" t="s">
        <v>692</v>
      </c>
      <c r="C99" s="944" t="s">
        <v>655</v>
      </c>
      <c r="D99" s="953"/>
      <c r="E99" s="137"/>
      <c r="F99" s="149"/>
      <c r="G99" s="150"/>
      <c r="H99" s="165"/>
      <c r="I99" s="166"/>
      <c r="J99" s="53"/>
      <c r="K99">
        <f t="shared" si="6"/>
        <v>0</v>
      </c>
      <c r="L99">
        <f t="shared" si="7"/>
        <v>0</v>
      </c>
      <c r="M99">
        <f t="shared" si="8"/>
        <v>0</v>
      </c>
      <c r="N99">
        <f t="shared" si="9"/>
        <v>0</v>
      </c>
    </row>
    <row r="100" spans="1:14" ht="12.95" customHeight="1">
      <c r="A100" s="62"/>
      <c r="B100" s="57" t="s">
        <v>693</v>
      </c>
      <c r="C100" s="944" t="s">
        <v>655</v>
      </c>
      <c r="D100" s="953"/>
      <c r="E100" s="137"/>
      <c r="F100" s="149"/>
      <c r="G100" s="150"/>
      <c r="H100" s="165"/>
      <c r="I100" s="166"/>
      <c r="J100" s="53"/>
      <c r="K100">
        <f t="shared" si="6"/>
        <v>0</v>
      </c>
      <c r="L100">
        <f t="shared" si="7"/>
        <v>0</v>
      </c>
      <c r="M100">
        <f t="shared" si="8"/>
        <v>0</v>
      </c>
      <c r="N100">
        <f t="shared" si="9"/>
        <v>0</v>
      </c>
    </row>
    <row r="101" spans="1:14" ht="12.95" customHeight="1">
      <c r="A101" s="62"/>
      <c r="B101" s="57"/>
      <c r="C101" s="135"/>
      <c r="D101" s="167"/>
      <c r="E101" s="137"/>
      <c r="F101" s="149"/>
      <c r="G101" s="150"/>
      <c r="H101" s="165"/>
      <c r="I101" s="166"/>
      <c r="J101" s="53"/>
      <c r="K101">
        <f t="shared" si="6"/>
        <v>0</v>
      </c>
      <c r="L101">
        <f t="shared" si="7"/>
        <v>0</v>
      </c>
      <c r="M101">
        <f t="shared" si="8"/>
        <v>0</v>
      </c>
      <c r="N101">
        <f t="shared" si="9"/>
        <v>0</v>
      </c>
    </row>
    <row r="102" spans="1:14" ht="12.95" customHeight="1">
      <c r="A102" s="62"/>
      <c r="B102" s="57"/>
      <c r="C102" s="135"/>
      <c r="D102" s="167"/>
      <c r="E102" s="137"/>
      <c r="F102" s="149"/>
      <c r="G102" s="150"/>
      <c r="H102" s="151"/>
      <c r="I102" s="152"/>
      <c r="J102" s="53"/>
      <c r="K102">
        <f t="shared" si="6"/>
        <v>0</v>
      </c>
      <c r="L102">
        <f t="shared" si="7"/>
        <v>0</v>
      </c>
      <c r="M102">
        <f t="shared" si="8"/>
        <v>0</v>
      </c>
      <c r="N102">
        <f t="shared" si="9"/>
        <v>0</v>
      </c>
    </row>
    <row r="103" spans="1:14" ht="12.95" customHeight="1">
      <c r="A103" s="62"/>
      <c r="B103" s="168"/>
      <c r="C103" s="169"/>
      <c r="D103" s="170"/>
      <c r="E103" s="137"/>
      <c r="F103" s="149"/>
      <c r="G103" s="150"/>
      <c r="H103" s="165"/>
      <c r="I103" s="166"/>
      <c r="J103" s="53"/>
      <c r="K103">
        <f t="shared" si="6"/>
        <v>0</v>
      </c>
      <c r="L103">
        <f t="shared" si="7"/>
        <v>0</v>
      </c>
      <c r="M103">
        <f t="shared" si="8"/>
        <v>0</v>
      </c>
      <c r="N103">
        <f t="shared" si="9"/>
        <v>0</v>
      </c>
    </row>
    <row r="104" spans="1:14" ht="12" customHeight="1">
      <c r="A104" s="90"/>
      <c r="B104" s="1060" t="s">
        <v>702</v>
      </c>
      <c r="C104" s="1070"/>
      <c r="D104" s="1122"/>
      <c r="E104" s="958"/>
      <c r="F104" s="965"/>
      <c r="G104" s="966"/>
      <c r="H104" s="967"/>
      <c r="J104" s="53"/>
      <c r="K104">
        <f t="shared" si="6"/>
        <v>0</v>
      </c>
      <c r="L104">
        <f t="shared" si="7"/>
        <v>0</v>
      </c>
      <c r="M104">
        <f t="shared" si="8"/>
        <v>0</v>
      </c>
      <c r="N104">
        <f t="shared" si="9"/>
        <v>0</v>
      </c>
    </row>
    <row r="105" spans="1:14" ht="12" customHeight="1">
      <c r="A105" s="87"/>
      <c r="B105" s="903"/>
      <c r="C105" s="1076"/>
      <c r="D105" s="1123"/>
      <c r="E105" s="958"/>
      <c r="F105" s="968"/>
      <c r="G105" s="966"/>
      <c r="H105" s="967"/>
      <c r="J105" s="53"/>
      <c r="K105">
        <f t="shared" si="6"/>
        <v>0</v>
      </c>
      <c r="L105">
        <f t="shared" si="7"/>
        <v>0</v>
      </c>
      <c r="M105">
        <f t="shared" si="8"/>
        <v>0</v>
      </c>
      <c r="N105">
        <f t="shared" si="9"/>
        <v>0</v>
      </c>
    </row>
    <row r="106" spans="1:14" ht="12.95" customHeight="1">
      <c r="A106" s="62"/>
      <c r="B106" s="171" t="s">
        <v>703</v>
      </c>
      <c r="C106" s="944" t="s">
        <v>655</v>
      </c>
      <c r="D106" s="953"/>
      <c r="E106" s="137"/>
      <c r="F106" s="149"/>
      <c r="G106" s="150"/>
      <c r="H106" s="165"/>
      <c r="I106" s="166"/>
      <c r="J106" s="53"/>
      <c r="K106">
        <f t="shared" si="6"/>
        <v>0</v>
      </c>
      <c r="L106">
        <f t="shared" si="7"/>
        <v>0</v>
      </c>
      <c r="M106">
        <f t="shared" si="8"/>
        <v>0</v>
      </c>
      <c r="N106">
        <f t="shared" si="9"/>
        <v>0</v>
      </c>
    </row>
    <row r="107" spans="1:14" ht="12.95" customHeight="1">
      <c r="A107" s="62"/>
      <c r="B107" s="171" t="s">
        <v>704</v>
      </c>
      <c r="C107" s="944" t="s">
        <v>655</v>
      </c>
      <c r="D107" s="953"/>
      <c r="E107" s="137"/>
      <c r="F107" s="149"/>
      <c r="G107" s="150"/>
      <c r="H107" s="165"/>
      <c r="I107" s="166"/>
      <c r="J107" s="53"/>
      <c r="K107">
        <f t="shared" si="6"/>
        <v>0</v>
      </c>
      <c r="L107">
        <f t="shared" si="7"/>
        <v>0</v>
      </c>
      <c r="M107">
        <f t="shared" si="8"/>
        <v>0</v>
      </c>
      <c r="N107">
        <f t="shared" si="9"/>
        <v>0</v>
      </c>
    </row>
    <row r="108" spans="1:14" ht="12.95" customHeight="1">
      <c r="A108" s="62"/>
      <c r="B108" s="171" t="s">
        <v>705</v>
      </c>
      <c r="C108" s="944" t="s">
        <v>655</v>
      </c>
      <c r="D108" s="953"/>
      <c r="E108" s="137"/>
      <c r="F108" s="149"/>
      <c r="G108" s="150"/>
      <c r="H108" s="165"/>
      <c r="I108" s="166"/>
      <c r="J108" s="53"/>
      <c r="K108">
        <f t="shared" si="6"/>
        <v>0</v>
      </c>
      <c r="L108">
        <f t="shared" si="7"/>
        <v>0</v>
      </c>
      <c r="M108">
        <f t="shared" si="8"/>
        <v>0</v>
      </c>
      <c r="N108">
        <f t="shared" si="9"/>
        <v>0</v>
      </c>
    </row>
    <row r="109" spans="1:14" ht="12.95" customHeight="1">
      <c r="A109" s="62"/>
      <c r="B109" s="171" t="s">
        <v>706</v>
      </c>
      <c r="C109" s="944" t="s">
        <v>655</v>
      </c>
      <c r="D109" s="953"/>
      <c r="E109" s="137"/>
      <c r="F109" s="149"/>
      <c r="G109" s="150"/>
      <c r="H109" s="165"/>
      <c r="I109" s="166"/>
      <c r="J109" s="53"/>
      <c r="K109">
        <f t="shared" si="6"/>
        <v>0</v>
      </c>
      <c r="L109">
        <f t="shared" si="7"/>
        <v>0</v>
      </c>
      <c r="M109">
        <f t="shared" si="8"/>
        <v>0</v>
      </c>
      <c r="N109">
        <f t="shared" si="9"/>
        <v>0</v>
      </c>
    </row>
    <row r="110" spans="1:14" ht="12" customHeight="1">
      <c r="A110" s="90"/>
      <c r="B110" s="1060" t="s">
        <v>707</v>
      </c>
      <c r="C110" s="1070"/>
      <c r="D110" s="1122"/>
      <c r="E110" s="958"/>
      <c r="F110" s="965"/>
      <c r="G110" s="966"/>
      <c r="H110" s="967"/>
      <c r="J110" s="53"/>
      <c r="K110">
        <f t="shared" si="6"/>
        <v>0</v>
      </c>
      <c r="L110">
        <f t="shared" si="7"/>
        <v>0</v>
      </c>
      <c r="M110">
        <f t="shared" si="8"/>
        <v>0</v>
      </c>
      <c r="N110">
        <f t="shared" si="9"/>
        <v>0</v>
      </c>
    </row>
    <row r="111" spans="1:14" ht="12" customHeight="1">
      <c r="A111" s="87"/>
      <c r="B111" s="903"/>
      <c r="C111" s="1070"/>
      <c r="D111" s="1122"/>
      <c r="E111" s="958"/>
      <c r="F111" s="968"/>
      <c r="G111" s="966"/>
      <c r="H111" s="967"/>
      <c r="J111" s="53"/>
      <c r="K111">
        <f t="shared" si="6"/>
        <v>0</v>
      </c>
      <c r="L111">
        <f t="shared" si="7"/>
        <v>0</v>
      </c>
      <c r="M111">
        <f t="shared" si="8"/>
        <v>0</v>
      </c>
      <c r="N111">
        <f t="shared" si="9"/>
        <v>0</v>
      </c>
    </row>
    <row r="112" spans="1:14" ht="12.95" customHeight="1">
      <c r="A112" s="62"/>
      <c r="B112" s="111"/>
      <c r="C112" s="66"/>
      <c r="D112" s="58"/>
      <c r="E112" s="137"/>
      <c r="F112" s="149"/>
      <c r="G112" s="150"/>
      <c r="H112" s="151"/>
      <c r="I112" s="152"/>
      <c r="J112" s="53"/>
      <c r="K112">
        <f t="shared" si="6"/>
        <v>0</v>
      </c>
      <c r="L112">
        <f t="shared" si="7"/>
        <v>0</v>
      </c>
      <c r="M112">
        <f t="shared" si="8"/>
        <v>0</v>
      </c>
      <c r="N112">
        <f t="shared" si="9"/>
        <v>0</v>
      </c>
    </row>
    <row r="113" spans="1:14" ht="12.95" customHeight="1">
      <c r="A113" s="62"/>
      <c r="B113" s="111"/>
      <c r="C113" s="66"/>
      <c r="D113" s="58"/>
      <c r="E113" s="137"/>
      <c r="F113" s="149"/>
      <c r="G113" s="150"/>
      <c r="H113" s="151"/>
      <c r="I113" s="152"/>
      <c r="J113" s="53"/>
      <c r="K113">
        <f t="shared" si="6"/>
        <v>0</v>
      </c>
      <c r="L113">
        <f t="shared" si="7"/>
        <v>0</v>
      </c>
      <c r="M113">
        <f t="shared" si="8"/>
        <v>0</v>
      </c>
      <c r="N113">
        <f t="shared" si="9"/>
        <v>0</v>
      </c>
    </row>
    <row r="114" spans="1:14" ht="12.95" customHeight="1">
      <c r="A114" s="62"/>
      <c r="B114" s="111"/>
      <c r="C114" s="66"/>
      <c r="D114" s="58"/>
      <c r="E114" s="60"/>
      <c r="F114" s="149"/>
      <c r="G114" s="150"/>
      <c r="H114" s="165"/>
      <c r="I114" s="166"/>
      <c r="J114" s="53"/>
      <c r="K114">
        <f t="shared" si="6"/>
        <v>0</v>
      </c>
      <c r="L114">
        <f t="shared" si="7"/>
        <v>0</v>
      </c>
      <c r="M114">
        <f t="shared" si="8"/>
        <v>0</v>
      </c>
      <c r="N114">
        <f t="shared" si="9"/>
        <v>0</v>
      </c>
    </row>
    <row r="115" spans="1:14" ht="12.95" customHeight="1">
      <c r="A115" s="62"/>
      <c r="B115" s="111"/>
      <c r="C115" s="66"/>
      <c r="D115" s="58"/>
      <c r="E115" s="60"/>
      <c r="F115" s="149"/>
      <c r="G115" s="150"/>
      <c r="H115" s="165"/>
      <c r="I115" s="166"/>
      <c r="J115" s="53"/>
      <c r="K115">
        <f t="shared" si="6"/>
        <v>0</v>
      </c>
      <c r="L115">
        <f t="shared" si="7"/>
        <v>0</v>
      </c>
      <c r="M115">
        <f t="shared" si="8"/>
        <v>0</v>
      </c>
      <c r="N115">
        <f t="shared" si="9"/>
        <v>0</v>
      </c>
    </row>
    <row r="116" spans="1:14" ht="12.95" customHeight="1" thickBot="1">
      <c r="A116" s="114"/>
      <c r="B116" s="115"/>
      <c r="C116" s="116"/>
      <c r="D116" s="172"/>
      <c r="E116" s="173"/>
      <c r="F116" s="174"/>
      <c r="G116" s="117"/>
      <c r="H116" s="175"/>
      <c r="I116" s="176"/>
      <c r="J116" s="53"/>
      <c r="K116">
        <f t="shared" si="6"/>
        <v>0</v>
      </c>
      <c r="L116">
        <f t="shared" si="7"/>
        <v>0</v>
      </c>
      <c r="M116">
        <f t="shared" si="8"/>
        <v>0</v>
      </c>
      <c r="N116">
        <f t="shared" si="9"/>
        <v>0</v>
      </c>
    </row>
    <row r="117" spans="1:14" ht="12" customHeight="1" thickTop="1">
      <c r="A117" s="888"/>
      <c r="B117" s="941" t="s">
        <v>635</v>
      </c>
      <c r="C117" s="942" t="s">
        <v>636</v>
      </c>
      <c r="D117" s="907"/>
      <c r="E117" s="943"/>
      <c r="F117" s="906" t="s">
        <v>637</v>
      </c>
      <c r="G117" s="907"/>
      <c r="H117" s="908"/>
      <c r="J117" s="53"/>
      <c r="K117">
        <f t="shared" si="6"/>
        <v>0</v>
      </c>
      <c r="L117">
        <f t="shared" si="7"/>
        <v>0</v>
      </c>
      <c r="M117">
        <f t="shared" si="8"/>
        <v>0</v>
      </c>
      <c r="N117">
        <f t="shared" si="9"/>
        <v>0</v>
      </c>
    </row>
    <row r="118" spans="1:14" ht="12" customHeight="1" thickBot="1">
      <c r="A118" s="889"/>
      <c r="B118" s="903"/>
      <c r="C118" s="900"/>
      <c r="D118" s="901"/>
      <c r="E118" s="902"/>
      <c r="F118" s="876"/>
      <c r="G118" s="876"/>
      <c r="H118" s="877"/>
      <c r="J118" s="53"/>
      <c r="K118">
        <f t="shared" si="6"/>
        <v>0</v>
      </c>
      <c r="L118">
        <f t="shared" si="7"/>
        <v>0</v>
      </c>
      <c r="M118">
        <f t="shared" si="8"/>
        <v>0</v>
      </c>
      <c r="N118">
        <f t="shared" si="9"/>
        <v>0</v>
      </c>
    </row>
    <row r="119" spans="1:14" ht="12" customHeight="1" thickBot="1">
      <c r="A119" s="890"/>
      <c r="B119" s="904"/>
      <c r="C119" s="44" t="s">
        <v>639</v>
      </c>
      <c r="D119" s="45" t="s">
        <v>640</v>
      </c>
      <c r="E119" s="126"/>
      <c r="F119" s="878"/>
      <c r="G119" s="878"/>
      <c r="H119" s="879"/>
      <c r="J119" s="53"/>
      <c r="K119">
        <f t="shared" si="6"/>
        <v>0</v>
      </c>
      <c r="L119">
        <f t="shared" si="7"/>
        <v>0</v>
      </c>
      <c r="M119">
        <f t="shared" si="8"/>
        <v>0</v>
      </c>
      <c r="N119">
        <f t="shared" si="9"/>
        <v>0</v>
      </c>
    </row>
    <row r="120" spans="1:14" ht="12" customHeight="1" thickTop="1">
      <c r="A120" s="51"/>
      <c r="B120" s="1092" t="s">
        <v>708</v>
      </c>
      <c r="C120" s="1093"/>
      <c r="D120" s="1073"/>
      <c r="E120" s="1110"/>
      <c r="F120" s="177"/>
      <c r="G120" s="178"/>
      <c r="H120" s="179"/>
      <c r="I120" s="180"/>
      <c r="J120" s="53"/>
      <c r="K120">
        <f t="shared" si="6"/>
        <v>0</v>
      </c>
      <c r="L120">
        <f t="shared" si="7"/>
        <v>0</v>
      </c>
      <c r="M120">
        <f t="shared" si="8"/>
        <v>0</v>
      </c>
      <c r="N120">
        <f t="shared" si="9"/>
        <v>0</v>
      </c>
    </row>
    <row r="121" spans="1:14" ht="12" customHeight="1">
      <c r="A121" s="51"/>
      <c r="B121" s="903"/>
      <c r="C121" s="1075"/>
      <c r="D121" s="1072"/>
      <c r="E121" s="1111"/>
      <c r="F121" s="52"/>
      <c r="G121" s="181"/>
      <c r="H121" s="182"/>
      <c r="I121" s="183"/>
      <c r="J121" s="53"/>
      <c r="K121">
        <f t="shared" si="6"/>
        <v>0</v>
      </c>
      <c r="L121">
        <f t="shared" si="7"/>
        <v>0</v>
      </c>
      <c r="M121">
        <f t="shared" si="8"/>
        <v>0</v>
      </c>
      <c r="N121">
        <f t="shared" si="9"/>
        <v>0</v>
      </c>
    </row>
    <row r="122" spans="1:14" ht="12.95" customHeight="1">
      <c r="A122" s="184"/>
      <c r="B122" s="57" t="s">
        <v>709</v>
      </c>
      <c r="C122" s="58">
        <v>1.5581562858719278</v>
      </c>
      <c r="D122" s="59">
        <f>C122*30</f>
        <v>46.744688576157834</v>
      </c>
      <c r="E122" s="185"/>
      <c r="F122" s="186"/>
      <c r="G122" s="59"/>
      <c r="H122" s="161"/>
      <c r="I122" s="162"/>
      <c r="J122" s="53"/>
      <c r="K122">
        <f t="shared" si="6"/>
        <v>0</v>
      </c>
      <c r="L122">
        <f t="shared" si="7"/>
        <v>0</v>
      </c>
      <c r="M122">
        <f t="shared" si="8"/>
        <v>0</v>
      </c>
      <c r="N122">
        <f t="shared" si="9"/>
        <v>0</v>
      </c>
    </row>
    <row r="123" spans="1:14" ht="12.95" customHeight="1">
      <c r="A123" s="184"/>
      <c r="B123" s="57" t="s">
        <v>710</v>
      </c>
      <c r="C123" s="58">
        <v>1.5162816482044912</v>
      </c>
      <c r="D123" s="59">
        <f>C123*30</f>
        <v>45.488449446134737</v>
      </c>
      <c r="E123" s="185"/>
      <c r="F123" s="186"/>
      <c r="G123" s="59"/>
      <c r="H123" s="151"/>
      <c r="I123" s="152"/>
      <c r="J123" s="53"/>
      <c r="K123">
        <f t="shared" si="6"/>
        <v>0</v>
      </c>
      <c r="L123">
        <f t="shared" si="7"/>
        <v>0</v>
      </c>
      <c r="M123">
        <f t="shared" si="8"/>
        <v>0</v>
      </c>
      <c r="N123">
        <f t="shared" si="9"/>
        <v>0</v>
      </c>
    </row>
    <row r="124" spans="1:14" ht="12.95" customHeight="1">
      <c r="A124" s="56"/>
      <c r="B124" s="57" t="s">
        <v>711</v>
      </c>
      <c r="C124" s="58">
        <v>20.872868217470845</v>
      </c>
      <c r="D124" s="59">
        <f>C124*30</f>
        <v>626.18604652412535</v>
      </c>
      <c r="E124" s="60"/>
      <c r="F124" s="149"/>
      <c r="G124" s="150"/>
      <c r="H124" s="151"/>
      <c r="I124" s="152"/>
      <c r="J124" s="53"/>
      <c r="K124">
        <f t="shared" si="6"/>
        <v>0</v>
      </c>
      <c r="L124">
        <f t="shared" si="7"/>
        <v>0</v>
      </c>
      <c r="M124">
        <f t="shared" si="8"/>
        <v>0</v>
      </c>
      <c r="N124">
        <f t="shared" si="9"/>
        <v>0</v>
      </c>
    </row>
    <row r="125" spans="1:14" ht="12.95" customHeight="1">
      <c r="A125" s="56"/>
      <c r="B125" s="57"/>
      <c r="C125" s="66"/>
      <c r="D125" s="187"/>
      <c r="E125" s="60"/>
      <c r="F125" s="149"/>
      <c r="G125" s="150"/>
      <c r="H125" s="151"/>
      <c r="I125" s="152"/>
      <c r="J125" s="53"/>
      <c r="K125">
        <f t="shared" si="6"/>
        <v>0</v>
      </c>
      <c r="L125">
        <f t="shared" si="7"/>
        <v>0</v>
      </c>
      <c r="M125">
        <f t="shared" si="8"/>
        <v>0</v>
      </c>
      <c r="N125">
        <f t="shared" si="9"/>
        <v>0</v>
      </c>
    </row>
    <row r="126" spans="1:14" ht="12" customHeight="1">
      <c r="A126" s="86"/>
      <c r="B126" s="1060" t="s">
        <v>712</v>
      </c>
      <c r="C126" s="1074"/>
      <c r="D126" s="1071"/>
      <c r="E126" s="958"/>
      <c r="F126" s="188"/>
      <c r="G126" s="189"/>
      <c r="H126" s="190"/>
      <c r="I126" s="191"/>
      <c r="J126" s="53"/>
      <c r="K126">
        <f t="shared" si="6"/>
        <v>0</v>
      </c>
      <c r="L126">
        <f t="shared" si="7"/>
        <v>0</v>
      </c>
      <c r="M126">
        <f t="shared" si="8"/>
        <v>0</v>
      </c>
      <c r="N126">
        <f t="shared" si="9"/>
        <v>0</v>
      </c>
    </row>
    <row r="127" spans="1:14" ht="12" customHeight="1">
      <c r="A127" s="69"/>
      <c r="B127" s="903"/>
      <c r="C127" s="1075"/>
      <c r="D127" s="1072"/>
      <c r="E127" s="958"/>
      <c r="F127" s="188"/>
      <c r="G127" s="189"/>
      <c r="H127" s="190"/>
      <c r="I127" s="191"/>
      <c r="J127" s="53"/>
      <c r="K127">
        <f t="shared" si="6"/>
        <v>0</v>
      </c>
      <c r="L127">
        <f t="shared" si="7"/>
        <v>0</v>
      </c>
      <c r="M127">
        <f t="shared" si="8"/>
        <v>0</v>
      </c>
      <c r="N127">
        <f t="shared" si="9"/>
        <v>0</v>
      </c>
    </row>
    <row r="128" spans="1:14" ht="12.95" customHeight="1">
      <c r="A128" s="70"/>
      <c r="B128" s="57" t="s">
        <v>713</v>
      </c>
      <c r="C128" s="58">
        <v>2.0001558390755907</v>
      </c>
      <c r="D128" s="59">
        <f t="shared" ref="D128:D134" si="10">C128*30</f>
        <v>60.004675172267724</v>
      </c>
      <c r="E128" s="60"/>
      <c r="F128" s="913" t="s">
        <v>714</v>
      </c>
      <c r="G128" s="911"/>
      <c r="H128" s="912"/>
      <c r="J128" s="53"/>
      <c r="K128">
        <f t="shared" si="6"/>
        <v>0</v>
      </c>
      <c r="L128">
        <f t="shared" si="7"/>
        <v>0</v>
      </c>
      <c r="M128">
        <f t="shared" si="8"/>
        <v>0</v>
      </c>
      <c r="N128">
        <f t="shared" si="9"/>
        <v>0</v>
      </c>
    </row>
    <row r="129" spans="1:14" ht="12.95" customHeight="1">
      <c r="A129" s="70"/>
      <c r="B129" s="57" t="s">
        <v>715</v>
      </c>
      <c r="C129" s="58">
        <v>2.1707998213779236</v>
      </c>
      <c r="D129" s="59">
        <f t="shared" si="10"/>
        <v>65.123994641337703</v>
      </c>
      <c r="E129" s="60"/>
      <c r="F129" s="913" t="s">
        <v>714</v>
      </c>
      <c r="G129" s="911"/>
      <c r="H129" s="912"/>
      <c r="J129" s="53"/>
      <c r="K129">
        <f t="shared" si="6"/>
        <v>0</v>
      </c>
      <c r="L129">
        <f t="shared" si="7"/>
        <v>0</v>
      </c>
      <c r="M129">
        <f t="shared" si="8"/>
        <v>0</v>
      </c>
      <c r="N129">
        <f t="shared" si="9"/>
        <v>0</v>
      </c>
    </row>
    <row r="130" spans="1:14" ht="12.95" customHeight="1">
      <c r="A130" s="70"/>
      <c r="B130" s="57" t="s">
        <v>716</v>
      </c>
      <c r="C130" s="58">
        <v>2.265350012592164</v>
      </c>
      <c r="D130" s="59">
        <f t="shared" si="10"/>
        <v>67.960500377764916</v>
      </c>
      <c r="E130" s="60"/>
      <c r="F130" s="913" t="s">
        <v>714</v>
      </c>
      <c r="G130" s="911"/>
      <c r="H130" s="912"/>
      <c r="J130" s="53"/>
      <c r="K130">
        <f t="shared" si="6"/>
        <v>0</v>
      </c>
      <c r="L130">
        <f t="shared" si="7"/>
        <v>0</v>
      </c>
      <c r="M130">
        <f t="shared" si="8"/>
        <v>0</v>
      </c>
      <c r="N130">
        <f t="shared" si="9"/>
        <v>0</v>
      </c>
    </row>
    <row r="131" spans="1:14" ht="12.95" customHeight="1">
      <c r="A131" s="70"/>
      <c r="B131" s="57" t="s">
        <v>717</v>
      </c>
      <c r="C131" s="58">
        <v>3.0165791603366023</v>
      </c>
      <c r="D131" s="59">
        <f t="shared" si="10"/>
        <v>90.497374810098066</v>
      </c>
      <c r="E131" s="60"/>
      <c r="F131" s="913" t="s">
        <v>714</v>
      </c>
      <c r="G131" s="911"/>
      <c r="H131" s="912"/>
      <c r="J131" s="53"/>
      <c r="K131">
        <f t="shared" si="6"/>
        <v>0</v>
      </c>
      <c r="L131">
        <f t="shared" si="7"/>
        <v>0</v>
      </c>
      <c r="M131">
        <f t="shared" si="8"/>
        <v>0</v>
      </c>
      <c r="N131">
        <f t="shared" si="9"/>
        <v>0</v>
      </c>
    </row>
    <row r="132" spans="1:14" ht="12.95" customHeight="1">
      <c r="A132" s="70"/>
      <c r="B132" s="57" t="s">
        <v>718</v>
      </c>
      <c r="C132" s="58">
        <v>4.2107336610257349</v>
      </c>
      <c r="D132" s="59">
        <f t="shared" si="10"/>
        <v>126.32200983077205</v>
      </c>
      <c r="E132" s="60"/>
      <c r="F132" s="913" t="s">
        <v>714</v>
      </c>
      <c r="G132" s="911"/>
      <c r="H132" s="912"/>
      <c r="J132" s="53"/>
      <c r="K132">
        <f t="shared" ref="K132:K195" si="11">IF(M132&gt;0,1,0)</f>
        <v>0</v>
      </c>
      <c r="L132">
        <f t="shared" ref="L132:L195" si="12">IF(couleur(B132)=2,L133,IF(couleur(B133)=2,0,J132+L133))</f>
        <v>0</v>
      </c>
      <c r="M132">
        <f t="shared" ref="M132:M195" si="13">IF(couleur(B132)=2,L132,J132)</f>
        <v>0</v>
      </c>
      <c r="N132">
        <f t="shared" ref="N132:N195" si="14">IF(ISNUMBER(C132),J132*C132,0)</f>
        <v>0</v>
      </c>
    </row>
    <row r="133" spans="1:14" ht="12.95" customHeight="1">
      <c r="A133" s="70"/>
      <c r="B133" s="57" t="s">
        <v>719</v>
      </c>
      <c r="C133" s="58">
        <v>4.2832026063468769</v>
      </c>
      <c r="D133" s="59">
        <f t="shared" si="10"/>
        <v>128.49607819040631</v>
      </c>
      <c r="E133" s="60"/>
      <c r="F133" s="913" t="s">
        <v>714</v>
      </c>
      <c r="G133" s="911"/>
      <c r="H133" s="912"/>
      <c r="J133" s="53"/>
      <c r="K133">
        <f t="shared" si="11"/>
        <v>0</v>
      </c>
      <c r="L133">
        <f t="shared" si="12"/>
        <v>0</v>
      </c>
      <c r="M133">
        <f t="shared" si="13"/>
        <v>0</v>
      </c>
      <c r="N133">
        <f t="shared" si="14"/>
        <v>0</v>
      </c>
    </row>
    <row r="134" spans="1:14" ht="12.95" customHeight="1">
      <c r="A134" s="70"/>
      <c r="B134" s="57" t="s">
        <v>720</v>
      </c>
      <c r="C134" s="58">
        <v>3.8891789126796219</v>
      </c>
      <c r="D134" s="59">
        <f t="shared" si="10"/>
        <v>116.67536738038865</v>
      </c>
      <c r="E134" s="60"/>
      <c r="F134" s="913" t="s">
        <v>714</v>
      </c>
      <c r="G134" s="911"/>
      <c r="H134" s="912"/>
      <c r="J134" s="53"/>
      <c r="K134">
        <f t="shared" si="11"/>
        <v>0</v>
      </c>
      <c r="L134">
        <f t="shared" si="12"/>
        <v>0</v>
      </c>
      <c r="M134">
        <f t="shared" si="13"/>
        <v>0</v>
      </c>
      <c r="N134">
        <f t="shared" si="14"/>
        <v>0</v>
      </c>
    </row>
    <row r="135" spans="1:14" s="197" customFormat="1" ht="12" customHeight="1">
      <c r="A135" s="192"/>
      <c r="B135" s="1132" t="s">
        <v>721</v>
      </c>
      <c r="C135" s="1126"/>
      <c r="D135" s="1128"/>
      <c r="E135" s="997"/>
      <c r="F135" s="193"/>
      <c r="G135" s="194"/>
      <c r="H135" s="195"/>
      <c r="I135" s="196"/>
      <c r="J135" s="53"/>
      <c r="K135">
        <f t="shared" si="11"/>
        <v>0</v>
      </c>
      <c r="L135">
        <f t="shared" si="12"/>
        <v>0</v>
      </c>
      <c r="M135">
        <f t="shared" si="13"/>
        <v>0</v>
      </c>
      <c r="N135">
        <f t="shared" si="14"/>
        <v>0</v>
      </c>
    </row>
    <row r="136" spans="1:14" s="197" customFormat="1" ht="12" customHeight="1">
      <c r="A136" s="198"/>
      <c r="B136" s="869"/>
      <c r="C136" s="1127"/>
      <c r="D136" s="1129"/>
      <c r="E136" s="997"/>
      <c r="F136" s="193"/>
      <c r="G136" s="194"/>
      <c r="H136" s="195"/>
      <c r="I136" s="196"/>
      <c r="J136" s="53"/>
      <c r="K136">
        <f t="shared" si="11"/>
        <v>0</v>
      </c>
      <c r="L136">
        <f t="shared" si="12"/>
        <v>0</v>
      </c>
      <c r="M136">
        <f t="shared" si="13"/>
        <v>0</v>
      </c>
      <c r="N136">
        <f t="shared" si="14"/>
        <v>0</v>
      </c>
    </row>
    <row r="137" spans="1:14" ht="12.95" customHeight="1">
      <c r="A137" s="65"/>
      <c r="B137" s="57" t="s">
        <v>722</v>
      </c>
      <c r="C137" s="58">
        <v>4.8062146489047288</v>
      </c>
      <c r="D137" s="59">
        <f>C137*30</f>
        <v>144.18643946714187</v>
      </c>
      <c r="E137" s="200"/>
      <c r="F137" s="149"/>
      <c r="G137" s="150"/>
      <c r="H137" s="151"/>
      <c r="I137" s="152"/>
      <c r="J137" s="53"/>
      <c r="K137">
        <f t="shared" si="11"/>
        <v>0</v>
      </c>
      <c r="L137">
        <f t="shared" si="12"/>
        <v>0</v>
      </c>
      <c r="M137">
        <f t="shared" si="13"/>
        <v>0</v>
      </c>
      <c r="N137">
        <f t="shared" si="14"/>
        <v>0</v>
      </c>
    </row>
    <row r="138" spans="1:14" ht="12.95" customHeight="1">
      <c r="A138" s="65"/>
      <c r="B138" s="57" t="s">
        <v>723</v>
      </c>
      <c r="C138" s="58">
        <v>4.3558081133485995</v>
      </c>
      <c r="D138" s="59">
        <f>C138*30</f>
        <v>130.67424340045798</v>
      </c>
      <c r="E138" s="60"/>
      <c r="F138" s="149"/>
      <c r="G138" s="150"/>
      <c r="H138" s="151"/>
      <c r="I138" s="152"/>
      <c r="J138" s="53"/>
      <c r="K138">
        <f t="shared" si="11"/>
        <v>0</v>
      </c>
      <c r="L138">
        <f t="shared" si="12"/>
        <v>0</v>
      </c>
      <c r="M138">
        <f t="shared" si="13"/>
        <v>0</v>
      </c>
      <c r="N138">
        <f t="shared" si="14"/>
        <v>0</v>
      </c>
    </row>
    <row r="139" spans="1:14" ht="12.95" customHeight="1">
      <c r="A139" s="70"/>
      <c r="B139" s="57" t="s">
        <v>724</v>
      </c>
      <c r="C139" s="58">
        <v>4.4216022479977912</v>
      </c>
      <c r="D139" s="59">
        <f>C139*30</f>
        <v>132.64806743993373</v>
      </c>
      <c r="E139" s="60"/>
      <c r="F139" s="149"/>
      <c r="G139" s="150"/>
      <c r="H139" s="151"/>
      <c r="I139" s="152"/>
      <c r="J139" s="53"/>
      <c r="K139">
        <f t="shared" si="11"/>
        <v>0</v>
      </c>
      <c r="L139">
        <f t="shared" si="12"/>
        <v>0</v>
      </c>
      <c r="M139">
        <f t="shared" si="13"/>
        <v>0</v>
      </c>
      <c r="N139">
        <f t="shared" si="14"/>
        <v>0</v>
      </c>
    </row>
    <row r="140" spans="1:14" ht="12.95" customHeight="1">
      <c r="A140" s="70"/>
      <c r="B140" s="57" t="s">
        <v>543</v>
      </c>
      <c r="C140" s="58">
        <v>2.5986065524720647</v>
      </c>
      <c r="D140" s="59">
        <f>C140*30</f>
        <v>77.958196574161946</v>
      </c>
      <c r="E140" s="60"/>
      <c r="F140" s="149"/>
      <c r="G140" s="150"/>
      <c r="H140" s="151"/>
      <c r="I140" s="152"/>
      <c r="J140" s="53"/>
      <c r="K140">
        <f t="shared" si="11"/>
        <v>0</v>
      </c>
      <c r="L140">
        <f t="shared" si="12"/>
        <v>0</v>
      </c>
      <c r="M140">
        <f t="shared" si="13"/>
        <v>0</v>
      </c>
      <c r="N140">
        <f t="shared" si="14"/>
        <v>0</v>
      </c>
    </row>
    <row r="141" spans="1:14" ht="12.95" customHeight="1">
      <c r="A141" s="70"/>
      <c r="B141" s="57"/>
      <c r="C141" s="66"/>
      <c r="D141" s="187"/>
      <c r="E141" s="60"/>
      <c r="F141" s="149"/>
      <c r="G141" s="150"/>
      <c r="H141" s="151"/>
      <c r="I141" s="152"/>
      <c r="J141" s="53"/>
      <c r="K141">
        <f t="shared" si="11"/>
        <v>0</v>
      </c>
      <c r="L141">
        <f t="shared" si="12"/>
        <v>0</v>
      </c>
      <c r="M141">
        <f t="shared" si="13"/>
        <v>0</v>
      </c>
      <c r="N141">
        <f t="shared" si="14"/>
        <v>0</v>
      </c>
    </row>
    <row r="142" spans="1:14" ht="12" customHeight="1">
      <c r="A142" s="67"/>
      <c r="B142" s="1060" t="s">
        <v>725</v>
      </c>
      <c r="C142" s="1074"/>
      <c r="D142" s="1071"/>
      <c r="E142" s="958"/>
      <c r="F142" s="188"/>
      <c r="G142" s="189"/>
      <c r="H142" s="201"/>
      <c r="I142" s="202"/>
      <c r="J142" s="53"/>
      <c r="K142">
        <f t="shared" si="11"/>
        <v>0</v>
      </c>
      <c r="L142">
        <f t="shared" si="12"/>
        <v>0</v>
      </c>
      <c r="M142">
        <f t="shared" si="13"/>
        <v>0</v>
      </c>
      <c r="N142">
        <f t="shared" si="14"/>
        <v>0</v>
      </c>
    </row>
    <row r="143" spans="1:14" ht="12" customHeight="1">
      <c r="A143" s="69"/>
      <c r="B143" s="903"/>
      <c r="C143" s="1075"/>
      <c r="D143" s="1072"/>
      <c r="E143" s="958"/>
      <c r="F143" s="188"/>
      <c r="G143" s="189"/>
      <c r="H143" s="201"/>
      <c r="I143" s="202"/>
      <c r="J143" s="53"/>
      <c r="K143">
        <f t="shared" si="11"/>
        <v>0</v>
      </c>
      <c r="L143">
        <f t="shared" si="12"/>
        <v>0</v>
      </c>
      <c r="M143">
        <f t="shared" si="13"/>
        <v>0</v>
      </c>
      <c r="N143">
        <f t="shared" si="14"/>
        <v>0</v>
      </c>
    </row>
    <row r="144" spans="1:14" ht="12.95" customHeight="1">
      <c r="A144" s="65"/>
      <c r="B144" s="57" t="s">
        <v>726</v>
      </c>
      <c r="C144" s="58">
        <v>125.17104193073409</v>
      </c>
      <c r="D144" s="59">
        <f>C144*30</f>
        <v>3755.1312579220225</v>
      </c>
      <c r="E144" s="60"/>
      <c r="F144" s="149"/>
      <c r="G144" s="150"/>
      <c r="H144" s="151"/>
      <c r="I144" s="152"/>
      <c r="J144" s="53"/>
      <c r="K144">
        <f t="shared" si="11"/>
        <v>0</v>
      </c>
      <c r="L144">
        <f t="shared" si="12"/>
        <v>0</v>
      </c>
      <c r="M144">
        <f t="shared" si="13"/>
        <v>0</v>
      </c>
      <c r="N144">
        <f t="shared" si="14"/>
        <v>0</v>
      </c>
    </row>
    <row r="145" spans="1:14" ht="12.95" customHeight="1">
      <c r="A145" s="65"/>
      <c r="B145" s="57" t="s">
        <v>727</v>
      </c>
      <c r="C145" s="58">
        <v>106.48757338681939</v>
      </c>
      <c r="D145" s="59">
        <f>C145*30</f>
        <v>3194.6272016045818</v>
      </c>
      <c r="E145" s="60"/>
      <c r="F145" s="149"/>
      <c r="G145" s="150"/>
      <c r="H145" s="151"/>
      <c r="I145" s="152"/>
      <c r="J145" s="53"/>
      <c r="K145">
        <f t="shared" si="11"/>
        <v>0</v>
      </c>
      <c r="L145">
        <f t="shared" si="12"/>
        <v>0</v>
      </c>
      <c r="M145">
        <f t="shared" si="13"/>
        <v>0</v>
      </c>
      <c r="N145">
        <f t="shared" si="14"/>
        <v>0</v>
      </c>
    </row>
    <row r="146" spans="1:14" ht="12.95" customHeight="1">
      <c r="A146" s="70"/>
      <c r="B146" s="57" t="s">
        <v>728</v>
      </c>
      <c r="C146" s="944" t="s">
        <v>655</v>
      </c>
      <c r="D146" s="990"/>
      <c r="E146" s="60"/>
      <c r="F146" s="149"/>
      <c r="G146" s="150"/>
      <c r="H146" s="151"/>
      <c r="I146" s="152"/>
      <c r="J146" s="53"/>
      <c r="K146">
        <f t="shared" si="11"/>
        <v>0</v>
      </c>
      <c r="L146">
        <f t="shared" si="12"/>
        <v>0</v>
      </c>
      <c r="M146">
        <f t="shared" si="13"/>
        <v>0</v>
      </c>
      <c r="N146">
        <f t="shared" si="14"/>
        <v>0</v>
      </c>
    </row>
    <row r="147" spans="1:14" ht="12.95" customHeight="1">
      <c r="A147" s="65"/>
      <c r="B147" s="57" t="s">
        <v>729</v>
      </c>
      <c r="C147" s="58">
        <v>12.819990509203565</v>
      </c>
      <c r="D147" s="59">
        <f>C147*30</f>
        <v>384.59971527610696</v>
      </c>
      <c r="E147" s="60"/>
      <c r="F147" s="149"/>
      <c r="G147" s="150"/>
      <c r="H147" s="151"/>
      <c r="I147" s="152"/>
      <c r="J147" s="53"/>
      <c r="K147">
        <f t="shared" si="11"/>
        <v>0</v>
      </c>
      <c r="L147">
        <f t="shared" si="12"/>
        <v>0</v>
      </c>
      <c r="M147">
        <f t="shared" si="13"/>
        <v>0</v>
      </c>
      <c r="N147">
        <f t="shared" si="14"/>
        <v>0</v>
      </c>
    </row>
    <row r="148" spans="1:14" ht="12.95" customHeight="1">
      <c r="A148" s="65"/>
      <c r="B148" s="57" t="s">
        <v>730</v>
      </c>
      <c r="C148" s="58">
        <v>5.8144137673757648</v>
      </c>
      <c r="D148" s="59">
        <f>C148*30</f>
        <v>174.43241302127294</v>
      </c>
      <c r="E148" s="60"/>
      <c r="F148" s="149"/>
      <c r="G148" s="150"/>
      <c r="H148" s="151"/>
      <c r="I148" s="152"/>
      <c r="J148" s="53"/>
      <c r="K148">
        <f t="shared" si="11"/>
        <v>0</v>
      </c>
      <c r="L148">
        <f t="shared" si="12"/>
        <v>0</v>
      </c>
      <c r="M148">
        <f t="shared" si="13"/>
        <v>0</v>
      </c>
      <c r="N148">
        <f t="shared" si="14"/>
        <v>0</v>
      </c>
    </row>
    <row r="149" spans="1:14" ht="12.95" customHeight="1">
      <c r="A149" s="65"/>
      <c r="B149" s="57" t="s">
        <v>731</v>
      </c>
      <c r="C149" s="58">
        <v>5.5689363973857393</v>
      </c>
      <c r="D149" s="59">
        <f>C149*30</f>
        <v>167.06809192157218</v>
      </c>
      <c r="E149" s="60"/>
      <c r="F149" s="149"/>
      <c r="G149" s="150"/>
      <c r="H149" s="151"/>
      <c r="I149" s="152"/>
      <c r="J149" s="53"/>
      <c r="K149">
        <f t="shared" si="11"/>
        <v>0</v>
      </c>
      <c r="L149">
        <f t="shared" si="12"/>
        <v>0</v>
      </c>
      <c r="M149">
        <f t="shared" si="13"/>
        <v>0</v>
      </c>
      <c r="N149">
        <f t="shared" si="14"/>
        <v>0</v>
      </c>
    </row>
    <row r="150" spans="1:14" ht="12.95" customHeight="1">
      <c r="A150" s="70"/>
      <c r="B150" s="79"/>
      <c r="C150" s="203"/>
      <c r="D150" s="204"/>
      <c r="E150" s="60"/>
      <c r="F150" s="149"/>
      <c r="G150" s="150"/>
      <c r="H150" s="151"/>
      <c r="I150" s="152"/>
      <c r="J150" s="53"/>
      <c r="K150">
        <f t="shared" si="11"/>
        <v>0</v>
      </c>
      <c r="L150">
        <f t="shared" si="12"/>
        <v>0</v>
      </c>
      <c r="M150">
        <f t="shared" si="13"/>
        <v>0</v>
      </c>
      <c r="N150">
        <f t="shared" si="14"/>
        <v>0</v>
      </c>
    </row>
    <row r="151" spans="1:14" ht="12" customHeight="1">
      <c r="A151" s="67"/>
      <c r="B151" s="1060" t="s">
        <v>732</v>
      </c>
      <c r="C151" s="1124"/>
      <c r="D151" s="1109"/>
      <c r="E151" s="958"/>
      <c r="F151" s="188"/>
      <c r="G151" s="189"/>
      <c r="H151" s="190"/>
      <c r="I151" s="191"/>
      <c r="J151" s="53"/>
      <c r="K151">
        <f t="shared" si="11"/>
        <v>0</v>
      </c>
      <c r="L151">
        <f t="shared" si="12"/>
        <v>0</v>
      </c>
      <c r="M151">
        <f t="shared" si="13"/>
        <v>0</v>
      </c>
      <c r="N151">
        <f t="shared" si="14"/>
        <v>0</v>
      </c>
    </row>
    <row r="152" spans="1:14" ht="12" customHeight="1">
      <c r="A152" s="205"/>
      <c r="B152" s="903"/>
      <c r="C152" s="1125"/>
      <c r="D152" s="1121"/>
      <c r="E152" s="958"/>
      <c r="F152" s="188"/>
      <c r="G152" s="189"/>
      <c r="H152" s="190"/>
      <c r="I152" s="191"/>
      <c r="J152" s="53"/>
      <c r="K152">
        <f t="shared" si="11"/>
        <v>0</v>
      </c>
      <c r="L152">
        <f t="shared" si="12"/>
        <v>0</v>
      </c>
      <c r="M152">
        <f t="shared" si="13"/>
        <v>0</v>
      </c>
      <c r="N152">
        <f t="shared" si="14"/>
        <v>0</v>
      </c>
    </row>
    <row r="153" spans="1:14" ht="12.95" customHeight="1">
      <c r="A153" s="65"/>
      <c r="B153" s="57" t="s">
        <v>733</v>
      </c>
      <c r="C153" s="58">
        <v>135.50868129452934</v>
      </c>
      <c r="D153" s="59">
        <f>C153*30</f>
        <v>4065.26043883588</v>
      </c>
      <c r="E153" s="60"/>
      <c r="F153" s="149"/>
      <c r="G153" s="150"/>
      <c r="H153" s="165"/>
      <c r="I153" s="166"/>
      <c r="J153" s="53"/>
      <c r="K153">
        <f t="shared" si="11"/>
        <v>0</v>
      </c>
      <c r="L153">
        <f t="shared" si="12"/>
        <v>0</v>
      </c>
      <c r="M153">
        <f t="shared" si="13"/>
        <v>0</v>
      </c>
      <c r="N153">
        <f t="shared" si="14"/>
        <v>0</v>
      </c>
    </row>
    <row r="154" spans="1:14" ht="12.95" customHeight="1">
      <c r="A154" s="65"/>
      <c r="B154" s="57" t="s">
        <v>734</v>
      </c>
      <c r="C154" s="58">
        <v>38.121556198926442</v>
      </c>
      <c r="D154" s="59">
        <f>C154*30</f>
        <v>1143.6466859677932</v>
      </c>
      <c r="E154" s="60"/>
      <c r="F154" s="149"/>
      <c r="G154" s="150"/>
      <c r="H154" s="165"/>
      <c r="I154" s="166"/>
      <c r="J154" s="53"/>
      <c r="K154">
        <f t="shared" si="11"/>
        <v>0</v>
      </c>
      <c r="L154">
        <f t="shared" si="12"/>
        <v>0</v>
      </c>
      <c r="M154">
        <f t="shared" si="13"/>
        <v>0</v>
      </c>
      <c r="N154">
        <f t="shared" si="14"/>
        <v>0</v>
      </c>
    </row>
    <row r="155" spans="1:14" ht="12.95" customHeight="1">
      <c r="A155" s="65"/>
      <c r="B155" s="57"/>
      <c r="C155" s="106"/>
      <c r="D155" s="206"/>
      <c r="E155" s="60"/>
      <c r="F155" s="149"/>
      <c r="G155" s="150"/>
      <c r="H155" s="165"/>
      <c r="I155" s="166"/>
      <c r="J155" s="53"/>
      <c r="K155">
        <f t="shared" si="11"/>
        <v>0</v>
      </c>
      <c r="L155">
        <f t="shared" si="12"/>
        <v>0</v>
      </c>
      <c r="M155">
        <f t="shared" si="13"/>
        <v>0</v>
      </c>
      <c r="N155">
        <f t="shared" si="14"/>
        <v>0</v>
      </c>
    </row>
    <row r="156" spans="1:14" ht="12" customHeight="1">
      <c r="A156" s="90"/>
      <c r="B156" s="1060" t="s">
        <v>735</v>
      </c>
      <c r="C156" s="1124"/>
      <c r="D156" s="1109"/>
      <c r="E156" s="958"/>
      <c r="F156" s="156"/>
      <c r="G156" s="207"/>
      <c r="H156" s="208"/>
      <c r="I156" s="209"/>
      <c r="J156" s="53"/>
      <c r="K156">
        <f t="shared" si="11"/>
        <v>0</v>
      </c>
      <c r="L156">
        <f t="shared" si="12"/>
        <v>0</v>
      </c>
      <c r="M156">
        <f t="shared" si="13"/>
        <v>0</v>
      </c>
      <c r="N156">
        <f t="shared" si="14"/>
        <v>0</v>
      </c>
    </row>
    <row r="157" spans="1:14" ht="12" customHeight="1">
      <c r="A157" s="87"/>
      <c r="B157" s="903"/>
      <c r="C157" s="1124"/>
      <c r="D157" s="1109"/>
      <c r="E157" s="958"/>
      <c r="F157" s="156"/>
      <c r="G157" s="207"/>
      <c r="H157" s="208"/>
      <c r="I157" s="209"/>
      <c r="J157" s="53"/>
      <c r="K157">
        <f t="shared" si="11"/>
        <v>0</v>
      </c>
      <c r="L157">
        <f t="shared" si="12"/>
        <v>0</v>
      </c>
      <c r="M157">
        <f t="shared" si="13"/>
        <v>0</v>
      </c>
      <c r="N157">
        <f t="shared" si="14"/>
        <v>0</v>
      </c>
    </row>
    <row r="158" spans="1:14" ht="12.95" customHeight="1">
      <c r="A158" s="62"/>
      <c r="B158" s="57" t="s">
        <v>736</v>
      </c>
      <c r="C158" s="58">
        <v>69.47705685668997</v>
      </c>
      <c r="D158" s="59">
        <f>C158*30</f>
        <v>2084.3117057006989</v>
      </c>
      <c r="E158" s="60"/>
      <c r="F158" s="149"/>
      <c r="G158" s="150"/>
      <c r="H158" s="165"/>
      <c r="I158" s="166"/>
      <c r="J158" s="53"/>
      <c r="K158">
        <f t="shared" si="11"/>
        <v>0</v>
      </c>
      <c r="L158">
        <f t="shared" si="12"/>
        <v>0</v>
      </c>
      <c r="M158">
        <f t="shared" si="13"/>
        <v>0</v>
      </c>
      <c r="N158">
        <f t="shared" si="14"/>
        <v>0</v>
      </c>
    </row>
    <row r="159" spans="1:14" ht="12.95" customHeight="1">
      <c r="A159" s="62"/>
      <c r="B159" s="57" t="s">
        <v>737</v>
      </c>
      <c r="C159" s="58">
        <v>13.365070341036219</v>
      </c>
      <c r="D159" s="59">
        <f>C159*30</f>
        <v>400.95211023108658</v>
      </c>
      <c r="E159" s="60"/>
      <c r="F159" s="149"/>
      <c r="G159" s="150"/>
      <c r="H159" s="165"/>
      <c r="I159" s="166"/>
      <c r="J159" s="53"/>
      <c r="K159">
        <f t="shared" si="11"/>
        <v>0</v>
      </c>
      <c r="L159">
        <f t="shared" si="12"/>
        <v>0</v>
      </c>
      <c r="M159">
        <f t="shared" si="13"/>
        <v>0</v>
      </c>
      <c r="N159">
        <f t="shared" si="14"/>
        <v>0</v>
      </c>
    </row>
    <row r="160" spans="1:14" ht="12" customHeight="1">
      <c r="A160" s="90"/>
      <c r="B160" s="1060" t="s">
        <v>738</v>
      </c>
      <c r="C160" s="1124"/>
      <c r="D160" s="1109"/>
      <c r="E160" s="958"/>
      <c r="F160" s="188"/>
      <c r="G160" s="189"/>
      <c r="H160" s="190"/>
      <c r="I160" s="191"/>
      <c r="J160" s="53"/>
      <c r="K160">
        <f t="shared" si="11"/>
        <v>0</v>
      </c>
      <c r="L160">
        <f t="shared" si="12"/>
        <v>0</v>
      </c>
      <c r="M160">
        <f t="shared" si="13"/>
        <v>0</v>
      </c>
      <c r="N160">
        <f t="shared" si="14"/>
        <v>0</v>
      </c>
    </row>
    <row r="161" spans="1:14" ht="12" customHeight="1">
      <c r="A161" s="87"/>
      <c r="B161" s="903"/>
      <c r="C161" s="1124"/>
      <c r="D161" s="1109"/>
      <c r="E161" s="958"/>
      <c r="F161" s="188"/>
      <c r="G161" s="189"/>
      <c r="H161" s="210"/>
      <c r="I161" s="211"/>
      <c r="J161" s="53"/>
      <c r="K161">
        <f t="shared" si="11"/>
        <v>0</v>
      </c>
      <c r="L161">
        <f t="shared" si="12"/>
        <v>0</v>
      </c>
      <c r="M161">
        <f t="shared" si="13"/>
        <v>0</v>
      </c>
      <c r="N161">
        <f t="shared" si="14"/>
        <v>0</v>
      </c>
    </row>
    <row r="162" spans="1:14" ht="12" customHeight="1">
      <c r="A162" s="110"/>
      <c r="B162" s="57" t="s">
        <v>739</v>
      </c>
      <c r="C162" s="58">
        <v>2.8841108178764299</v>
      </c>
      <c r="D162" s="59">
        <f t="shared" ref="D162:D168" si="15">C162*30</f>
        <v>86.52332453629289</v>
      </c>
      <c r="E162" s="60"/>
      <c r="F162" s="149"/>
      <c r="G162" s="150"/>
      <c r="H162" s="165"/>
      <c r="I162" s="166"/>
      <c r="J162" s="53"/>
      <c r="K162">
        <f t="shared" si="11"/>
        <v>0</v>
      </c>
      <c r="L162">
        <f t="shared" si="12"/>
        <v>0</v>
      </c>
      <c r="M162">
        <f t="shared" si="13"/>
        <v>0</v>
      </c>
      <c r="N162">
        <f t="shared" si="14"/>
        <v>0</v>
      </c>
    </row>
    <row r="163" spans="1:14" ht="12.95" customHeight="1">
      <c r="A163" s="62"/>
      <c r="B163" s="57" t="s">
        <v>740</v>
      </c>
      <c r="C163" s="58">
        <v>3.3849543826844144</v>
      </c>
      <c r="D163" s="59">
        <f t="shared" si="15"/>
        <v>101.54863148053244</v>
      </c>
      <c r="E163" s="60"/>
      <c r="F163" s="149"/>
      <c r="G163" s="150"/>
      <c r="H163" s="165"/>
      <c r="I163" s="166"/>
      <c r="J163" s="53"/>
      <c r="K163">
        <f t="shared" si="11"/>
        <v>0</v>
      </c>
      <c r="L163">
        <f t="shared" si="12"/>
        <v>0</v>
      </c>
      <c r="M163">
        <f t="shared" si="13"/>
        <v>0</v>
      </c>
      <c r="N163">
        <f t="shared" si="14"/>
        <v>0</v>
      </c>
    </row>
    <row r="164" spans="1:14" ht="12.95" customHeight="1">
      <c r="A164" s="62"/>
      <c r="B164" s="57" t="s">
        <v>741</v>
      </c>
      <c r="C164" s="58">
        <v>3.9020058704876055</v>
      </c>
      <c r="D164" s="59">
        <f t="shared" si="15"/>
        <v>117.06017611462816</v>
      </c>
      <c r="E164" s="60"/>
      <c r="F164" s="149"/>
      <c r="G164" s="150"/>
      <c r="H164" s="165"/>
      <c r="I164" s="166"/>
      <c r="J164" s="53"/>
      <c r="K164">
        <f t="shared" si="11"/>
        <v>0</v>
      </c>
      <c r="L164">
        <f t="shared" si="12"/>
        <v>0</v>
      </c>
      <c r="M164">
        <f t="shared" si="13"/>
        <v>0</v>
      </c>
      <c r="N164">
        <f t="shared" si="14"/>
        <v>0</v>
      </c>
    </row>
    <row r="165" spans="1:14" ht="12.95" customHeight="1">
      <c r="A165" s="62"/>
      <c r="B165" s="57" t="s">
        <v>742</v>
      </c>
      <c r="C165" s="58">
        <v>3.816036038772209</v>
      </c>
      <c r="D165" s="59">
        <f t="shared" si="15"/>
        <v>114.48108116316627</v>
      </c>
      <c r="E165" s="60"/>
      <c r="F165" s="913" t="s">
        <v>743</v>
      </c>
      <c r="G165" s="914"/>
      <c r="H165" s="915"/>
      <c r="J165" s="53"/>
      <c r="K165">
        <f t="shared" si="11"/>
        <v>0</v>
      </c>
      <c r="L165">
        <f t="shared" si="12"/>
        <v>0</v>
      </c>
      <c r="M165">
        <f t="shared" si="13"/>
        <v>0</v>
      </c>
      <c r="N165">
        <f t="shared" si="14"/>
        <v>0</v>
      </c>
    </row>
    <row r="166" spans="1:14" ht="12.95" customHeight="1">
      <c r="A166" s="62"/>
      <c r="B166" s="57" t="s">
        <v>744</v>
      </c>
      <c r="C166" s="58">
        <v>5.1977280565759543</v>
      </c>
      <c r="D166" s="59">
        <f t="shared" si="15"/>
        <v>155.93184169727863</v>
      </c>
      <c r="E166" s="60"/>
      <c r="F166" s="913" t="s">
        <v>743</v>
      </c>
      <c r="G166" s="914"/>
      <c r="H166" s="915"/>
      <c r="J166" s="53"/>
      <c r="K166">
        <f t="shared" si="11"/>
        <v>0</v>
      </c>
      <c r="L166">
        <f t="shared" si="12"/>
        <v>0</v>
      </c>
      <c r="M166">
        <f t="shared" si="13"/>
        <v>0</v>
      </c>
      <c r="N166">
        <f t="shared" si="14"/>
        <v>0</v>
      </c>
    </row>
    <row r="167" spans="1:14" ht="12.95" customHeight="1">
      <c r="A167" s="62"/>
      <c r="B167" s="57" t="s">
        <v>745</v>
      </c>
      <c r="C167" s="58">
        <v>3.0591423794655124</v>
      </c>
      <c r="D167" s="59">
        <f t="shared" si="15"/>
        <v>91.77427138396537</v>
      </c>
      <c r="E167" s="60"/>
      <c r="F167" s="913" t="s">
        <v>743</v>
      </c>
      <c r="G167" s="914"/>
      <c r="H167" s="915"/>
      <c r="J167" s="53"/>
      <c r="K167">
        <f t="shared" si="11"/>
        <v>0</v>
      </c>
      <c r="L167">
        <f t="shared" si="12"/>
        <v>0</v>
      </c>
      <c r="M167">
        <f t="shared" si="13"/>
        <v>0</v>
      </c>
      <c r="N167">
        <f t="shared" si="14"/>
        <v>0</v>
      </c>
    </row>
    <row r="168" spans="1:14" ht="12.95" customHeight="1">
      <c r="A168" s="62"/>
      <c r="B168" s="57" t="s">
        <v>746</v>
      </c>
      <c r="C168" s="58">
        <v>5.2735082179972164</v>
      </c>
      <c r="D168" s="59">
        <f t="shared" si="15"/>
        <v>158.20524653991649</v>
      </c>
      <c r="E168" s="60"/>
      <c r="F168" s="913" t="s">
        <v>743</v>
      </c>
      <c r="G168" s="914"/>
      <c r="H168" s="915"/>
      <c r="J168" s="53"/>
      <c r="K168">
        <f t="shared" si="11"/>
        <v>0</v>
      </c>
      <c r="L168">
        <f t="shared" si="12"/>
        <v>0</v>
      </c>
      <c r="M168">
        <f t="shared" si="13"/>
        <v>0</v>
      </c>
      <c r="N168">
        <f t="shared" si="14"/>
        <v>0</v>
      </c>
    </row>
    <row r="169" spans="1:14" ht="12.95" customHeight="1">
      <c r="A169" s="62"/>
      <c r="B169" s="57"/>
      <c r="C169" s="58"/>
      <c r="D169" s="59"/>
      <c r="E169" s="60"/>
      <c r="F169" s="149"/>
      <c r="G169" s="150"/>
      <c r="H169" s="165"/>
      <c r="I169" s="166"/>
      <c r="J169" s="53"/>
      <c r="K169">
        <f t="shared" si="11"/>
        <v>0</v>
      </c>
      <c r="L169">
        <f t="shared" si="12"/>
        <v>0</v>
      </c>
      <c r="M169">
        <f t="shared" si="13"/>
        <v>0</v>
      </c>
      <c r="N169">
        <f t="shared" si="14"/>
        <v>0</v>
      </c>
    </row>
    <row r="170" spans="1:14" ht="12" customHeight="1">
      <c r="A170" s="90"/>
      <c r="B170" s="1044" t="s">
        <v>747</v>
      </c>
      <c r="C170" s="214"/>
      <c r="D170" s="92"/>
      <c r="E170" s="93"/>
      <c r="F170" s="215"/>
      <c r="G170" s="216"/>
      <c r="H170" s="217"/>
      <c r="I170" s="218"/>
      <c r="J170" s="53"/>
      <c r="K170">
        <f t="shared" si="11"/>
        <v>0</v>
      </c>
      <c r="L170">
        <f t="shared" si="12"/>
        <v>0</v>
      </c>
      <c r="M170">
        <f t="shared" si="13"/>
        <v>0</v>
      </c>
      <c r="N170">
        <f t="shared" si="14"/>
        <v>0</v>
      </c>
    </row>
    <row r="171" spans="1:14" ht="12" customHeight="1">
      <c r="A171" s="87"/>
      <c r="B171" s="1020"/>
      <c r="C171" s="219"/>
      <c r="D171" s="99"/>
      <c r="E171" s="100"/>
      <c r="F171" s="220"/>
      <c r="G171" s="221"/>
      <c r="H171" s="222"/>
      <c r="I171" s="223"/>
      <c r="J171" s="53"/>
      <c r="K171">
        <f t="shared" si="11"/>
        <v>0</v>
      </c>
      <c r="L171">
        <f t="shared" si="12"/>
        <v>0</v>
      </c>
      <c r="M171">
        <f t="shared" si="13"/>
        <v>0</v>
      </c>
      <c r="N171">
        <f t="shared" si="14"/>
        <v>0</v>
      </c>
    </row>
    <row r="172" spans="1:14" ht="12" customHeight="1">
      <c r="A172" s="62"/>
      <c r="B172" s="224"/>
      <c r="C172" s="944" t="s">
        <v>655</v>
      </c>
      <c r="D172" s="953"/>
      <c r="E172" s="60"/>
      <c r="F172" s="149"/>
      <c r="G172" s="150"/>
      <c r="H172" s="151"/>
      <c r="I172" s="152"/>
      <c r="J172" s="53"/>
      <c r="K172">
        <f t="shared" si="11"/>
        <v>0</v>
      </c>
      <c r="L172">
        <f t="shared" si="12"/>
        <v>0</v>
      </c>
      <c r="M172">
        <f t="shared" si="13"/>
        <v>0</v>
      </c>
      <c r="N172">
        <f t="shared" si="14"/>
        <v>0</v>
      </c>
    </row>
    <row r="173" spans="1:14" ht="12" customHeight="1">
      <c r="A173" s="62"/>
      <c r="B173" s="224"/>
      <c r="C173" s="66"/>
      <c r="D173" s="59"/>
      <c r="E173" s="60"/>
      <c r="F173" s="149"/>
      <c r="G173" s="150"/>
      <c r="H173" s="151"/>
      <c r="I173" s="152"/>
      <c r="J173" s="53"/>
      <c r="K173">
        <f t="shared" si="11"/>
        <v>0</v>
      </c>
      <c r="L173">
        <f t="shared" si="12"/>
        <v>0</v>
      </c>
      <c r="M173">
        <f t="shared" si="13"/>
        <v>0</v>
      </c>
      <c r="N173">
        <f t="shared" si="14"/>
        <v>0</v>
      </c>
    </row>
    <row r="174" spans="1:14" ht="12.95" customHeight="1" thickBot="1">
      <c r="A174" s="225"/>
      <c r="B174" s="226"/>
      <c r="C174" s="227"/>
      <c r="D174" s="228"/>
      <c r="E174" s="229"/>
      <c r="F174" s="230"/>
      <c r="G174" s="228"/>
      <c r="H174" s="231"/>
      <c r="I174" s="232"/>
      <c r="J174" s="53"/>
      <c r="K174">
        <f t="shared" si="11"/>
        <v>0</v>
      </c>
      <c r="L174">
        <f t="shared" si="12"/>
        <v>0</v>
      </c>
      <c r="M174">
        <f t="shared" si="13"/>
        <v>0</v>
      </c>
      <c r="N174">
        <f t="shared" si="14"/>
        <v>0</v>
      </c>
    </row>
    <row r="175" spans="1:14" ht="12" customHeight="1" thickTop="1">
      <c r="A175" s="888"/>
      <c r="B175" s="941" t="s">
        <v>635</v>
      </c>
      <c r="C175" s="942" t="s">
        <v>636</v>
      </c>
      <c r="D175" s="907"/>
      <c r="E175" s="943"/>
      <c r="F175" s="906" t="s">
        <v>637</v>
      </c>
      <c r="G175" s="907"/>
      <c r="H175" s="908"/>
      <c r="J175" s="53"/>
      <c r="K175">
        <f t="shared" si="11"/>
        <v>0</v>
      </c>
      <c r="L175">
        <f t="shared" si="12"/>
        <v>0</v>
      </c>
      <c r="M175">
        <f t="shared" si="13"/>
        <v>0</v>
      </c>
      <c r="N175">
        <f t="shared" si="14"/>
        <v>0</v>
      </c>
    </row>
    <row r="176" spans="1:14" ht="12" customHeight="1" thickBot="1">
      <c r="A176" s="889"/>
      <c r="B176" s="903"/>
      <c r="C176" s="900"/>
      <c r="D176" s="901"/>
      <c r="E176" s="902"/>
      <c r="F176" s="1027"/>
      <c r="G176" s="1027"/>
      <c r="H176" s="877"/>
      <c r="J176" s="53"/>
      <c r="K176">
        <f t="shared" si="11"/>
        <v>0</v>
      </c>
      <c r="L176">
        <f t="shared" si="12"/>
        <v>0</v>
      </c>
      <c r="M176">
        <f t="shared" si="13"/>
        <v>0</v>
      </c>
      <c r="N176">
        <f t="shared" si="14"/>
        <v>0</v>
      </c>
    </row>
    <row r="177" spans="1:14" ht="12" customHeight="1" thickBot="1">
      <c r="A177" s="890"/>
      <c r="B177" s="904"/>
      <c r="C177" s="44" t="s">
        <v>639</v>
      </c>
      <c r="D177" s="45" t="s">
        <v>640</v>
      </c>
      <c r="E177" s="126"/>
      <c r="F177" s="878"/>
      <c r="G177" s="878"/>
      <c r="H177" s="879"/>
      <c r="J177" s="53"/>
      <c r="K177">
        <f t="shared" si="11"/>
        <v>0</v>
      </c>
      <c r="L177">
        <f t="shared" si="12"/>
        <v>0</v>
      </c>
      <c r="M177">
        <f t="shared" si="13"/>
        <v>0</v>
      </c>
      <c r="N177">
        <f t="shared" si="14"/>
        <v>0</v>
      </c>
    </row>
    <row r="178" spans="1:14" ht="12" customHeight="1" thickTop="1">
      <c r="A178" s="51"/>
      <c r="B178" s="950" t="s">
        <v>748</v>
      </c>
      <c r="C178" s="1040"/>
      <c r="D178" s="1042"/>
      <c r="E178" s="998"/>
      <c r="F178" s="1000"/>
      <c r="G178" s="1133"/>
      <c r="H178" s="1134"/>
      <c r="J178" s="53"/>
      <c r="K178">
        <f t="shared" si="11"/>
        <v>0</v>
      </c>
      <c r="L178">
        <f t="shared" si="12"/>
        <v>0</v>
      </c>
      <c r="M178">
        <f t="shared" si="13"/>
        <v>0</v>
      </c>
      <c r="N178">
        <f t="shared" si="14"/>
        <v>0</v>
      </c>
    </row>
    <row r="179" spans="1:14" ht="12" customHeight="1">
      <c r="A179" s="51"/>
      <c r="B179" s="946"/>
      <c r="C179" s="1041"/>
      <c r="D179" s="1043"/>
      <c r="E179" s="999"/>
      <c r="F179" s="1037"/>
      <c r="G179" s="1035"/>
      <c r="H179" s="1036"/>
      <c r="J179" s="53"/>
      <c r="K179">
        <f t="shared" si="11"/>
        <v>0</v>
      </c>
      <c r="L179">
        <f t="shared" si="12"/>
        <v>0</v>
      </c>
      <c r="M179">
        <f t="shared" si="13"/>
        <v>0</v>
      </c>
      <c r="N179">
        <f t="shared" si="14"/>
        <v>0</v>
      </c>
    </row>
    <row r="180" spans="1:14" ht="12.95" customHeight="1">
      <c r="A180" s="184"/>
      <c r="B180" s="57" t="s">
        <v>544</v>
      </c>
      <c r="C180" s="58">
        <v>8.3487435898811968E-2</v>
      </c>
      <c r="D180" s="59">
        <f>C180*30</f>
        <v>2.5046230769643589</v>
      </c>
      <c r="E180" s="185"/>
      <c r="F180" s="186"/>
      <c r="G180" s="59"/>
      <c r="H180" s="151"/>
      <c r="I180" s="152"/>
      <c r="J180" s="53"/>
      <c r="K180">
        <f t="shared" si="11"/>
        <v>0</v>
      </c>
      <c r="L180">
        <f t="shared" si="12"/>
        <v>0</v>
      </c>
      <c r="M180">
        <f t="shared" si="13"/>
        <v>0</v>
      </c>
      <c r="N180">
        <f t="shared" si="14"/>
        <v>0</v>
      </c>
    </row>
    <row r="181" spans="1:14" ht="12.95" customHeight="1">
      <c r="A181" s="56"/>
      <c r="B181" s="57" t="s">
        <v>749</v>
      </c>
      <c r="C181" s="58">
        <v>0.10517534351136552</v>
      </c>
      <c r="D181" s="59">
        <f>C181*30</f>
        <v>3.1552603053409656</v>
      </c>
      <c r="E181" s="60"/>
      <c r="F181" s="149"/>
      <c r="G181" s="150"/>
      <c r="H181" s="151"/>
      <c r="I181" s="152"/>
      <c r="J181" s="53"/>
      <c r="K181">
        <f t="shared" si="11"/>
        <v>0</v>
      </c>
      <c r="L181">
        <f t="shared" si="12"/>
        <v>0</v>
      </c>
      <c r="M181">
        <f t="shared" si="13"/>
        <v>0</v>
      </c>
      <c r="N181">
        <f t="shared" si="14"/>
        <v>0</v>
      </c>
    </row>
    <row r="182" spans="1:14" ht="12.95" customHeight="1">
      <c r="A182" s="56"/>
      <c r="B182" s="57" t="s">
        <v>750</v>
      </c>
      <c r="C182" s="58">
        <v>0.11104195803653044</v>
      </c>
      <c r="D182" s="59">
        <f>C182*30</f>
        <v>3.3312587410959131</v>
      </c>
      <c r="E182" s="60"/>
      <c r="F182" s="149"/>
      <c r="G182" s="150"/>
      <c r="H182" s="151"/>
      <c r="I182" s="152"/>
      <c r="J182" s="53"/>
      <c r="K182">
        <f t="shared" si="11"/>
        <v>0</v>
      </c>
      <c r="L182">
        <f t="shared" si="12"/>
        <v>0</v>
      </c>
      <c r="M182">
        <f t="shared" si="13"/>
        <v>0</v>
      </c>
      <c r="N182">
        <f t="shared" si="14"/>
        <v>0</v>
      </c>
    </row>
    <row r="183" spans="1:14" ht="12.95" customHeight="1">
      <c r="A183" s="62"/>
      <c r="B183" s="57" t="s">
        <v>545</v>
      </c>
      <c r="C183" s="58">
        <v>0.12842080447149828</v>
      </c>
      <c r="D183" s="59">
        <f>C183*30</f>
        <v>3.8526241341449485</v>
      </c>
      <c r="E183" s="60"/>
      <c r="F183" s="149"/>
      <c r="G183" s="150"/>
      <c r="H183" s="151"/>
      <c r="I183" s="152"/>
      <c r="J183" s="53"/>
      <c r="K183">
        <f t="shared" si="11"/>
        <v>0</v>
      </c>
      <c r="L183">
        <f t="shared" si="12"/>
        <v>0</v>
      </c>
      <c r="M183">
        <f t="shared" si="13"/>
        <v>0</v>
      </c>
      <c r="N183">
        <f t="shared" si="14"/>
        <v>0</v>
      </c>
    </row>
    <row r="184" spans="1:14" ht="12.95" customHeight="1">
      <c r="A184" s="65"/>
      <c r="B184" s="57" t="s">
        <v>751</v>
      </c>
      <c r="C184" s="58">
        <v>0.15224070323114605</v>
      </c>
      <c r="D184" s="59">
        <f>C184*30</f>
        <v>4.5672210969343814</v>
      </c>
      <c r="E184" s="60"/>
      <c r="F184" s="149"/>
      <c r="G184" s="150"/>
      <c r="H184" s="151"/>
      <c r="I184" s="152"/>
      <c r="J184" s="53"/>
      <c r="K184">
        <f t="shared" si="11"/>
        <v>0</v>
      </c>
      <c r="L184">
        <f t="shared" si="12"/>
        <v>0</v>
      </c>
      <c r="M184">
        <f t="shared" si="13"/>
        <v>0</v>
      </c>
      <c r="N184">
        <f t="shared" si="14"/>
        <v>0</v>
      </c>
    </row>
    <row r="185" spans="1:14" ht="12.95" customHeight="1">
      <c r="A185" s="70"/>
      <c r="B185" s="233"/>
      <c r="C185" s="234"/>
      <c r="D185" s="235"/>
      <c r="E185" s="60"/>
      <c r="F185" s="149"/>
      <c r="G185" s="150"/>
      <c r="H185" s="151"/>
      <c r="I185" s="152"/>
      <c r="J185" s="53"/>
      <c r="K185">
        <f t="shared" si="11"/>
        <v>0</v>
      </c>
      <c r="L185">
        <f t="shared" si="12"/>
        <v>0</v>
      </c>
      <c r="M185">
        <f t="shared" si="13"/>
        <v>0</v>
      </c>
      <c r="N185">
        <f t="shared" si="14"/>
        <v>0</v>
      </c>
    </row>
    <row r="186" spans="1:14" ht="12" customHeight="1">
      <c r="A186" s="67"/>
      <c r="B186" s="949" t="s">
        <v>752</v>
      </c>
      <c r="C186" s="955"/>
      <c r="D186" s="1038"/>
      <c r="E186" s="957"/>
      <c r="F186" s="973"/>
      <c r="G186" s="1035"/>
      <c r="H186" s="1036"/>
      <c r="J186" s="53"/>
      <c r="K186">
        <f t="shared" si="11"/>
        <v>0</v>
      </c>
      <c r="L186">
        <f t="shared" si="12"/>
        <v>0</v>
      </c>
      <c r="M186">
        <f t="shared" si="13"/>
        <v>0</v>
      </c>
      <c r="N186">
        <f t="shared" si="14"/>
        <v>0</v>
      </c>
    </row>
    <row r="187" spans="1:14" ht="12" customHeight="1">
      <c r="A187" s="69"/>
      <c r="B187" s="946"/>
      <c r="C187" s="1136"/>
      <c r="D187" s="1039"/>
      <c r="E187" s="999"/>
      <c r="F187" s="1037"/>
      <c r="G187" s="1035"/>
      <c r="H187" s="1036"/>
      <c r="J187" s="53"/>
      <c r="K187">
        <f t="shared" si="11"/>
        <v>0</v>
      </c>
      <c r="L187">
        <f t="shared" si="12"/>
        <v>0</v>
      </c>
      <c r="M187">
        <f t="shared" si="13"/>
        <v>0</v>
      </c>
      <c r="N187">
        <f t="shared" si="14"/>
        <v>0</v>
      </c>
    </row>
    <row r="188" spans="1:14" ht="12.95" customHeight="1">
      <c r="A188" s="70"/>
      <c r="B188" s="57" t="s">
        <v>753</v>
      </c>
      <c r="C188" s="944" t="s">
        <v>655</v>
      </c>
      <c r="D188" s="953"/>
      <c r="E188" s="60"/>
      <c r="F188" s="149"/>
      <c r="G188" s="150"/>
      <c r="H188" s="151"/>
      <c r="I188" s="152"/>
      <c r="J188" s="53"/>
      <c r="K188">
        <f t="shared" si="11"/>
        <v>0</v>
      </c>
      <c r="L188">
        <f t="shared" si="12"/>
        <v>0</v>
      </c>
      <c r="M188">
        <f t="shared" si="13"/>
        <v>0</v>
      </c>
      <c r="N188">
        <f t="shared" si="14"/>
        <v>0</v>
      </c>
    </row>
    <row r="189" spans="1:14" ht="12.95" customHeight="1">
      <c r="A189" s="70"/>
      <c r="B189" s="57" t="s">
        <v>754</v>
      </c>
      <c r="C189" s="944" t="s">
        <v>655</v>
      </c>
      <c r="D189" s="953"/>
      <c r="E189" s="60"/>
      <c r="F189" s="149"/>
      <c r="G189" s="150"/>
      <c r="H189" s="151"/>
      <c r="I189" s="152"/>
      <c r="J189" s="53"/>
      <c r="K189">
        <f t="shared" si="11"/>
        <v>0</v>
      </c>
      <c r="L189">
        <f t="shared" si="12"/>
        <v>0</v>
      </c>
      <c r="M189">
        <f t="shared" si="13"/>
        <v>0</v>
      </c>
      <c r="N189">
        <f t="shared" si="14"/>
        <v>0</v>
      </c>
    </row>
    <row r="190" spans="1:14" ht="12.95" customHeight="1">
      <c r="A190" s="70"/>
      <c r="B190" s="57" t="s">
        <v>755</v>
      </c>
      <c r="C190" s="944" t="s">
        <v>655</v>
      </c>
      <c r="D190" s="953"/>
      <c r="E190" s="60"/>
      <c r="F190" s="149"/>
      <c r="G190" s="150"/>
      <c r="H190" s="151"/>
      <c r="I190" s="152"/>
      <c r="J190" s="53"/>
      <c r="K190">
        <f t="shared" si="11"/>
        <v>0</v>
      </c>
      <c r="L190">
        <f t="shared" si="12"/>
        <v>0</v>
      </c>
      <c r="M190">
        <f t="shared" si="13"/>
        <v>0</v>
      </c>
      <c r="N190">
        <f t="shared" si="14"/>
        <v>0</v>
      </c>
    </row>
    <row r="191" spans="1:14" ht="12.95" customHeight="1">
      <c r="A191" s="70"/>
      <c r="B191" s="63"/>
      <c r="C191" s="236"/>
      <c r="D191" s="237"/>
      <c r="E191" s="60"/>
      <c r="F191" s="149"/>
      <c r="G191" s="150"/>
      <c r="H191" s="151"/>
      <c r="I191" s="152"/>
      <c r="J191" s="53"/>
      <c r="K191">
        <f t="shared" si="11"/>
        <v>0</v>
      </c>
      <c r="L191">
        <f t="shared" si="12"/>
        <v>0</v>
      </c>
      <c r="M191">
        <f t="shared" si="13"/>
        <v>0</v>
      </c>
      <c r="N191">
        <f t="shared" si="14"/>
        <v>0</v>
      </c>
    </row>
    <row r="192" spans="1:14" ht="12" customHeight="1">
      <c r="A192" s="67"/>
      <c r="B192" s="949" t="s">
        <v>756</v>
      </c>
      <c r="C192" s="955"/>
      <c r="D192" s="956"/>
      <c r="E192" s="957"/>
      <c r="F192" s="973"/>
      <c r="G192" s="1035"/>
      <c r="H192" s="1036"/>
      <c r="J192" s="53"/>
      <c r="K192">
        <f t="shared" si="11"/>
        <v>0</v>
      </c>
      <c r="L192">
        <f t="shared" si="12"/>
        <v>0</v>
      </c>
      <c r="M192">
        <f t="shared" si="13"/>
        <v>0</v>
      </c>
      <c r="N192">
        <f t="shared" si="14"/>
        <v>0</v>
      </c>
    </row>
    <row r="193" spans="1:14" ht="12" customHeight="1">
      <c r="A193" s="69"/>
      <c r="B193" s="946"/>
      <c r="C193" s="955"/>
      <c r="D193" s="956"/>
      <c r="E193" s="999"/>
      <c r="F193" s="1037"/>
      <c r="G193" s="1035"/>
      <c r="H193" s="1036"/>
      <c r="J193" s="53"/>
      <c r="K193">
        <f t="shared" si="11"/>
        <v>0</v>
      </c>
      <c r="L193">
        <f t="shared" si="12"/>
        <v>0</v>
      </c>
      <c r="M193">
        <f t="shared" si="13"/>
        <v>0</v>
      </c>
      <c r="N193">
        <f t="shared" si="14"/>
        <v>0</v>
      </c>
    </row>
    <row r="194" spans="1:14" ht="12.95" customHeight="1">
      <c r="A194" s="65"/>
      <c r="B194" s="57" t="s">
        <v>757</v>
      </c>
      <c r="C194" s="58">
        <v>2.3241136173004419E-2</v>
      </c>
      <c r="D194" s="59">
        <f>C194*30</f>
        <v>0.69723408519013252</v>
      </c>
      <c r="E194" s="60"/>
      <c r="F194" s="149"/>
      <c r="G194" s="150"/>
      <c r="H194" s="161"/>
      <c r="I194" s="162"/>
      <c r="J194" s="53"/>
      <c r="K194">
        <f t="shared" si="11"/>
        <v>0</v>
      </c>
      <c r="L194">
        <f t="shared" si="12"/>
        <v>0</v>
      </c>
      <c r="M194">
        <f t="shared" si="13"/>
        <v>0</v>
      </c>
      <c r="N194">
        <f t="shared" si="14"/>
        <v>0</v>
      </c>
    </row>
    <row r="195" spans="1:14" ht="12.95" customHeight="1">
      <c r="A195" s="70"/>
      <c r="B195" s="57" t="s">
        <v>758</v>
      </c>
      <c r="C195" s="58">
        <v>2.0043663076414555E-2</v>
      </c>
      <c r="D195" s="59">
        <f>C195*30</f>
        <v>0.6013098922924367</v>
      </c>
      <c r="E195" s="60"/>
      <c r="F195" s="149"/>
      <c r="G195" s="150"/>
      <c r="H195" s="161"/>
      <c r="I195" s="162"/>
      <c r="J195" s="53"/>
      <c r="K195">
        <f t="shared" si="11"/>
        <v>0</v>
      </c>
      <c r="L195">
        <f t="shared" si="12"/>
        <v>0</v>
      </c>
      <c r="M195">
        <f t="shared" si="13"/>
        <v>0</v>
      </c>
      <c r="N195">
        <f t="shared" si="14"/>
        <v>0</v>
      </c>
    </row>
    <row r="196" spans="1:14" ht="12.95" customHeight="1">
      <c r="A196" s="70"/>
      <c r="B196" s="57" t="s">
        <v>759</v>
      </c>
      <c r="C196" s="58">
        <v>6.4981144402090282E-2</v>
      </c>
      <c r="D196" s="59">
        <f>C196*30</f>
        <v>1.9494343320627086</v>
      </c>
      <c r="E196" s="60"/>
      <c r="F196" s="149"/>
      <c r="G196" s="150"/>
      <c r="H196" s="161"/>
      <c r="I196" s="162"/>
      <c r="J196" s="53"/>
      <c r="K196">
        <f t="shared" ref="K196:K259" si="16">IF(M196&gt;0,1,0)</f>
        <v>0</v>
      </c>
      <c r="L196">
        <f t="shared" ref="L196:L259" si="17">IF(couleur(B196)=2,L197,IF(couleur(B197)=2,0,J196+L197))</f>
        <v>0</v>
      </c>
      <c r="M196">
        <f t="shared" ref="M196:M259" si="18">IF(couleur(B196)=2,L196,J196)</f>
        <v>0</v>
      </c>
      <c r="N196">
        <f t="shared" ref="N196:N259" si="19">IF(ISNUMBER(C196),J196*C196,0)</f>
        <v>0</v>
      </c>
    </row>
    <row r="197" spans="1:14" ht="12.95" customHeight="1">
      <c r="A197" s="65"/>
      <c r="B197" s="79"/>
      <c r="C197" s="169"/>
      <c r="D197" s="238"/>
      <c r="E197" s="60"/>
      <c r="F197" s="149"/>
      <c r="G197" s="150"/>
      <c r="H197" s="151"/>
      <c r="I197" s="152"/>
      <c r="J197" s="53"/>
      <c r="K197">
        <f t="shared" si="16"/>
        <v>0</v>
      </c>
      <c r="L197">
        <f t="shared" si="17"/>
        <v>0</v>
      </c>
      <c r="M197">
        <f t="shared" si="18"/>
        <v>0</v>
      </c>
      <c r="N197">
        <f t="shared" si="19"/>
        <v>0</v>
      </c>
    </row>
    <row r="198" spans="1:14" ht="12.95" customHeight="1">
      <c r="A198" s="70"/>
      <c r="B198" s="63"/>
      <c r="C198" s="236"/>
      <c r="D198" s="237"/>
      <c r="E198" s="60"/>
      <c r="F198" s="149"/>
      <c r="G198" s="150"/>
      <c r="H198" s="151"/>
      <c r="I198" s="152"/>
      <c r="J198" s="53"/>
      <c r="K198">
        <f t="shared" si="16"/>
        <v>0</v>
      </c>
      <c r="L198">
        <f t="shared" si="17"/>
        <v>0</v>
      </c>
      <c r="M198">
        <f t="shared" si="18"/>
        <v>0</v>
      </c>
      <c r="N198">
        <f t="shared" si="19"/>
        <v>0</v>
      </c>
    </row>
    <row r="199" spans="1:14" ht="12" customHeight="1">
      <c r="A199" s="86"/>
      <c r="B199" s="949" t="s">
        <v>760</v>
      </c>
      <c r="C199" s="955"/>
      <c r="D199" s="956"/>
      <c r="E199" s="957"/>
      <c r="F199" s="973"/>
      <c r="G199" s="1035"/>
      <c r="H199" s="1036"/>
      <c r="J199" s="53"/>
      <c r="K199">
        <f t="shared" si="16"/>
        <v>0</v>
      </c>
      <c r="L199">
        <f t="shared" si="17"/>
        <v>0</v>
      </c>
      <c r="M199">
        <f t="shared" si="18"/>
        <v>0</v>
      </c>
      <c r="N199">
        <f t="shared" si="19"/>
        <v>0</v>
      </c>
    </row>
    <row r="200" spans="1:14" ht="12" customHeight="1">
      <c r="A200" s="69"/>
      <c r="B200" s="946"/>
      <c r="C200" s="955"/>
      <c r="D200" s="956"/>
      <c r="E200" s="957"/>
      <c r="F200" s="1037"/>
      <c r="G200" s="1035"/>
      <c r="H200" s="1036"/>
      <c r="J200" s="53"/>
      <c r="K200">
        <f t="shared" si="16"/>
        <v>0</v>
      </c>
      <c r="L200">
        <f t="shared" si="17"/>
        <v>0</v>
      </c>
      <c r="M200">
        <f t="shared" si="18"/>
        <v>0</v>
      </c>
      <c r="N200">
        <f t="shared" si="19"/>
        <v>0</v>
      </c>
    </row>
    <row r="201" spans="1:14" ht="12.95" customHeight="1">
      <c r="A201" s="70"/>
      <c r="B201" s="57" t="s">
        <v>761</v>
      </c>
      <c r="C201" s="58">
        <v>1.8123951767001452</v>
      </c>
      <c r="D201" s="59">
        <f t="shared" ref="D201:D208" si="20">C201*30</f>
        <v>54.371855301004352</v>
      </c>
      <c r="E201" s="60"/>
      <c r="F201" s="149"/>
      <c r="G201" s="150"/>
      <c r="H201" s="151"/>
      <c r="I201" s="152"/>
      <c r="J201" s="53"/>
      <c r="K201">
        <f t="shared" si="16"/>
        <v>0</v>
      </c>
      <c r="L201">
        <f t="shared" si="17"/>
        <v>0</v>
      </c>
      <c r="M201">
        <f t="shared" si="18"/>
        <v>0</v>
      </c>
      <c r="N201">
        <f t="shared" si="19"/>
        <v>0</v>
      </c>
    </row>
    <row r="202" spans="1:14" ht="12.95" customHeight="1">
      <c r="A202" s="164"/>
      <c r="B202" s="57" t="s">
        <v>546</v>
      </c>
      <c r="C202" s="58">
        <v>1.8097461762026477</v>
      </c>
      <c r="D202" s="59">
        <f t="shared" si="20"/>
        <v>54.29238528607943</v>
      </c>
      <c r="E202" s="60"/>
      <c r="F202" s="149"/>
      <c r="G202" s="150"/>
      <c r="H202" s="151"/>
      <c r="I202" s="152"/>
      <c r="J202" s="53"/>
      <c r="K202">
        <f t="shared" si="16"/>
        <v>0</v>
      </c>
      <c r="L202">
        <f t="shared" si="17"/>
        <v>0</v>
      </c>
      <c r="M202">
        <f t="shared" si="18"/>
        <v>0</v>
      </c>
      <c r="N202">
        <f t="shared" si="19"/>
        <v>0</v>
      </c>
    </row>
    <row r="203" spans="1:14" ht="12.95" customHeight="1">
      <c r="A203" s="65"/>
      <c r="B203" s="57" t="s">
        <v>762</v>
      </c>
      <c r="C203" s="58">
        <v>1.953600579100657</v>
      </c>
      <c r="D203" s="59">
        <f t="shared" si="20"/>
        <v>58.608017373019706</v>
      </c>
      <c r="E203" s="60"/>
      <c r="F203" s="149"/>
      <c r="G203" s="150"/>
      <c r="H203" s="165"/>
      <c r="I203" s="166"/>
      <c r="J203" s="53"/>
      <c r="K203">
        <f t="shared" si="16"/>
        <v>0</v>
      </c>
      <c r="L203">
        <f t="shared" si="17"/>
        <v>0</v>
      </c>
      <c r="M203">
        <f t="shared" si="18"/>
        <v>0</v>
      </c>
      <c r="N203">
        <f t="shared" si="19"/>
        <v>0</v>
      </c>
    </row>
    <row r="204" spans="1:14" ht="12.95" customHeight="1">
      <c r="A204" s="65"/>
      <c r="B204" s="57" t="s">
        <v>763</v>
      </c>
      <c r="C204" s="58">
        <v>2.1157615221310735</v>
      </c>
      <c r="D204" s="59">
        <f t="shared" si="20"/>
        <v>63.472845663932205</v>
      </c>
      <c r="E204" s="60"/>
      <c r="F204" s="149"/>
      <c r="G204" s="150"/>
      <c r="H204" s="165"/>
      <c r="I204" s="166"/>
      <c r="J204" s="53"/>
      <c r="K204">
        <f t="shared" si="16"/>
        <v>0</v>
      </c>
      <c r="L204">
        <f t="shared" si="17"/>
        <v>0</v>
      </c>
      <c r="M204">
        <f t="shared" si="18"/>
        <v>0</v>
      </c>
      <c r="N204">
        <f t="shared" si="19"/>
        <v>0</v>
      </c>
    </row>
    <row r="205" spans="1:14" ht="12.95" customHeight="1">
      <c r="A205" s="65"/>
      <c r="B205" s="111" t="s">
        <v>764</v>
      </c>
      <c r="C205" s="58">
        <v>2.161725670147987</v>
      </c>
      <c r="D205" s="59">
        <f t="shared" si="20"/>
        <v>64.851770104439609</v>
      </c>
      <c r="E205" s="60"/>
      <c r="F205" s="149"/>
      <c r="G205" s="150"/>
      <c r="H205" s="165"/>
      <c r="I205" s="166"/>
      <c r="J205" s="53"/>
      <c r="K205">
        <f t="shared" si="16"/>
        <v>0</v>
      </c>
      <c r="L205">
        <f t="shared" si="17"/>
        <v>0</v>
      </c>
      <c r="M205">
        <f t="shared" si="18"/>
        <v>0</v>
      </c>
      <c r="N205">
        <f t="shared" si="19"/>
        <v>0</v>
      </c>
    </row>
    <row r="206" spans="1:14" ht="12.95" customHeight="1">
      <c r="A206" s="65"/>
      <c r="B206" s="111" t="s">
        <v>765</v>
      </c>
      <c r="C206" s="58">
        <v>2.2857376333669865</v>
      </c>
      <c r="D206" s="59">
        <f t="shared" si="20"/>
        <v>68.5721290010096</v>
      </c>
      <c r="E206" s="60"/>
      <c r="F206" s="149"/>
      <c r="G206" s="150"/>
      <c r="H206" s="165"/>
      <c r="I206" s="166"/>
      <c r="J206" s="53"/>
      <c r="K206">
        <f t="shared" si="16"/>
        <v>0</v>
      </c>
      <c r="L206">
        <f t="shared" si="17"/>
        <v>0</v>
      </c>
      <c r="M206">
        <f t="shared" si="18"/>
        <v>0</v>
      </c>
      <c r="N206">
        <f t="shared" si="19"/>
        <v>0</v>
      </c>
    </row>
    <row r="207" spans="1:14" ht="12.95" customHeight="1">
      <c r="A207" s="62"/>
      <c r="B207" s="111" t="s">
        <v>766</v>
      </c>
      <c r="C207" s="58">
        <v>2.5480066798485104</v>
      </c>
      <c r="D207" s="59">
        <f t="shared" si="20"/>
        <v>76.440200395455307</v>
      </c>
      <c r="E207" s="60"/>
      <c r="F207" s="149"/>
      <c r="G207" s="150"/>
      <c r="H207" s="165"/>
      <c r="I207" s="166"/>
      <c r="J207" s="53"/>
      <c r="K207">
        <f t="shared" si="16"/>
        <v>0</v>
      </c>
      <c r="L207">
        <f t="shared" si="17"/>
        <v>0</v>
      </c>
      <c r="M207">
        <f t="shared" si="18"/>
        <v>0</v>
      </c>
      <c r="N207">
        <f t="shared" si="19"/>
        <v>0</v>
      </c>
    </row>
    <row r="208" spans="1:14" ht="12.95" customHeight="1">
      <c r="A208" s="62"/>
      <c r="B208" s="111" t="s">
        <v>547</v>
      </c>
      <c r="C208" s="58">
        <v>2.8119409729894964</v>
      </c>
      <c r="D208" s="59">
        <f t="shared" si="20"/>
        <v>84.358229189684891</v>
      </c>
      <c r="E208" s="60"/>
      <c r="F208" s="149"/>
      <c r="G208" s="150"/>
      <c r="H208" s="165"/>
      <c r="I208" s="166"/>
      <c r="J208" s="53"/>
      <c r="K208">
        <f t="shared" si="16"/>
        <v>0</v>
      </c>
      <c r="L208">
        <f t="shared" si="17"/>
        <v>0</v>
      </c>
      <c r="M208">
        <f t="shared" si="18"/>
        <v>0</v>
      </c>
      <c r="N208">
        <f t="shared" si="19"/>
        <v>0</v>
      </c>
    </row>
    <row r="209" spans="1:14" ht="12" customHeight="1">
      <c r="A209" s="90"/>
      <c r="B209" s="949" t="s">
        <v>767</v>
      </c>
      <c r="C209" s="955"/>
      <c r="D209" s="956"/>
      <c r="E209" s="957"/>
      <c r="F209" s="973"/>
      <c r="G209" s="1035"/>
      <c r="H209" s="1036"/>
      <c r="J209" s="53"/>
      <c r="K209">
        <f t="shared" si="16"/>
        <v>0</v>
      </c>
      <c r="L209">
        <f t="shared" si="17"/>
        <v>0</v>
      </c>
      <c r="M209">
        <f t="shared" si="18"/>
        <v>0</v>
      </c>
      <c r="N209">
        <f t="shared" si="19"/>
        <v>0</v>
      </c>
    </row>
    <row r="210" spans="1:14" ht="12" customHeight="1">
      <c r="A210" s="87"/>
      <c r="B210" s="946"/>
      <c r="C210" s="955"/>
      <c r="D210" s="956"/>
      <c r="E210" s="957"/>
      <c r="F210" s="1037"/>
      <c r="G210" s="1035"/>
      <c r="H210" s="1036"/>
      <c r="J210" s="53"/>
      <c r="K210">
        <f t="shared" si="16"/>
        <v>0</v>
      </c>
      <c r="L210">
        <f t="shared" si="17"/>
        <v>0</v>
      </c>
      <c r="M210">
        <f t="shared" si="18"/>
        <v>0</v>
      </c>
      <c r="N210">
        <f t="shared" si="19"/>
        <v>0</v>
      </c>
    </row>
    <row r="211" spans="1:14" ht="12.95" customHeight="1">
      <c r="A211" s="62"/>
      <c r="B211" s="57" t="s">
        <v>768</v>
      </c>
      <c r="C211" s="58">
        <v>2.3268123426636129</v>
      </c>
      <c r="D211" s="59">
        <f>C211*30</f>
        <v>69.804370279908383</v>
      </c>
      <c r="E211" s="60"/>
      <c r="F211" s="149"/>
      <c r="G211" s="150"/>
      <c r="H211" s="151"/>
      <c r="I211" s="152"/>
      <c r="J211" s="53"/>
      <c r="K211">
        <f t="shared" si="16"/>
        <v>0</v>
      </c>
      <c r="L211">
        <f t="shared" si="17"/>
        <v>0</v>
      </c>
      <c r="M211">
        <f t="shared" si="18"/>
        <v>0</v>
      </c>
      <c r="N211">
        <f t="shared" si="19"/>
        <v>0</v>
      </c>
    </row>
    <row r="212" spans="1:14" ht="12.95" customHeight="1">
      <c r="A212" s="62"/>
      <c r="B212" s="57" t="s">
        <v>769</v>
      </c>
      <c r="C212" s="58">
        <v>2.7524267990894913</v>
      </c>
      <c r="D212" s="59">
        <f>C212*30</f>
        <v>82.572803972684738</v>
      </c>
      <c r="E212" s="60"/>
      <c r="F212" s="149"/>
      <c r="G212" s="150"/>
      <c r="H212" s="165"/>
      <c r="I212" s="166"/>
      <c r="J212" s="53"/>
      <c r="K212">
        <f t="shared" si="16"/>
        <v>0</v>
      </c>
      <c r="L212">
        <f t="shared" si="17"/>
        <v>0</v>
      </c>
      <c r="M212">
        <f t="shared" si="18"/>
        <v>0</v>
      </c>
      <c r="N212">
        <f t="shared" si="19"/>
        <v>0</v>
      </c>
    </row>
    <row r="213" spans="1:14" ht="12.95" customHeight="1">
      <c r="A213" s="62"/>
      <c r="B213" s="79"/>
      <c r="C213" s="169"/>
      <c r="D213" s="238"/>
      <c r="E213" s="60"/>
      <c r="F213" s="149"/>
      <c r="G213" s="150"/>
      <c r="H213" s="165"/>
      <c r="I213" s="166"/>
      <c r="J213" s="53"/>
      <c r="K213">
        <f t="shared" si="16"/>
        <v>0</v>
      </c>
      <c r="L213">
        <f t="shared" si="17"/>
        <v>0</v>
      </c>
      <c r="M213">
        <f t="shared" si="18"/>
        <v>0</v>
      </c>
      <c r="N213">
        <f t="shared" si="19"/>
        <v>0</v>
      </c>
    </row>
    <row r="214" spans="1:14" ht="12.95" customHeight="1">
      <c r="A214" s="62"/>
      <c r="B214" s="63"/>
      <c r="C214" s="236"/>
      <c r="D214" s="237"/>
      <c r="E214" s="60"/>
      <c r="F214" s="149"/>
      <c r="G214" s="150"/>
      <c r="H214" s="165"/>
      <c r="I214" s="166"/>
      <c r="J214" s="53"/>
      <c r="K214">
        <f t="shared" si="16"/>
        <v>0</v>
      </c>
      <c r="L214">
        <f t="shared" si="17"/>
        <v>0</v>
      </c>
      <c r="M214">
        <f t="shared" si="18"/>
        <v>0</v>
      </c>
      <c r="N214">
        <f t="shared" si="19"/>
        <v>0</v>
      </c>
    </row>
    <row r="215" spans="1:14" s="197" customFormat="1" ht="12" customHeight="1">
      <c r="A215" s="239"/>
      <c r="B215" s="994" t="s">
        <v>770</v>
      </c>
      <c r="C215" s="996"/>
      <c r="D215" s="1135"/>
      <c r="E215" s="997"/>
      <c r="F215" s="1112"/>
      <c r="G215" s="1113"/>
      <c r="H215" s="1114"/>
      <c r="J215" s="53"/>
      <c r="K215">
        <f t="shared" si="16"/>
        <v>0</v>
      </c>
      <c r="L215">
        <f t="shared" si="17"/>
        <v>0</v>
      </c>
      <c r="M215">
        <f t="shared" si="18"/>
        <v>0</v>
      </c>
      <c r="N215">
        <f t="shared" si="19"/>
        <v>0</v>
      </c>
    </row>
    <row r="216" spans="1:14" s="197" customFormat="1" ht="12" customHeight="1">
      <c r="A216" s="240"/>
      <c r="B216" s="995"/>
      <c r="C216" s="996"/>
      <c r="D216" s="1135"/>
      <c r="E216" s="997"/>
      <c r="F216" s="1115"/>
      <c r="G216" s="1113"/>
      <c r="H216" s="1114"/>
      <c r="J216" s="53"/>
      <c r="K216">
        <f t="shared" si="16"/>
        <v>0</v>
      </c>
      <c r="L216">
        <f t="shared" si="17"/>
        <v>0</v>
      </c>
      <c r="M216">
        <f t="shared" si="18"/>
        <v>0</v>
      </c>
      <c r="N216">
        <f t="shared" si="19"/>
        <v>0</v>
      </c>
    </row>
    <row r="217" spans="1:14" ht="12.95" customHeight="1">
      <c r="A217" s="62"/>
      <c r="B217" s="57" t="s">
        <v>771</v>
      </c>
      <c r="C217" s="944" t="s">
        <v>655</v>
      </c>
      <c r="D217" s="953"/>
      <c r="E217" s="60"/>
      <c r="F217" s="149"/>
      <c r="G217" s="150"/>
      <c r="H217" s="165"/>
      <c r="I217" s="166"/>
      <c r="J217" s="53"/>
      <c r="K217">
        <f t="shared" si="16"/>
        <v>0</v>
      </c>
      <c r="L217">
        <f t="shared" si="17"/>
        <v>0</v>
      </c>
      <c r="M217">
        <f t="shared" si="18"/>
        <v>0</v>
      </c>
      <c r="N217">
        <f t="shared" si="19"/>
        <v>0</v>
      </c>
    </row>
    <row r="218" spans="1:14" ht="12.95" customHeight="1">
      <c r="A218" s="62"/>
      <c r="B218" s="57" t="s">
        <v>772</v>
      </c>
      <c r="C218" s="944" t="s">
        <v>655</v>
      </c>
      <c r="D218" s="953"/>
      <c r="E218" s="60"/>
      <c r="F218" s="149"/>
      <c r="G218" s="150"/>
      <c r="H218" s="165"/>
      <c r="I218" s="166"/>
      <c r="J218" s="53"/>
      <c r="K218">
        <f t="shared" si="16"/>
        <v>0</v>
      </c>
      <c r="L218">
        <f t="shared" si="17"/>
        <v>0</v>
      </c>
      <c r="M218">
        <f t="shared" si="18"/>
        <v>0</v>
      </c>
      <c r="N218">
        <f t="shared" si="19"/>
        <v>0</v>
      </c>
    </row>
    <row r="219" spans="1:14" ht="12.95" customHeight="1">
      <c r="A219" s="62"/>
      <c r="B219" s="57" t="s">
        <v>773</v>
      </c>
      <c r="C219" s="944" t="s">
        <v>655</v>
      </c>
      <c r="D219" s="953"/>
      <c r="E219" s="60"/>
      <c r="F219" s="149"/>
      <c r="G219" s="150"/>
      <c r="H219" s="165"/>
      <c r="I219" s="166"/>
      <c r="J219" s="53"/>
      <c r="K219">
        <f t="shared" si="16"/>
        <v>0</v>
      </c>
      <c r="L219">
        <f t="shared" si="17"/>
        <v>0</v>
      </c>
      <c r="M219">
        <f t="shared" si="18"/>
        <v>0</v>
      </c>
      <c r="N219">
        <f t="shared" si="19"/>
        <v>0</v>
      </c>
    </row>
    <row r="220" spans="1:14" ht="12.95" customHeight="1">
      <c r="A220" s="62"/>
      <c r="B220" s="57" t="s">
        <v>774</v>
      </c>
      <c r="C220" s="944" t="s">
        <v>655</v>
      </c>
      <c r="D220" s="953"/>
      <c r="E220" s="60"/>
      <c r="F220" s="149"/>
      <c r="G220" s="150"/>
      <c r="H220" s="165"/>
      <c r="I220" s="166"/>
      <c r="J220" s="53"/>
      <c r="K220">
        <f t="shared" si="16"/>
        <v>0</v>
      </c>
      <c r="L220">
        <f t="shared" si="17"/>
        <v>0</v>
      </c>
      <c r="M220">
        <f t="shared" si="18"/>
        <v>0</v>
      </c>
      <c r="N220">
        <f t="shared" si="19"/>
        <v>0</v>
      </c>
    </row>
    <row r="221" spans="1:14" ht="12.95" customHeight="1">
      <c r="A221" s="62"/>
      <c r="B221" s="57" t="s">
        <v>775</v>
      </c>
      <c r="C221" s="944" t="s">
        <v>655</v>
      </c>
      <c r="D221" s="953"/>
      <c r="E221" s="60"/>
      <c r="F221" s="149"/>
      <c r="G221" s="150"/>
      <c r="H221" s="151"/>
      <c r="I221" s="152"/>
      <c r="J221" s="53"/>
      <c r="K221">
        <f t="shared" si="16"/>
        <v>0</v>
      </c>
      <c r="L221">
        <f t="shared" si="17"/>
        <v>0</v>
      </c>
      <c r="M221">
        <f t="shared" si="18"/>
        <v>0</v>
      </c>
      <c r="N221">
        <f t="shared" si="19"/>
        <v>0</v>
      </c>
    </row>
    <row r="222" spans="1:14" ht="12.95" customHeight="1">
      <c r="A222" s="62"/>
      <c r="B222" s="111"/>
      <c r="C222" s="66"/>
      <c r="D222" s="59"/>
      <c r="E222" s="60"/>
      <c r="F222" s="149"/>
      <c r="G222" s="150"/>
      <c r="H222" s="165"/>
      <c r="I222" s="166"/>
      <c r="J222" s="53"/>
      <c r="K222">
        <f t="shared" si="16"/>
        <v>0</v>
      </c>
      <c r="L222">
        <f t="shared" si="17"/>
        <v>0</v>
      </c>
      <c r="M222">
        <f t="shared" si="18"/>
        <v>0</v>
      </c>
      <c r="N222">
        <f t="shared" si="19"/>
        <v>0</v>
      </c>
    </row>
    <row r="223" spans="1:14" ht="12.95" customHeight="1">
      <c r="A223" s="62"/>
      <c r="B223" s="111"/>
      <c r="C223" s="66"/>
      <c r="D223" s="59"/>
      <c r="E223" s="60"/>
      <c r="F223" s="149"/>
      <c r="G223" s="150"/>
      <c r="H223" s="165"/>
      <c r="I223" s="166"/>
      <c r="J223" s="53"/>
      <c r="K223">
        <f t="shared" si="16"/>
        <v>0</v>
      </c>
      <c r="L223">
        <f t="shared" si="17"/>
        <v>0</v>
      </c>
      <c r="M223">
        <f t="shared" si="18"/>
        <v>0</v>
      </c>
      <c r="N223">
        <f t="shared" si="19"/>
        <v>0</v>
      </c>
    </row>
    <row r="224" spans="1:14" ht="12.95" customHeight="1">
      <c r="A224" s="62"/>
      <c r="B224" s="111"/>
      <c r="C224" s="66"/>
      <c r="D224" s="59"/>
      <c r="E224" s="60"/>
      <c r="F224" s="149"/>
      <c r="G224" s="150"/>
      <c r="H224" s="165"/>
      <c r="I224" s="166"/>
      <c r="J224" s="53"/>
      <c r="K224">
        <f t="shared" si="16"/>
        <v>0</v>
      </c>
      <c r="L224">
        <f t="shared" si="17"/>
        <v>0</v>
      </c>
      <c r="M224">
        <f t="shared" si="18"/>
        <v>0</v>
      </c>
      <c r="N224">
        <f t="shared" si="19"/>
        <v>0</v>
      </c>
    </row>
    <row r="225" spans="1:14" ht="12.95" customHeight="1">
      <c r="A225" s="62"/>
      <c r="B225" s="111"/>
      <c r="C225" s="66"/>
      <c r="D225" s="150"/>
      <c r="E225" s="60"/>
      <c r="F225" s="149"/>
      <c r="G225" s="150"/>
      <c r="H225" s="165"/>
      <c r="I225" s="166"/>
      <c r="J225" s="53"/>
      <c r="K225">
        <f t="shared" si="16"/>
        <v>0</v>
      </c>
      <c r="L225">
        <f t="shared" si="17"/>
        <v>0</v>
      </c>
      <c r="M225">
        <f t="shared" si="18"/>
        <v>0</v>
      </c>
      <c r="N225">
        <f t="shared" si="19"/>
        <v>0</v>
      </c>
    </row>
    <row r="226" spans="1:14" ht="12.95" customHeight="1">
      <c r="A226" s="62"/>
      <c r="B226" s="111"/>
      <c r="C226" s="66"/>
      <c r="D226" s="150"/>
      <c r="E226" s="60"/>
      <c r="F226" s="149"/>
      <c r="G226" s="150"/>
      <c r="H226" s="165"/>
      <c r="I226" s="166"/>
      <c r="J226" s="53"/>
      <c r="K226">
        <f t="shared" si="16"/>
        <v>0</v>
      </c>
      <c r="L226">
        <f t="shared" si="17"/>
        <v>0</v>
      </c>
      <c r="M226">
        <f t="shared" si="18"/>
        <v>0</v>
      </c>
      <c r="N226">
        <f t="shared" si="19"/>
        <v>0</v>
      </c>
    </row>
    <row r="227" spans="1:14" ht="12.95" customHeight="1" thickBot="1">
      <c r="A227" s="114"/>
      <c r="B227" s="115"/>
      <c r="C227" s="116"/>
      <c r="D227" s="117"/>
      <c r="E227" s="118"/>
      <c r="F227" s="174"/>
      <c r="G227" s="117"/>
      <c r="H227" s="175"/>
      <c r="I227" s="176"/>
      <c r="J227" s="53"/>
      <c r="K227">
        <f t="shared" si="16"/>
        <v>0</v>
      </c>
      <c r="L227">
        <f t="shared" si="17"/>
        <v>0</v>
      </c>
      <c r="M227">
        <f t="shared" si="18"/>
        <v>0</v>
      </c>
      <c r="N227">
        <f t="shared" si="19"/>
        <v>0</v>
      </c>
    </row>
    <row r="228" spans="1:14" ht="12" customHeight="1" thickTop="1">
      <c r="A228" s="888"/>
      <c r="B228" s="941" t="s">
        <v>635</v>
      </c>
      <c r="C228" s="942" t="s">
        <v>636</v>
      </c>
      <c r="D228" s="907"/>
      <c r="E228" s="943"/>
      <c r="F228" s="906" t="s">
        <v>637</v>
      </c>
      <c r="G228" s="907"/>
      <c r="H228" s="908"/>
      <c r="J228" s="53"/>
      <c r="K228">
        <f t="shared" si="16"/>
        <v>0</v>
      </c>
      <c r="L228">
        <f t="shared" si="17"/>
        <v>0</v>
      </c>
      <c r="M228">
        <f t="shared" si="18"/>
        <v>0</v>
      </c>
      <c r="N228">
        <f t="shared" si="19"/>
        <v>0</v>
      </c>
    </row>
    <row r="229" spans="1:14" ht="12" customHeight="1" thickBot="1">
      <c r="A229" s="889"/>
      <c r="B229" s="903"/>
      <c r="C229" s="900"/>
      <c r="D229" s="901"/>
      <c r="E229" s="902"/>
      <c r="F229" s="1027"/>
      <c r="G229" s="1027"/>
      <c r="H229" s="877"/>
      <c r="J229" s="53"/>
      <c r="K229">
        <f t="shared" si="16"/>
        <v>0</v>
      </c>
      <c r="L229">
        <f t="shared" si="17"/>
        <v>0</v>
      </c>
      <c r="M229">
        <f t="shared" si="18"/>
        <v>0</v>
      </c>
      <c r="N229">
        <f t="shared" si="19"/>
        <v>0</v>
      </c>
    </row>
    <row r="230" spans="1:14" ht="12" customHeight="1" thickBot="1">
      <c r="A230" s="890"/>
      <c r="B230" s="904"/>
      <c r="C230" s="44" t="s">
        <v>639</v>
      </c>
      <c r="D230" s="45" t="s">
        <v>640</v>
      </c>
      <c r="E230" s="126"/>
      <c r="F230" s="878"/>
      <c r="G230" s="878"/>
      <c r="H230" s="879"/>
      <c r="J230" s="53"/>
      <c r="K230">
        <f t="shared" si="16"/>
        <v>0</v>
      </c>
      <c r="L230">
        <f t="shared" si="17"/>
        <v>0</v>
      </c>
      <c r="M230">
        <f t="shared" si="18"/>
        <v>0</v>
      </c>
      <c r="N230">
        <f t="shared" si="19"/>
        <v>0</v>
      </c>
    </row>
    <row r="231" spans="1:14" ht="12" customHeight="1" thickTop="1">
      <c r="A231" s="51"/>
      <c r="B231" s="1011" t="s">
        <v>776</v>
      </c>
      <c r="C231" s="1010"/>
      <c r="D231" s="1009"/>
      <c r="E231" s="998"/>
      <c r="F231" s="1000"/>
      <c r="G231" s="1001"/>
      <c r="H231" s="1002"/>
      <c r="J231" s="53"/>
      <c r="K231">
        <f t="shared" si="16"/>
        <v>0</v>
      </c>
      <c r="L231">
        <f t="shared" si="17"/>
        <v>0</v>
      </c>
      <c r="M231">
        <f t="shared" si="18"/>
        <v>0</v>
      </c>
      <c r="N231">
        <f t="shared" si="19"/>
        <v>0</v>
      </c>
    </row>
    <row r="232" spans="1:14" ht="12" customHeight="1">
      <c r="A232" s="51"/>
      <c r="B232" s="1012"/>
      <c r="C232" s="955"/>
      <c r="D232" s="956"/>
      <c r="E232" s="1116"/>
      <c r="F232" s="1003"/>
      <c r="G232" s="1004"/>
      <c r="H232" s="1005"/>
      <c r="J232" s="53"/>
      <c r="K232">
        <f t="shared" si="16"/>
        <v>0</v>
      </c>
      <c r="L232">
        <f t="shared" si="17"/>
        <v>0</v>
      </c>
      <c r="M232">
        <f t="shared" si="18"/>
        <v>0</v>
      </c>
      <c r="N232">
        <f t="shared" si="19"/>
        <v>0</v>
      </c>
    </row>
    <row r="233" spans="1:14" ht="12.95" customHeight="1">
      <c r="A233" s="184"/>
      <c r="B233" s="57" t="s">
        <v>777</v>
      </c>
      <c r="C233" s="58">
        <v>5.0367864098543491E-2</v>
      </c>
      <c r="D233" s="59">
        <f t="shared" ref="D233:D238" si="21">C233*30</f>
        <v>1.5110359229563048</v>
      </c>
      <c r="E233" s="185"/>
      <c r="F233" s="959" t="s">
        <v>778</v>
      </c>
      <c r="G233" s="960"/>
      <c r="H233" s="961"/>
      <c r="J233" s="53"/>
      <c r="K233">
        <f t="shared" si="16"/>
        <v>0</v>
      </c>
      <c r="L233">
        <f t="shared" si="17"/>
        <v>0</v>
      </c>
      <c r="M233">
        <f t="shared" si="18"/>
        <v>0</v>
      </c>
      <c r="N233">
        <f t="shared" si="19"/>
        <v>0</v>
      </c>
    </row>
    <row r="234" spans="1:14" ht="12.95" customHeight="1">
      <c r="A234" s="184"/>
      <c r="B234" s="57" t="s">
        <v>779</v>
      </c>
      <c r="C234" s="58">
        <v>5.4906581795626221E-2</v>
      </c>
      <c r="D234" s="59">
        <f t="shared" si="21"/>
        <v>1.6471974538687866</v>
      </c>
      <c r="E234" s="185"/>
      <c r="F234" s="959" t="s">
        <v>778</v>
      </c>
      <c r="G234" s="960"/>
      <c r="H234" s="961"/>
      <c r="J234" s="53"/>
      <c r="K234">
        <f t="shared" si="16"/>
        <v>0</v>
      </c>
      <c r="L234">
        <f t="shared" si="17"/>
        <v>0</v>
      </c>
      <c r="M234">
        <f t="shared" si="18"/>
        <v>0</v>
      </c>
      <c r="N234">
        <f t="shared" si="19"/>
        <v>0</v>
      </c>
    </row>
    <row r="235" spans="1:14" ht="12.95" customHeight="1">
      <c r="A235" s="56"/>
      <c r="B235" s="57" t="s">
        <v>780</v>
      </c>
      <c r="C235" s="58">
        <v>5.965308484518065E-2</v>
      </c>
      <c r="D235" s="59">
        <f t="shared" si="21"/>
        <v>1.7895925453554196</v>
      </c>
      <c r="E235" s="60"/>
      <c r="F235" s="959" t="s">
        <v>778</v>
      </c>
      <c r="G235" s="960"/>
      <c r="H235" s="961"/>
      <c r="J235" s="53"/>
      <c r="K235">
        <f t="shared" si="16"/>
        <v>0</v>
      </c>
      <c r="L235">
        <f t="shared" si="17"/>
        <v>0</v>
      </c>
      <c r="M235">
        <f t="shared" si="18"/>
        <v>0</v>
      </c>
      <c r="N235">
        <f t="shared" si="19"/>
        <v>0</v>
      </c>
    </row>
    <row r="236" spans="1:14" ht="12.95" customHeight="1">
      <c r="A236" s="56"/>
      <c r="B236" s="57" t="s">
        <v>781</v>
      </c>
      <c r="C236" s="58">
        <v>5.5059534519125687E-2</v>
      </c>
      <c r="D236" s="59">
        <f t="shared" si="21"/>
        <v>1.6517860355737706</v>
      </c>
      <c r="E236" s="60"/>
      <c r="F236" s="959" t="s">
        <v>778</v>
      </c>
      <c r="G236" s="960"/>
      <c r="H236" s="961"/>
      <c r="J236" s="53"/>
      <c r="K236">
        <f t="shared" si="16"/>
        <v>0</v>
      </c>
      <c r="L236">
        <f t="shared" si="17"/>
        <v>0</v>
      </c>
      <c r="M236">
        <f t="shared" si="18"/>
        <v>0</v>
      </c>
      <c r="N236">
        <f t="shared" si="19"/>
        <v>0</v>
      </c>
    </row>
    <row r="237" spans="1:14" ht="12.95" customHeight="1">
      <c r="A237" s="62"/>
      <c r="B237" s="57" t="s">
        <v>548</v>
      </c>
      <c r="C237" s="58">
        <v>5.1801782333359726E-2</v>
      </c>
      <c r="D237" s="59">
        <f t="shared" si="21"/>
        <v>1.5540534700007917</v>
      </c>
      <c r="E237" s="60"/>
      <c r="F237" s="959" t="s">
        <v>782</v>
      </c>
      <c r="G237" s="960"/>
      <c r="H237" s="961"/>
      <c r="J237" s="53"/>
      <c r="K237">
        <f t="shared" si="16"/>
        <v>0</v>
      </c>
      <c r="L237">
        <f t="shared" si="17"/>
        <v>0</v>
      </c>
      <c r="M237">
        <f t="shared" si="18"/>
        <v>0</v>
      </c>
      <c r="N237">
        <f t="shared" si="19"/>
        <v>0</v>
      </c>
    </row>
    <row r="238" spans="1:14" ht="12.95" customHeight="1">
      <c r="A238" s="70"/>
      <c r="B238" s="57" t="s">
        <v>549</v>
      </c>
      <c r="C238" s="58">
        <v>9.1868105481373669E-2</v>
      </c>
      <c r="D238" s="59">
        <f t="shared" si="21"/>
        <v>2.75604316444121</v>
      </c>
      <c r="E238" s="60"/>
      <c r="F238" s="959" t="s">
        <v>778</v>
      </c>
      <c r="G238" s="960"/>
      <c r="H238" s="961"/>
      <c r="J238" s="53"/>
      <c r="K238">
        <f t="shared" si="16"/>
        <v>0</v>
      </c>
      <c r="L238">
        <f t="shared" si="17"/>
        <v>0</v>
      </c>
      <c r="M238">
        <f t="shared" si="18"/>
        <v>0</v>
      </c>
      <c r="N238">
        <f t="shared" si="19"/>
        <v>0</v>
      </c>
    </row>
    <row r="239" spans="1:14" ht="12.95" customHeight="1">
      <c r="A239" s="70"/>
      <c r="B239" s="63"/>
      <c r="C239" s="236"/>
      <c r="D239" s="237"/>
      <c r="E239" s="60"/>
      <c r="F239" s="149"/>
      <c r="G239" s="150"/>
      <c r="H239" s="165"/>
      <c r="I239" s="166"/>
      <c r="J239" s="53"/>
      <c r="K239">
        <f t="shared" si="16"/>
        <v>0</v>
      </c>
      <c r="L239">
        <f t="shared" si="17"/>
        <v>0</v>
      </c>
      <c r="M239">
        <f t="shared" si="18"/>
        <v>0</v>
      </c>
      <c r="N239">
        <f t="shared" si="19"/>
        <v>0</v>
      </c>
    </row>
    <row r="240" spans="1:14" ht="12" customHeight="1">
      <c r="A240" s="67"/>
      <c r="B240" s="1013" t="s">
        <v>783</v>
      </c>
      <c r="C240" s="980"/>
      <c r="D240" s="983"/>
      <c r="E240" s="982"/>
      <c r="F240" s="973"/>
      <c r="G240" s="974"/>
      <c r="H240" s="975"/>
      <c r="J240" s="53"/>
      <c r="K240">
        <f t="shared" si="16"/>
        <v>0</v>
      </c>
      <c r="L240">
        <f t="shared" si="17"/>
        <v>0</v>
      </c>
      <c r="M240">
        <f t="shared" si="18"/>
        <v>0</v>
      </c>
      <c r="N240">
        <f t="shared" si="19"/>
        <v>0</v>
      </c>
    </row>
    <row r="241" spans="1:14" ht="12" customHeight="1">
      <c r="A241" s="69"/>
      <c r="B241" s="1012"/>
      <c r="C241" s="981"/>
      <c r="D241" s="984"/>
      <c r="E241" s="982"/>
      <c r="F241" s="976"/>
      <c r="G241" s="974"/>
      <c r="H241" s="975"/>
      <c r="J241" s="53"/>
      <c r="K241">
        <f t="shared" si="16"/>
        <v>0</v>
      </c>
      <c r="L241">
        <f t="shared" si="17"/>
        <v>0</v>
      </c>
      <c r="M241">
        <f t="shared" si="18"/>
        <v>0</v>
      </c>
      <c r="N241">
        <f t="shared" si="19"/>
        <v>0</v>
      </c>
    </row>
    <row r="242" spans="1:14" ht="12.95" customHeight="1">
      <c r="A242" s="70"/>
      <c r="B242" s="57" t="s">
        <v>784</v>
      </c>
      <c r="C242" s="58">
        <v>0.16582464769212454</v>
      </c>
      <c r="D242" s="59">
        <f>C242*30</f>
        <v>4.9747394307637363</v>
      </c>
      <c r="E242" s="60"/>
      <c r="F242" s="959"/>
      <c r="G242" s="960"/>
      <c r="H242" s="961"/>
      <c r="J242" s="53"/>
      <c r="K242">
        <f t="shared" si="16"/>
        <v>0</v>
      </c>
      <c r="L242">
        <f t="shared" si="17"/>
        <v>0</v>
      </c>
      <c r="M242">
        <f t="shared" si="18"/>
        <v>0</v>
      </c>
      <c r="N242">
        <f t="shared" si="19"/>
        <v>0</v>
      </c>
    </row>
    <row r="243" spans="1:14" ht="12.95" customHeight="1">
      <c r="A243" s="70"/>
      <c r="B243" s="57" t="s">
        <v>785</v>
      </c>
      <c r="C243" s="58">
        <v>0.20424575322647459</v>
      </c>
      <c r="D243" s="59">
        <f>C243*30</f>
        <v>6.1273725967942374</v>
      </c>
      <c r="E243" s="60"/>
      <c r="F243" s="959" t="s">
        <v>778</v>
      </c>
      <c r="G243" s="960"/>
      <c r="H243" s="961"/>
      <c r="J243" s="53"/>
      <c r="K243">
        <f t="shared" si="16"/>
        <v>0</v>
      </c>
      <c r="L243">
        <f t="shared" si="17"/>
        <v>0</v>
      </c>
      <c r="M243">
        <f t="shared" si="18"/>
        <v>0</v>
      </c>
      <c r="N243">
        <f t="shared" si="19"/>
        <v>0</v>
      </c>
    </row>
    <row r="244" spans="1:14" ht="12.95" customHeight="1">
      <c r="A244" s="70"/>
      <c r="B244" s="63"/>
      <c r="C244" s="236"/>
      <c r="D244" s="237"/>
      <c r="E244" s="60"/>
      <c r="F244" s="149"/>
      <c r="G244" s="150"/>
      <c r="H244" s="165"/>
      <c r="I244" s="166"/>
      <c r="J244" s="53"/>
      <c r="K244">
        <f t="shared" si="16"/>
        <v>0</v>
      </c>
      <c r="L244">
        <f t="shared" si="17"/>
        <v>0</v>
      </c>
      <c r="M244">
        <f t="shared" si="18"/>
        <v>0</v>
      </c>
      <c r="N244">
        <f t="shared" si="19"/>
        <v>0</v>
      </c>
    </row>
    <row r="245" spans="1:14" ht="12.95" customHeight="1">
      <c r="A245" s="70"/>
      <c r="B245" s="63"/>
      <c r="C245" s="236"/>
      <c r="D245" s="237"/>
      <c r="E245" s="60"/>
      <c r="F245" s="149"/>
      <c r="G245" s="150"/>
      <c r="H245" s="241"/>
      <c r="I245" s="242"/>
      <c r="J245" s="53"/>
      <c r="K245">
        <f t="shared" si="16"/>
        <v>0</v>
      </c>
      <c r="L245">
        <f t="shared" si="17"/>
        <v>0</v>
      </c>
      <c r="M245">
        <f t="shared" si="18"/>
        <v>0</v>
      </c>
      <c r="N245">
        <f t="shared" si="19"/>
        <v>0</v>
      </c>
    </row>
    <row r="246" spans="1:14" ht="12" customHeight="1">
      <c r="A246" s="67"/>
      <c r="B246" s="949" t="s">
        <v>786</v>
      </c>
      <c r="C246" s="955"/>
      <c r="D246" s="956"/>
      <c r="E246" s="982"/>
      <c r="F246" s="973"/>
      <c r="G246" s="977"/>
      <c r="H246" s="978"/>
      <c r="J246" s="53"/>
      <c r="K246">
        <f t="shared" si="16"/>
        <v>0</v>
      </c>
      <c r="L246">
        <f t="shared" si="17"/>
        <v>0</v>
      </c>
      <c r="M246">
        <f t="shared" si="18"/>
        <v>0</v>
      </c>
      <c r="N246">
        <f t="shared" si="19"/>
        <v>0</v>
      </c>
    </row>
    <row r="247" spans="1:14" ht="12" customHeight="1">
      <c r="A247" s="72"/>
      <c r="B247" s="946"/>
      <c r="C247" s="955"/>
      <c r="D247" s="956"/>
      <c r="E247" s="982"/>
      <c r="F247" s="979"/>
      <c r="G247" s="977"/>
      <c r="H247" s="978"/>
      <c r="J247" s="53"/>
      <c r="K247">
        <f t="shared" si="16"/>
        <v>0</v>
      </c>
      <c r="L247">
        <f t="shared" si="17"/>
        <v>0</v>
      </c>
      <c r="M247">
        <f t="shared" si="18"/>
        <v>0</v>
      </c>
      <c r="N247">
        <f t="shared" si="19"/>
        <v>0</v>
      </c>
    </row>
    <row r="248" spans="1:14" ht="12.95" customHeight="1">
      <c r="A248" s="70"/>
      <c r="B248" s="57" t="s">
        <v>787</v>
      </c>
      <c r="C248" s="944" t="s">
        <v>655</v>
      </c>
      <c r="D248" s="953"/>
      <c r="E248" s="60"/>
      <c r="F248" s="149"/>
      <c r="G248" s="150"/>
      <c r="H248" s="165"/>
      <c r="I248" s="166"/>
      <c r="J248" s="53"/>
      <c r="K248">
        <f t="shared" si="16"/>
        <v>0</v>
      </c>
      <c r="L248">
        <f t="shared" si="17"/>
        <v>0</v>
      </c>
      <c r="M248">
        <f t="shared" si="18"/>
        <v>0</v>
      </c>
      <c r="N248">
        <f t="shared" si="19"/>
        <v>0</v>
      </c>
    </row>
    <row r="249" spans="1:14" ht="12.95" customHeight="1">
      <c r="A249" s="65"/>
      <c r="B249" s="243" t="s">
        <v>788</v>
      </c>
      <c r="C249" s="944" t="s">
        <v>655</v>
      </c>
      <c r="D249" s="953"/>
      <c r="E249" s="60"/>
      <c r="F249" s="149"/>
      <c r="G249" s="150"/>
      <c r="H249" s="165"/>
      <c r="I249" s="166"/>
      <c r="J249" s="53"/>
      <c r="K249">
        <f t="shared" si="16"/>
        <v>0</v>
      </c>
      <c r="L249">
        <f t="shared" si="17"/>
        <v>0</v>
      </c>
      <c r="M249">
        <f t="shared" si="18"/>
        <v>0</v>
      </c>
      <c r="N249">
        <f t="shared" si="19"/>
        <v>0</v>
      </c>
    </row>
    <row r="250" spans="1:14" ht="12" customHeight="1">
      <c r="A250" s="67"/>
      <c r="B250" s="949" t="s">
        <v>789</v>
      </c>
      <c r="C250" s="955"/>
      <c r="D250" s="956"/>
      <c r="E250" s="957"/>
      <c r="F250" s="973"/>
      <c r="G250" s="977"/>
      <c r="H250" s="978"/>
      <c r="J250" s="53"/>
      <c r="K250">
        <f t="shared" si="16"/>
        <v>0</v>
      </c>
      <c r="L250">
        <f t="shared" si="17"/>
        <v>0</v>
      </c>
      <c r="M250">
        <f t="shared" si="18"/>
        <v>0</v>
      </c>
      <c r="N250">
        <f t="shared" si="19"/>
        <v>0</v>
      </c>
    </row>
    <row r="251" spans="1:14" ht="12" customHeight="1">
      <c r="A251" s="69"/>
      <c r="B251" s="946"/>
      <c r="C251" s="955"/>
      <c r="D251" s="956"/>
      <c r="E251" s="957"/>
      <c r="F251" s="979"/>
      <c r="G251" s="977"/>
      <c r="H251" s="978"/>
      <c r="J251" s="53"/>
      <c r="K251">
        <f t="shared" si="16"/>
        <v>0</v>
      </c>
      <c r="L251">
        <f t="shared" si="17"/>
        <v>0</v>
      </c>
      <c r="M251">
        <f t="shared" si="18"/>
        <v>0</v>
      </c>
      <c r="N251">
        <f t="shared" si="19"/>
        <v>0</v>
      </c>
    </row>
    <row r="252" spans="1:14" ht="12.95" customHeight="1">
      <c r="A252" s="164"/>
      <c r="B252" s="57" t="s">
        <v>790</v>
      </c>
      <c r="C252" s="58">
        <v>0.10227103244030489</v>
      </c>
      <c r="D252" s="59">
        <f>C252*30</f>
        <v>3.0681309732091466</v>
      </c>
      <c r="E252" s="60"/>
      <c r="F252" s="959" t="s">
        <v>791</v>
      </c>
      <c r="G252" s="960"/>
      <c r="H252" s="961"/>
      <c r="J252" s="53"/>
      <c r="K252">
        <f t="shared" si="16"/>
        <v>0</v>
      </c>
      <c r="L252">
        <f t="shared" si="17"/>
        <v>0</v>
      </c>
      <c r="M252">
        <f t="shared" si="18"/>
        <v>0</v>
      </c>
      <c r="N252">
        <f t="shared" si="19"/>
        <v>0</v>
      </c>
    </row>
    <row r="253" spans="1:14" ht="12.95" customHeight="1">
      <c r="A253" s="65"/>
      <c r="B253" s="57" t="s">
        <v>792</v>
      </c>
      <c r="C253" s="58">
        <v>0.10803613623438835</v>
      </c>
      <c r="D253" s="59">
        <f>C253*30</f>
        <v>3.2410840870316502</v>
      </c>
      <c r="E253" s="60"/>
      <c r="F253" s="959" t="s">
        <v>791</v>
      </c>
      <c r="G253" s="960"/>
      <c r="H253" s="961"/>
      <c r="J253" s="53"/>
      <c r="K253">
        <f t="shared" si="16"/>
        <v>0</v>
      </c>
      <c r="L253">
        <f t="shared" si="17"/>
        <v>0</v>
      </c>
      <c r="M253">
        <f t="shared" si="18"/>
        <v>0</v>
      </c>
      <c r="N253">
        <f t="shared" si="19"/>
        <v>0</v>
      </c>
    </row>
    <row r="254" spans="1:14" ht="12.95" customHeight="1">
      <c r="A254" s="65"/>
      <c r="B254" s="57" t="s">
        <v>793</v>
      </c>
      <c r="C254" s="58">
        <v>0.11783254772084634</v>
      </c>
      <c r="D254" s="59">
        <f>C254*30</f>
        <v>3.53497643162539</v>
      </c>
      <c r="E254" s="60"/>
      <c r="F254" s="959" t="s">
        <v>791</v>
      </c>
      <c r="G254" s="960"/>
      <c r="H254" s="961"/>
      <c r="J254" s="53"/>
      <c r="K254">
        <f t="shared" si="16"/>
        <v>0</v>
      </c>
      <c r="L254">
        <f t="shared" si="17"/>
        <v>0</v>
      </c>
      <c r="M254">
        <f t="shared" si="18"/>
        <v>0</v>
      </c>
      <c r="N254">
        <f t="shared" si="19"/>
        <v>0</v>
      </c>
    </row>
    <row r="255" spans="1:14" ht="12.95" customHeight="1">
      <c r="A255" s="65"/>
      <c r="B255" s="111" t="s">
        <v>794</v>
      </c>
      <c r="C255" s="58">
        <v>0.13756402956209607</v>
      </c>
      <c r="D255" s="59">
        <f>C255*30</f>
        <v>4.1269208868628819</v>
      </c>
      <c r="E255" s="60"/>
      <c r="F255" s="959" t="s">
        <v>791</v>
      </c>
      <c r="G255" s="960"/>
      <c r="H255" s="961"/>
      <c r="J255" s="53"/>
      <c r="K255">
        <f t="shared" si="16"/>
        <v>0</v>
      </c>
      <c r="L255">
        <f t="shared" si="17"/>
        <v>0</v>
      </c>
      <c r="M255">
        <f t="shared" si="18"/>
        <v>0</v>
      </c>
      <c r="N255">
        <f t="shared" si="19"/>
        <v>0</v>
      </c>
    </row>
    <row r="256" spans="1:14" ht="12.95" customHeight="1">
      <c r="A256" s="65"/>
      <c r="B256" s="244"/>
      <c r="C256" s="169"/>
      <c r="D256" s="238"/>
      <c r="E256" s="60"/>
      <c r="F256" s="149"/>
      <c r="G256" s="150"/>
      <c r="H256" s="165"/>
      <c r="I256" s="166"/>
      <c r="J256" s="53"/>
      <c r="K256">
        <f t="shared" si="16"/>
        <v>0</v>
      </c>
      <c r="L256">
        <f t="shared" si="17"/>
        <v>0</v>
      </c>
      <c r="M256">
        <f t="shared" si="18"/>
        <v>0</v>
      </c>
      <c r="N256">
        <f t="shared" si="19"/>
        <v>0</v>
      </c>
    </row>
    <row r="257" spans="1:14" ht="12.95" customHeight="1">
      <c r="A257" s="62"/>
      <c r="B257" s="245"/>
      <c r="C257" s="236"/>
      <c r="D257" s="237"/>
      <c r="E257" s="60"/>
      <c r="F257" s="149"/>
      <c r="G257" s="150"/>
      <c r="H257" s="165"/>
      <c r="I257" s="166"/>
      <c r="J257" s="53"/>
      <c r="K257">
        <f t="shared" si="16"/>
        <v>0</v>
      </c>
      <c r="L257">
        <f t="shared" si="17"/>
        <v>0</v>
      </c>
      <c r="M257">
        <f t="shared" si="18"/>
        <v>0</v>
      </c>
      <c r="N257">
        <f t="shared" si="19"/>
        <v>0</v>
      </c>
    </row>
    <row r="258" spans="1:14" ht="12" customHeight="1">
      <c r="A258" s="90"/>
      <c r="B258" s="949" t="s">
        <v>795</v>
      </c>
      <c r="C258" s="955"/>
      <c r="D258" s="956"/>
      <c r="E258" s="957"/>
      <c r="F258" s="973"/>
      <c r="G258" s="974"/>
      <c r="H258" s="975"/>
      <c r="J258" s="53"/>
      <c r="K258">
        <f t="shared" si="16"/>
        <v>0</v>
      </c>
      <c r="L258">
        <f t="shared" si="17"/>
        <v>0</v>
      </c>
      <c r="M258">
        <f t="shared" si="18"/>
        <v>0</v>
      </c>
      <c r="N258">
        <f t="shared" si="19"/>
        <v>0</v>
      </c>
    </row>
    <row r="259" spans="1:14" ht="12" customHeight="1">
      <c r="A259" s="87"/>
      <c r="B259" s="946"/>
      <c r="C259" s="955"/>
      <c r="D259" s="956"/>
      <c r="E259" s="957"/>
      <c r="F259" s="976"/>
      <c r="G259" s="974"/>
      <c r="H259" s="975"/>
      <c r="J259" s="53"/>
      <c r="K259">
        <f t="shared" si="16"/>
        <v>0</v>
      </c>
      <c r="L259">
        <f t="shared" si="17"/>
        <v>0</v>
      </c>
      <c r="M259">
        <f t="shared" si="18"/>
        <v>0</v>
      </c>
      <c r="N259">
        <f t="shared" si="19"/>
        <v>0</v>
      </c>
    </row>
    <row r="260" spans="1:14" ht="12.95" customHeight="1">
      <c r="A260" s="62"/>
      <c r="B260" s="111" t="s">
        <v>550</v>
      </c>
      <c r="C260" s="58">
        <v>0.32113572879967522</v>
      </c>
      <c r="D260" s="59">
        <f>C260*30</f>
        <v>9.6340718639902576</v>
      </c>
      <c r="E260" s="60"/>
      <c r="F260" s="959" t="s">
        <v>796</v>
      </c>
      <c r="G260" s="960"/>
      <c r="H260" s="961"/>
      <c r="J260" s="53"/>
      <c r="K260">
        <f t="shared" ref="K260:K323" si="22">IF(M260&gt;0,1,0)</f>
        <v>0</v>
      </c>
      <c r="L260">
        <f t="shared" ref="L260:L323" si="23">IF(couleur(B260)=2,L261,IF(couleur(B261)=2,0,J260+L261))</f>
        <v>0</v>
      </c>
      <c r="M260">
        <f t="shared" ref="M260:M323" si="24">IF(couleur(B260)=2,L260,J260)</f>
        <v>0</v>
      </c>
      <c r="N260">
        <f t="shared" ref="N260:N323" si="25">IF(ISNUMBER(C260),J260*C260,0)</f>
        <v>0</v>
      </c>
    </row>
    <row r="261" spans="1:14" ht="12.95" customHeight="1">
      <c r="A261" s="62"/>
      <c r="B261" s="111" t="s">
        <v>797</v>
      </c>
      <c r="C261" s="58">
        <v>0.45453261419394131</v>
      </c>
      <c r="D261" s="59">
        <f>C261*30</f>
        <v>13.635978425818239</v>
      </c>
      <c r="E261" s="60"/>
      <c r="F261" s="959" t="s">
        <v>791</v>
      </c>
      <c r="G261" s="960"/>
      <c r="H261" s="961"/>
      <c r="J261" s="53"/>
      <c r="K261">
        <f t="shared" si="22"/>
        <v>0</v>
      </c>
      <c r="L261">
        <f t="shared" si="23"/>
        <v>0</v>
      </c>
      <c r="M261">
        <f t="shared" si="24"/>
        <v>0</v>
      </c>
      <c r="N261">
        <f t="shared" si="25"/>
        <v>0</v>
      </c>
    </row>
    <row r="262" spans="1:14" ht="12.95" customHeight="1">
      <c r="A262" s="62"/>
      <c r="B262" s="245"/>
      <c r="C262" s="236"/>
      <c r="D262" s="237"/>
      <c r="E262" s="60"/>
      <c r="F262" s="149"/>
      <c r="G262" s="150"/>
      <c r="H262" s="165"/>
      <c r="I262" s="166"/>
      <c r="J262" s="53"/>
      <c r="K262">
        <f t="shared" si="22"/>
        <v>0</v>
      </c>
      <c r="L262">
        <f t="shared" si="23"/>
        <v>0</v>
      </c>
      <c r="M262">
        <f t="shared" si="24"/>
        <v>0</v>
      </c>
      <c r="N262">
        <f t="shared" si="25"/>
        <v>0</v>
      </c>
    </row>
    <row r="263" spans="1:14" ht="12" customHeight="1">
      <c r="A263" s="90"/>
      <c r="B263" s="949" t="s">
        <v>798</v>
      </c>
      <c r="C263" s="955"/>
      <c r="D263" s="956"/>
      <c r="E263" s="957"/>
      <c r="F263" s="973"/>
      <c r="G263" s="1006"/>
      <c r="H263" s="1007"/>
      <c r="J263" s="53"/>
      <c r="K263">
        <f t="shared" si="22"/>
        <v>0</v>
      </c>
      <c r="L263">
        <f t="shared" si="23"/>
        <v>0</v>
      </c>
      <c r="M263">
        <f t="shared" si="24"/>
        <v>0</v>
      </c>
      <c r="N263">
        <f t="shared" si="25"/>
        <v>0</v>
      </c>
    </row>
    <row r="264" spans="1:14" ht="12" customHeight="1">
      <c r="A264" s="87"/>
      <c r="B264" s="946"/>
      <c r="C264" s="955"/>
      <c r="D264" s="956"/>
      <c r="E264" s="957"/>
      <c r="F264" s="1008"/>
      <c r="G264" s="1006"/>
      <c r="H264" s="1007"/>
      <c r="J264" s="53"/>
      <c r="K264">
        <f t="shared" si="22"/>
        <v>0</v>
      </c>
      <c r="L264">
        <f t="shared" si="23"/>
        <v>0</v>
      </c>
      <c r="M264">
        <f t="shared" si="24"/>
        <v>0</v>
      </c>
      <c r="N264">
        <f t="shared" si="25"/>
        <v>0</v>
      </c>
    </row>
    <row r="265" spans="1:14" ht="12.95" customHeight="1">
      <c r="A265" s="62"/>
      <c r="B265" s="57" t="s">
        <v>799</v>
      </c>
      <c r="C265" s="58">
        <v>8.0188991358460526E-2</v>
      </c>
      <c r="D265" s="59">
        <f>C265*30</f>
        <v>2.4056697407538157</v>
      </c>
      <c r="E265" s="60"/>
      <c r="F265" s="149"/>
      <c r="G265" s="150"/>
      <c r="H265" s="165"/>
      <c r="I265" s="166"/>
      <c r="J265" s="53"/>
      <c r="K265">
        <f t="shared" si="22"/>
        <v>0</v>
      </c>
      <c r="L265">
        <f t="shared" si="23"/>
        <v>0</v>
      </c>
      <c r="M265">
        <f t="shared" si="24"/>
        <v>0</v>
      </c>
      <c r="N265">
        <f t="shared" si="25"/>
        <v>0</v>
      </c>
    </row>
    <row r="266" spans="1:14" ht="12.95" customHeight="1">
      <c r="A266" s="62"/>
      <c r="B266" s="57" t="s">
        <v>800</v>
      </c>
      <c r="C266" s="58">
        <v>0.19823023817172969</v>
      </c>
      <c r="D266" s="59">
        <f>C266*30</f>
        <v>5.9469071451518909</v>
      </c>
      <c r="E266" s="60"/>
      <c r="F266" s="149"/>
      <c r="G266" s="150"/>
      <c r="H266" s="165"/>
      <c r="I266" s="166"/>
      <c r="J266" s="53"/>
      <c r="K266">
        <f t="shared" si="22"/>
        <v>0</v>
      </c>
      <c r="L266">
        <f t="shared" si="23"/>
        <v>0</v>
      </c>
      <c r="M266">
        <f t="shared" si="24"/>
        <v>0</v>
      </c>
      <c r="N266">
        <f t="shared" si="25"/>
        <v>0</v>
      </c>
    </row>
    <row r="267" spans="1:14" ht="12.95" customHeight="1">
      <c r="A267" s="62"/>
      <c r="B267" s="57" t="s">
        <v>801</v>
      </c>
      <c r="C267" s="58">
        <v>3.1768343772247853E-2</v>
      </c>
      <c r="D267" s="59">
        <f>C267*30</f>
        <v>0.9530503131674356</v>
      </c>
      <c r="E267" s="60"/>
      <c r="F267" s="149"/>
      <c r="G267" s="150"/>
      <c r="H267" s="165"/>
      <c r="I267" s="166"/>
      <c r="J267" s="53"/>
      <c r="K267">
        <f t="shared" si="22"/>
        <v>0</v>
      </c>
      <c r="L267">
        <f t="shared" si="23"/>
        <v>0</v>
      </c>
      <c r="M267">
        <f t="shared" si="24"/>
        <v>0</v>
      </c>
      <c r="N267">
        <f t="shared" si="25"/>
        <v>0</v>
      </c>
    </row>
    <row r="268" spans="1:14" ht="12.95" customHeight="1">
      <c r="A268" s="62"/>
      <c r="B268" s="57" t="s">
        <v>551</v>
      </c>
      <c r="C268" s="58">
        <v>5.6953582076969538E-2</v>
      </c>
      <c r="D268" s="59">
        <f>C268*30</f>
        <v>1.7086074623090861</v>
      </c>
      <c r="E268" s="60"/>
      <c r="F268" s="149"/>
      <c r="G268" s="150"/>
      <c r="H268" s="165"/>
      <c r="I268" s="166"/>
      <c r="J268" s="53"/>
      <c r="K268">
        <f t="shared" si="22"/>
        <v>0</v>
      </c>
      <c r="L268">
        <f t="shared" si="23"/>
        <v>0</v>
      </c>
      <c r="M268">
        <f t="shared" si="24"/>
        <v>0</v>
      </c>
      <c r="N268">
        <f t="shared" si="25"/>
        <v>0</v>
      </c>
    </row>
    <row r="269" spans="1:14" ht="12.95" customHeight="1">
      <c r="A269" s="62"/>
      <c r="B269" s="57" t="s">
        <v>802</v>
      </c>
      <c r="C269" s="58">
        <v>0.17037711333705782</v>
      </c>
      <c r="D269" s="59">
        <f>C269*30</f>
        <v>5.1113134001117349</v>
      </c>
      <c r="E269" s="60"/>
      <c r="F269" s="149"/>
      <c r="G269" s="150"/>
      <c r="H269" s="151"/>
      <c r="I269" s="152"/>
      <c r="J269" s="53"/>
      <c r="K269">
        <f t="shared" si="22"/>
        <v>0</v>
      </c>
      <c r="L269">
        <f t="shared" si="23"/>
        <v>0</v>
      </c>
      <c r="M269">
        <f t="shared" si="24"/>
        <v>0</v>
      </c>
      <c r="N269">
        <f t="shared" si="25"/>
        <v>0</v>
      </c>
    </row>
    <row r="270" spans="1:14" ht="12.95" customHeight="1">
      <c r="A270" s="62"/>
      <c r="B270" s="63"/>
      <c r="C270" s="236"/>
      <c r="D270" s="237"/>
      <c r="E270" s="60"/>
      <c r="F270" s="149"/>
      <c r="G270" s="150"/>
      <c r="H270" s="165"/>
      <c r="I270" s="166"/>
      <c r="J270" s="53"/>
      <c r="K270">
        <f t="shared" si="22"/>
        <v>0</v>
      </c>
      <c r="L270">
        <f t="shared" si="23"/>
        <v>0</v>
      </c>
      <c r="M270">
        <f t="shared" si="24"/>
        <v>0</v>
      </c>
      <c r="N270">
        <f t="shared" si="25"/>
        <v>0</v>
      </c>
    </row>
    <row r="271" spans="1:14" ht="12.95" customHeight="1">
      <c r="A271" s="62"/>
      <c r="B271" s="63"/>
      <c r="C271" s="246"/>
      <c r="D271" s="237"/>
      <c r="E271" s="60"/>
      <c r="F271" s="149"/>
      <c r="G271" s="150"/>
      <c r="H271" s="165"/>
      <c r="I271" s="166"/>
      <c r="J271" s="53"/>
      <c r="K271">
        <f t="shared" si="22"/>
        <v>0</v>
      </c>
      <c r="L271">
        <f t="shared" si="23"/>
        <v>0</v>
      </c>
      <c r="M271">
        <f t="shared" si="24"/>
        <v>0</v>
      </c>
      <c r="N271">
        <f t="shared" si="25"/>
        <v>0</v>
      </c>
    </row>
    <row r="272" spans="1:14" ht="12.95" customHeight="1">
      <c r="A272" s="62"/>
      <c r="B272" s="63"/>
      <c r="C272" s="246"/>
      <c r="D272" s="237"/>
      <c r="E272" s="60"/>
      <c r="F272" s="149"/>
      <c r="G272" s="150"/>
      <c r="H272" s="165"/>
      <c r="I272" s="166"/>
      <c r="J272" s="53"/>
      <c r="K272">
        <f t="shared" si="22"/>
        <v>0</v>
      </c>
      <c r="L272">
        <f t="shared" si="23"/>
        <v>0</v>
      </c>
      <c r="M272">
        <f t="shared" si="24"/>
        <v>0</v>
      </c>
      <c r="N272">
        <f t="shared" si="25"/>
        <v>0</v>
      </c>
    </row>
    <row r="273" spans="1:14" ht="12.95" customHeight="1">
      <c r="A273" s="62"/>
      <c r="B273" s="63"/>
      <c r="C273" s="246"/>
      <c r="D273" s="237"/>
      <c r="E273" s="60"/>
      <c r="F273" s="149"/>
      <c r="G273" s="150"/>
      <c r="H273" s="165"/>
      <c r="I273" s="166"/>
      <c r="J273" s="53"/>
      <c r="K273">
        <f t="shared" si="22"/>
        <v>0</v>
      </c>
      <c r="L273">
        <f t="shared" si="23"/>
        <v>0</v>
      </c>
      <c r="M273">
        <f t="shared" si="24"/>
        <v>0</v>
      </c>
      <c r="N273">
        <f t="shared" si="25"/>
        <v>0</v>
      </c>
    </row>
    <row r="274" spans="1:14" ht="12.95" customHeight="1">
      <c r="A274" s="62"/>
      <c r="B274" s="63"/>
      <c r="C274" s="246"/>
      <c r="D274" s="237"/>
      <c r="E274" s="60"/>
      <c r="F274" s="149"/>
      <c r="G274" s="150"/>
      <c r="H274" s="165"/>
      <c r="I274" s="166"/>
      <c r="J274" s="53"/>
      <c r="K274">
        <f t="shared" si="22"/>
        <v>0</v>
      </c>
      <c r="L274">
        <f t="shared" si="23"/>
        <v>0</v>
      </c>
      <c r="M274">
        <f t="shared" si="24"/>
        <v>0</v>
      </c>
      <c r="N274">
        <f t="shared" si="25"/>
        <v>0</v>
      </c>
    </row>
    <row r="275" spans="1:14" ht="12.95" customHeight="1">
      <c r="A275" s="62"/>
      <c r="B275" s="63"/>
      <c r="C275" s="246"/>
      <c r="D275" s="237"/>
      <c r="E275" s="60"/>
      <c r="F275" s="149"/>
      <c r="G275" s="150"/>
      <c r="H275" s="165"/>
      <c r="I275" s="166"/>
      <c r="J275" s="53"/>
      <c r="K275">
        <f t="shared" si="22"/>
        <v>0</v>
      </c>
      <c r="L275">
        <f t="shared" si="23"/>
        <v>0</v>
      </c>
      <c r="M275">
        <f t="shared" si="24"/>
        <v>0</v>
      </c>
      <c r="N275">
        <f t="shared" si="25"/>
        <v>0</v>
      </c>
    </row>
    <row r="276" spans="1:14" ht="12.95" customHeight="1">
      <c r="A276" s="62"/>
      <c r="B276" s="63"/>
      <c r="C276" s="246"/>
      <c r="D276" s="237"/>
      <c r="E276" s="60"/>
      <c r="F276" s="149"/>
      <c r="G276" s="150"/>
      <c r="H276" s="165"/>
      <c r="I276" s="166"/>
      <c r="J276" s="53"/>
      <c r="K276">
        <f t="shared" si="22"/>
        <v>0</v>
      </c>
      <c r="L276">
        <f t="shared" si="23"/>
        <v>0</v>
      </c>
      <c r="M276">
        <f t="shared" si="24"/>
        <v>0</v>
      </c>
      <c r="N276">
        <f t="shared" si="25"/>
        <v>0</v>
      </c>
    </row>
    <row r="277" spans="1:14" ht="12.95" customHeight="1">
      <c r="A277" s="62"/>
      <c r="B277" s="63"/>
      <c r="C277" s="246"/>
      <c r="D277" s="237"/>
      <c r="E277" s="60"/>
      <c r="F277" s="149"/>
      <c r="G277" s="150"/>
      <c r="H277" s="165"/>
      <c r="I277" s="166"/>
      <c r="J277" s="53"/>
      <c r="K277">
        <f t="shared" si="22"/>
        <v>0</v>
      </c>
      <c r="L277">
        <f t="shared" si="23"/>
        <v>0</v>
      </c>
      <c r="M277">
        <f t="shared" si="24"/>
        <v>0</v>
      </c>
      <c r="N277">
        <f t="shared" si="25"/>
        <v>0</v>
      </c>
    </row>
    <row r="278" spans="1:14" ht="12.95" customHeight="1">
      <c r="A278" s="62"/>
      <c r="B278" s="63"/>
      <c r="C278" s="246"/>
      <c r="D278" s="237"/>
      <c r="E278" s="60"/>
      <c r="F278" s="149"/>
      <c r="G278" s="150"/>
      <c r="H278" s="165"/>
      <c r="I278" s="166"/>
      <c r="J278" s="53"/>
      <c r="K278">
        <f t="shared" si="22"/>
        <v>0</v>
      </c>
      <c r="L278">
        <f t="shared" si="23"/>
        <v>0</v>
      </c>
      <c r="M278">
        <f t="shared" si="24"/>
        <v>0</v>
      </c>
      <c r="N278">
        <f t="shared" si="25"/>
        <v>0</v>
      </c>
    </row>
    <row r="279" spans="1:14" ht="12.95" customHeight="1">
      <c r="A279" s="62"/>
      <c r="B279" s="63"/>
      <c r="C279" s="246"/>
      <c r="D279" s="237"/>
      <c r="E279" s="60"/>
      <c r="F279" s="149"/>
      <c r="G279" s="150"/>
      <c r="H279" s="165"/>
      <c r="I279" s="166"/>
      <c r="J279" s="53"/>
      <c r="K279">
        <f t="shared" si="22"/>
        <v>0</v>
      </c>
      <c r="L279">
        <f t="shared" si="23"/>
        <v>0</v>
      </c>
      <c r="M279">
        <f t="shared" si="24"/>
        <v>0</v>
      </c>
      <c r="N279">
        <f t="shared" si="25"/>
        <v>0</v>
      </c>
    </row>
    <row r="280" spans="1:14" ht="12.95" customHeight="1">
      <c r="A280" s="62"/>
      <c r="B280" s="57"/>
      <c r="C280" s="66"/>
      <c r="D280" s="150"/>
      <c r="E280" s="60"/>
      <c r="F280" s="149"/>
      <c r="G280" s="150"/>
      <c r="H280" s="165"/>
      <c r="I280" s="166"/>
      <c r="J280" s="53"/>
      <c r="K280">
        <f t="shared" si="22"/>
        <v>0</v>
      </c>
      <c r="L280">
        <f t="shared" si="23"/>
        <v>0</v>
      </c>
      <c r="M280">
        <f t="shared" si="24"/>
        <v>0</v>
      </c>
      <c r="N280">
        <f t="shared" si="25"/>
        <v>0</v>
      </c>
    </row>
    <row r="281" spans="1:14" ht="12.95" customHeight="1" thickBot="1">
      <c r="A281" s="114"/>
      <c r="B281" s="115"/>
      <c r="C281" s="116"/>
      <c r="D281" s="117"/>
      <c r="E281" s="118"/>
      <c r="F281" s="174"/>
      <c r="G281" s="117"/>
      <c r="H281" s="175"/>
      <c r="I281" s="176"/>
      <c r="J281" s="53"/>
      <c r="K281">
        <f t="shared" si="22"/>
        <v>0</v>
      </c>
      <c r="L281">
        <f t="shared" si="23"/>
        <v>0</v>
      </c>
      <c r="M281">
        <f t="shared" si="24"/>
        <v>0</v>
      </c>
      <c r="N281">
        <f t="shared" si="25"/>
        <v>0</v>
      </c>
    </row>
    <row r="282" spans="1:14" ht="12" customHeight="1" thickTop="1">
      <c r="A282" s="888"/>
      <c r="B282" s="941" t="s">
        <v>635</v>
      </c>
      <c r="C282" s="942" t="s">
        <v>636</v>
      </c>
      <c r="D282" s="907"/>
      <c r="E282" s="943"/>
      <c r="F282" s="1028" t="s">
        <v>637</v>
      </c>
      <c r="G282" s="1029"/>
      <c r="H282" s="1030"/>
      <c r="J282" s="53"/>
      <c r="K282">
        <f t="shared" si="22"/>
        <v>0</v>
      </c>
      <c r="L282">
        <f t="shared" si="23"/>
        <v>0</v>
      </c>
      <c r="M282">
        <f t="shared" si="24"/>
        <v>0</v>
      </c>
      <c r="N282">
        <f t="shared" si="25"/>
        <v>0</v>
      </c>
    </row>
    <row r="283" spans="1:14" ht="12" customHeight="1" thickBot="1">
      <c r="A283" s="889"/>
      <c r="B283" s="903"/>
      <c r="C283" s="900"/>
      <c r="D283" s="901"/>
      <c r="E283" s="902"/>
      <c r="F283" s="1031"/>
      <c r="G283" s="1031"/>
      <c r="H283" s="1032"/>
      <c r="J283" s="53"/>
      <c r="K283">
        <f t="shared" si="22"/>
        <v>0</v>
      </c>
      <c r="L283">
        <f t="shared" si="23"/>
        <v>0</v>
      </c>
      <c r="M283">
        <f t="shared" si="24"/>
        <v>0</v>
      </c>
      <c r="N283">
        <f t="shared" si="25"/>
        <v>0</v>
      </c>
    </row>
    <row r="284" spans="1:14" ht="12" customHeight="1" thickBot="1">
      <c r="A284" s="890"/>
      <c r="B284" s="904"/>
      <c r="C284" s="44" t="s">
        <v>639</v>
      </c>
      <c r="D284" s="45" t="s">
        <v>640</v>
      </c>
      <c r="E284" s="126"/>
      <c r="F284" s="1033"/>
      <c r="G284" s="1033"/>
      <c r="H284" s="1034"/>
      <c r="J284" s="53"/>
      <c r="K284">
        <f t="shared" si="22"/>
        <v>0</v>
      </c>
      <c r="L284">
        <f t="shared" si="23"/>
        <v>0</v>
      </c>
      <c r="M284">
        <f t="shared" si="24"/>
        <v>0</v>
      </c>
      <c r="N284">
        <f t="shared" si="25"/>
        <v>0</v>
      </c>
    </row>
    <row r="285" spans="1:14" ht="12" customHeight="1" thickTop="1">
      <c r="A285" s="51"/>
      <c r="B285" s="950" t="s">
        <v>803</v>
      </c>
      <c r="C285" s="947"/>
      <c r="D285" s="1015"/>
      <c r="E285" s="998"/>
      <c r="F285" s="1000"/>
      <c r="G285" s="1001"/>
      <c r="H285" s="1002"/>
      <c r="J285" s="53"/>
      <c r="K285">
        <f t="shared" si="22"/>
        <v>0</v>
      </c>
      <c r="L285">
        <f t="shared" si="23"/>
        <v>0</v>
      </c>
      <c r="M285">
        <f t="shared" si="24"/>
        <v>0</v>
      </c>
      <c r="N285">
        <f t="shared" si="25"/>
        <v>0</v>
      </c>
    </row>
    <row r="286" spans="1:14" ht="12" customHeight="1">
      <c r="A286" s="51"/>
      <c r="B286" s="946"/>
      <c r="C286" s="1014"/>
      <c r="D286" s="1016"/>
      <c r="E286" s="999"/>
      <c r="F286" s="1003"/>
      <c r="G286" s="1004"/>
      <c r="H286" s="1005"/>
      <c r="J286" s="53"/>
      <c r="K286">
        <f t="shared" si="22"/>
        <v>0</v>
      </c>
      <c r="L286">
        <f t="shared" si="23"/>
        <v>0</v>
      </c>
      <c r="M286">
        <f t="shared" si="24"/>
        <v>0</v>
      </c>
      <c r="N286">
        <f t="shared" si="25"/>
        <v>0</v>
      </c>
    </row>
    <row r="287" spans="1:14" ht="12.95" customHeight="1">
      <c r="A287" s="184"/>
      <c r="B287" s="57" t="s">
        <v>804</v>
      </c>
      <c r="C287" s="58">
        <v>5.2942507233322479E-2</v>
      </c>
      <c r="D287" s="59">
        <f t="shared" ref="D287:D307" si="26">C287*30</f>
        <v>1.5882752169996743</v>
      </c>
      <c r="E287" s="185"/>
      <c r="F287" s="186"/>
      <c r="G287" s="59"/>
      <c r="H287" s="161"/>
      <c r="I287" s="162"/>
      <c r="J287" s="53"/>
      <c r="K287">
        <f t="shared" si="22"/>
        <v>0</v>
      </c>
      <c r="L287">
        <f t="shared" si="23"/>
        <v>0</v>
      </c>
      <c r="M287">
        <f t="shared" si="24"/>
        <v>0</v>
      </c>
      <c r="N287">
        <f t="shared" si="25"/>
        <v>0</v>
      </c>
    </row>
    <row r="288" spans="1:14" ht="12.95" customHeight="1">
      <c r="A288" s="184"/>
      <c r="B288" s="57" t="s">
        <v>552</v>
      </c>
      <c r="C288" s="58">
        <v>5.0476808460097757E-2</v>
      </c>
      <c r="D288" s="59">
        <f t="shared" si="26"/>
        <v>1.5143042538029328</v>
      </c>
      <c r="E288" s="185"/>
      <c r="F288" s="186"/>
      <c r="G288" s="59"/>
      <c r="H288" s="151"/>
      <c r="I288" s="152"/>
      <c r="J288" s="53"/>
      <c r="K288">
        <f t="shared" si="22"/>
        <v>0</v>
      </c>
      <c r="L288">
        <f t="shared" si="23"/>
        <v>0</v>
      </c>
      <c r="M288">
        <f t="shared" si="24"/>
        <v>0</v>
      </c>
      <c r="N288">
        <f t="shared" si="25"/>
        <v>0</v>
      </c>
    </row>
    <row r="289" spans="1:14" ht="12.95" customHeight="1">
      <c r="A289" s="56"/>
      <c r="B289" s="57" t="s">
        <v>805</v>
      </c>
      <c r="C289" s="58">
        <v>5.4849156620096706E-2</v>
      </c>
      <c r="D289" s="59">
        <f t="shared" si="26"/>
        <v>1.6454746986029012</v>
      </c>
      <c r="E289" s="60"/>
      <c r="F289" s="149"/>
      <c r="G289" s="150"/>
      <c r="H289" s="151"/>
      <c r="I289" s="152"/>
      <c r="J289" s="53"/>
      <c r="K289">
        <f t="shared" si="22"/>
        <v>0</v>
      </c>
      <c r="L289">
        <f t="shared" si="23"/>
        <v>0</v>
      </c>
      <c r="M289">
        <f t="shared" si="24"/>
        <v>0</v>
      </c>
      <c r="N289">
        <f t="shared" si="25"/>
        <v>0</v>
      </c>
    </row>
    <row r="290" spans="1:14" ht="12.95" customHeight="1">
      <c r="A290" s="56"/>
      <c r="B290" s="57" t="s">
        <v>806</v>
      </c>
      <c r="C290" s="58">
        <v>5.568043596983363E-2</v>
      </c>
      <c r="D290" s="59">
        <f t="shared" si="26"/>
        <v>1.6704130790950089</v>
      </c>
      <c r="E290" s="60"/>
      <c r="F290" s="149"/>
      <c r="G290" s="150"/>
      <c r="H290" s="151"/>
      <c r="I290" s="152"/>
      <c r="J290" s="53"/>
      <c r="K290">
        <f t="shared" si="22"/>
        <v>0</v>
      </c>
      <c r="L290">
        <f t="shared" si="23"/>
        <v>0</v>
      </c>
      <c r="M290">
        <f t="shared" si="24"/>
        <v>0</v>
      </c>
      <c r="N290">
        <f t="shared" si="25"/>
        <v>0</v>
      </c>
    </row>
    <row r="291" spans="1:14" ht="12.95" customHeight="1">
      <c r="A291" s="62"/>
      <c r="B291" s="57" t="s">
        <v>807</v>
      </c>
      <c r="C291" s="58">
        <v>5.967492973608432E-2</v>
      </c>
      <c r="D291" s="59">
        <f t="shared" si="26"/>
        <v>1.7902478920825295</v>
      </c>
      <c r="E291" s="60"/>
      <c r="F291" s="149"/>
      <c r="G291" s="150"/>
      <c r="H291" s="151"/>
      <c r="I291" s="152"/>
      <c r="J291" s="53"/>
      <c r="K291">
        <f t="shared" si="22"/>
        <v>0</v>
      </c>
      <c r="L291">
        <f t="shared" si="23"/>
        <v>0</v>
      </c>
      <c r="M291">
        <f t="shared" si="24"/>
        <v>0</v>
      </c>
      <c r="N291">
        <f t="shared" si="25"/>
        <v>0</v>
      </c>
    </row>
    <row r="292" spans="1:14" ht="12.95" customHeight="1">
      <c r="A292" s="65"/>
      <c r="B292" s="57" t="s">
        <v>808</v>
      </c>
      <c r="C292" s="58">
        <v>5.9598208084074525E-2</v>
      </c>
      <c r="D292" s="59">
        <f t="shared" si="26"/>
        <v>1.7879462425222357</v>
      </c>
      <c r="E292" s="60"/>
      <c r="F292" s="149"/>
      <c r="G292" s="150"/>
      <c r="H292" s="151"/>
      <c r="I292" s="152"/>
      <c r="J292" s="53"/>
      <c r="K292">
        <f t="shared" si="22"/>
        <v>0</v>
      </c>
      <c r="L292">
        <f t="shared" si="23"/>
        <v>0</v>
      </c>
      <c r="M292">
        <f t="shared" si="24"/>
        <v>0</v>
      </c>
      <c r="N292">
        <f t="shared" si="25"/>
        <v>0</v>
      </c>
    </row>
    <row r="293" spans="1:14" ht="12.95" customHeight="1">
      <c r="A293" s="70"/>
      <c r="B293" s="57" t="s">
        <v>809</v>
      </c>
      <c r="C293" s="58">
        <v>0.11222972739185</v>
      </c>
      <c r="D293" s="59">
        <f t="shared" si="26"/>
        <v>3.3668918217554999</v>
      </c>
      <c r="E293" s="60"/>
      <c r="F293" s="149"/>
      <c r="G293" s="150"/>
      <c r="H293" s="151"/>
      <c r="I293" s="152"/>
      <c r="J293" s="53"/>
      <c r="K293">
        <f t="shared" si="22"/>
        <v>0</v>
      </c>
      <c r="L293">
        <f t="shared" si="23"/>
        <v>0</v>
      </c>
      <c r="M293">
        <f t="shared" si="24"/>
        <v>0</v>
      </c>
      <c r="N293">
        <f t="shared" si="25"/>
        <v>0</v>
      </c>
    </row>
    <row r="294" spans="1:14" ht="12.95" customHeight="1">
      <c r="A294" s="70"/>
      <c r="B294" s="57" t="s">
        <v>1</v>
      </c>
      <c r="C294" s="58">
        <v>5.6189627679416369E-2</v>
      </c>
      <c r="D294" s="59">
        <f t="shared" si="26"/>
        <v>1.6856888303824911</v>
      </c>
      <c r="E294" s="60"/>
      <c r="F294" s="149"/>
      <c r="G294" s="150"/>
      <c r="H294" s="151"/>
      <c r="I294" s="152"/>
      <c r="J294" s="53"/>
      <c r="K294">
        <f t="shared" si="22"/>
        <v>0</v>
      </c>
      <c r="L294">
        <f t="shared" si="23"/>
        <v>0</v>
      </c>
      <c r="M294">
        <f t="shared" si="24"/>
        <v>0</v>
      </c>
      <c r="N294">
        <f t="shared" si="25"/>
        <v>0</v>
      </c>
    </row>
    <row r="295" spans="1:14" ht="12.95" customHeight="1">
      <c r="A295" s="70"/>
      <c r="B295" s="57" t="s">
        <v>810</v>
      </c>
      <c r="C295" s="58">
        <v>9.0804077186580734E-2</v>
      </c>
      <c r="D295" s="59">
        <f t="shared" si="26"/>
        <v>2.7241223155974219</v>
      </c>
      <c r="E295" s="60"/>
      <c r="F295" s="149"/>
      <c r="G295" s="150"/>
      <c r="H295" s="151"/>
      <c r="I295" s="152"/>
      <c r="J295" s="53"/>
      <c r="K295">
        <f t="shared" si="22"/>
        <v>0</v>
      </c>
      <c r="L295">
        <f t="shared" si="23"/>
        <v>0</v>
      </c>
      <c r="M295">
        <f t="shared" si="24"/>
        <v>0</v>
      </c>
      <c r="N295">
        <f t="shared" si="25"/>
        <v>0</v>
      </c>
    </row>
    <row r="296" spans="1:14" ht="12.95" customHeight="1">
      <c r="A296" s="70"/>
      <c r="B296" s="57" t="s">
        <v>811</v>
      </c>
      <c r="C296" s="58">
        <v>0.14219458054585604</v>
      </c>
      <c r="D296" s="59">
        <f t="shared" si="26"/>
        <v>4.2658374163756809</v>
      </c>
      <c r="E296" s="60"/>
      <c r="F296" s="149"/>
      <c r="G296" s="150"/>
      <c r="H296" s="151"/>
      <c r="I296" s="152"/>
      <c r="J296" s="53"/>
      <c r="K296">
        <f t="shared" si="22"/>
        <v>0</v>
      </c>
      <c r="L296">
        <f t="shared" si="23"/>
        <v>0</v>
      </c>
      <c r="M296">
        <f t="shared" si="24"/>
        <v>0</v>
      </c>
      <c r="N296">
        <f t="shared" si="25"/>
        <v>0</v>
      </c>
    </row>
    <row r="297" spans="1:14" ht="12.95" customHeight="1">
      <c r="A297" s="70"/>
      <c r="B297" s="57" t="s">
        <v>812</v>
      </c>
      <c r="C297" s="58">
        <v>4.3349129617435075E-2</v>
      </c>
      <c r="D297" s="59">
        <f t="shared" si="26"/>
        <v>1.3004738885230522</v>
      </c>
      <c r="E297" s="60"/>
      <c r="F297" s="149"/>
      <c r="G297" s="150"/>
      <c r="H297" s="151"/>
      <c r="I297" s="152"/>
      <c r="J297" s="53"/>
      <c r="K297">
        <f t="shared" si="22"/>
        <v>0</v>
      </c>
      <c r="L297">
        <f t="shared" si="23"/>
        <v>0</v>
      </c>
      <c r="M297">
        <f t="shared" si="24"/>
        <v>0</v>
      </c>
      <c r="N297">
        <f t="shared" si="25"/>
        <v>0</v>
      </c>
    </row>
    <row r="298" spans="1:14" ht="12.95" customHeight="1">
      <c r="A298" s="70"/>
      <c r="B298" s="57" t="s">
        <v>813</v>
      </c>
      <c r="C298" s="58">
        <v>0.10235832486721304</v>
      </c>
      <c r="D298" s="59">
        <f t="shared" si="26"/>
        <v>3.0707497460163911</v>
      </c>
      <c r="E298" s="60"/>
      <c r="F298" s="149"/>
      <c r="G298" s="150"/>
      <c r="H298" s="151"/>
      <c r="I298" s="152"/>
      <c r="J298" s="53"/>
      <c r="K298">
        <f t="shared" si="22"/>
        <v>0</v>
      </c>
      <c r="L298">
        <f t="shared" si="23"/>
        <v>0</v>
      </c>
      <c r="M298">
        <f t="shared" si="24"/>
        <v>0</v>
      </c>
      <c r="N298">
        <f t="shared" si="25"/>
        <v>0</v>
      </c>
    </row>
    <row r="299" spans="1:14" ht="12.95" customHeight="1">
      <c r="A299" s="70"/>
      <c r="B299" s="57" t="s">
        <v>2</v>
      </c>
      <c r="C299" s="58">
        <v>0.12121654253229221</v>
      </c>
      <c r="D299" s="59">
        <f t="shared" si="26"/>
        <v>3.6364962759687662</v>
      </c>
      <c r="E299" s="60"/>
      <c r="F299" s="149"/>
      <c r="G299" s="150"/>
      <c r="H299" s="151"/>
      <c r="I299" s="152"/>
      <c r="J299" s="53"/>
      <c r="K299">
        <f t="shared" si="22"/>
        <v>0</v>
      </c>
      <c r="L299">
        <f t="shared" si="23"/>
        <v>0</v>
      </c>
      <c r="M299">
        <f t="shared" si="24"/>
        <v>0</v>
      </c>
      <c r="N299">
        <f t="shared" si="25"/>
        <v>0</v>
      </c>
    </row>
    <row r="300" spans="1:14" ht="12.95" customHeight="1">
      <c r="A300" s="70"/>
      <c r="B300" s="57" t="s">
        <v>3</v>
      </c>
      <c r="C300" s="58">
        <v>0.18110408646278137</v>
      </c>
      <c r="D300" s="59">
        <f t="shared" si="26"/>
        <v>5.4331225938834411</v>
      </c>
      <c r="E300" s="60"/>
      <c r="F300" s="149"/>
      <c r="G300" s="150"/>
      <c r="H300" s="151"/>
      <c r="I300" s="152"/>
      <c r="J300" s="53"/>
      <c r="K300">
        <f t="shared" si="22"/>
        <v>0</v>
      </c>
      <c r="L300">
        <f t="shared" si="23"/>
        <v>0</v>
      </c>
      <c r="M300">
        <f t="shared" si="24"/>
        <v>0</v>
      </c>
      <c r="N300">
        <f t="shared" si="25"/>
        <v>0</v>
      </c>
    </row>
    <row r="301" spans="1:14" ht="12.95" customHeight="1">
      <c r="A301" s="65"/>
      <c r="B301" s="57" t="s">
        <v>4</v>
      </c>
      <c r="C301" s="58">
        <v>3.2473487162679865E-2</v>
      </c>
      <c r="D301" s="59">
        <f t="shared" si="26"/>
        <v>0.974204614880396</v>
      </c>
      <c r="E301" s="60"/>
      <c r="F301" s="149"/>
      <c r="G301" s="150"/>
      <c r="H301" s="151"/>
      <c r="I301" s="152"/>
      <c r="J301" s="53"/>
      <c r="K301">
        <f t="shared" si="22"/>
        <v>0</v>
      </c>
      <c r="L301">
        <f t="shared" si="23"/>
        <v>0</v>
      </c>
      <c r="M301">
        <f t="shared" si="24"/>
        <v>0</v>
      </c>
      <c r="N301">
        <f t="shared" si="25"/>
        <v>0</v>
      </c>
    </row>
    <row r="302" spans="1:14" ht="12.95" customHeight="1">
      <c r="A302" s="70"/>
      <c r="B302" s="57" t="s">
        <v>814</v>
      </c>
      <c r="C302" s="58">
        <v>0.24769770675227559</v>
      </c>
      <c r="D302" s="59">
        <f t="shared" si="26"/>
        <v>7.4309312025682681</v>
      </c>
      <c r="E302" s="60"/>
      <c r="F302" s="149"/>
      <c r="G302" s="150"/>
      <c r="H302" s="151"/>
      <c r="I302" s="152"/>
      <c r="J302" s="53"/>
      <c r="K302">
        <f t="shared" si="22"/>
        <v>0</v>
      </c>
      <c r="L302">
        <f t="shared" si="23"/>
        <v>0</v>
      </c>
      <c r="M302">
        <f t="shared" si="24"/>
        <v>0</v>
      </c>
      <c r="N302">
        <f t="shared" si="25"/>
        <v>0</v>
      </c>
    </row>
    <row r="303" spans="1:14" ht="12.95" customHeight="1">
      <c r="A303" s="70"/>
      <c r="B303" s="57" t="s">
        <v>815</v>
      </c>
      <c r="C303" s="58">
        <v>0.26997130717021867</v>
      </c>
      <c r="D303" s="59">
        <f t="shared" si="26"/>
        <v>8.0991392151065593</v>
      </c>
      <c r="E303" s="60"/>
      <c r="F303" s="149"/>
      <c r="G303" s="150"/>
      <c r="H303" s="151"/>
      <c r="I303" s="152"/>
      <c r="J303" s="53"/>
      <c r="K303">
        <f t="shared" si="22"/>
        <v>0</v>
      </c>
      <c r="L303">
        <f t="shared" si="23"/>
        <v>0</v>
      </c>
      <c r="M303">
        <f t="shared" si="24"/>
        <v>0</v>
      </c>
      <c r="N303">
        <f t="shared" si="25"/>
        <v>0</v>
      </c>
    </row>
    <row r="304" spans="1:14" ht="12.95" customHeight="1">
      <c r="A304" s="70"/>
      <c r="B304" s="57" t="s">
        <v>816</v>
      </c>
      <c r="C304" s="58">
        <v>0.33765763093245965</v>
      </c>
      <c r="D304" s="59">
        <f t="shared" si="26"/>
        <v>10.12972892797379</v>
      </c>
      <c r="E304" s="60"/>
      <c r="F304" s="149"/>
      <c r="G304" s="150"/>
      <c r="H304" s="151"/>
      <c r="I304" s="152"/>
      <c r="J304" s="53"/>
      <c r="K304">
        <f t="shared" si="22"/>
        <v>0</v>
      </c>
      <c r="L304">
        <f t="shared" si="23"/>
        <v>0</v>
      </c>
      <c r="M304">
        <f t="shared" si="24"/>
        <v>0</v>
      </c>
      <c r="N304">
        <f t="shared" si="25"/>
        <v>0</v>
      </c>
    </row>
    <row r="305" spans="1:14" ht="12.95" customHeight="1">
      <c r="A305" s="70"/>
      <c r="B305" s="57" t="s">
        <v>817</v>
      </c>
      <c r="C305" s="58">
        <v>4.2154278927339632E-2</v>
      </c>
      <c r="D305" s="59">
        <f t="shared" si="26"/>
        <v>1.2646283678201891</v>
      </c>
      <c r="E305" s="248"/>
      <c r="F305" s="159"/>
      <c r="G305" s="160"/>
      <c r="H305" s="161"/>
      <c r="I305" s="162"/>
      <c r="J305" s="53"/>
      <c r="K305">
        <f t="shared" si="22"/>
        <v>0</v>
      </c>
      <c r="L305">
        <f t="shared" si="23"/>
        <v>0</v>
      </c>
      <c r="M305">
        <f t="shared" si="24"/>
        <v>0</v>
      </c>
      <c r="N305">
        <f t="shared" si="25"/>
        <v>0</v>
      </c>
    </row>
    <row r="306" spans="1:14" ht="12.95" customHeight="1">
      <c r="A306" s="65"/>
      <c r="B306" s="57" t="s">
        <v>5</v>
      </c>
      <c r="C306" s="58">
        <v>5.857995175316142E-2</v>
      </c>
      <c r="D306" s="59">
        <f t="shared" si="26"/>
        <v>1.7573985525948426</v>
      </c>
      <c r="E306" s="60"/>
      <c r="F306" s="149"/>
      <c r="G306" s="150"/>
      <c r="H306" s="161"/>
      <c r="I306" s="162"/>
      <c r="J306" s="53"/>
      <c r="K306">
        <f t="shared" si="22"/>
        <v>0</v>
      </c>
      <c r="L306">
        <f t="shared" si="23"/>
        <v>0</v>
      </c>
      <c r="M306">
        <f t="shared" si="24"/>
        <v>0</v>
      </c>
      <c r="N306">
        <f t="shared" si="25"/>
        <v>0</v>
      </c>
    </row>
    <row r="307" spans="1:14" ht="12.95" customHeight="1">
      <c r="A307" s="70"/>
      <c r="B307" s="57" t="s">
        <v>818</v>
      </c>
      <c r="C307" s="58">
        <v>6.69833253579801E-2</v>
      </c>
      <c r="D307" s="59">
        <f t="shared" si="26"/>
        <v>2.009499760739403</v>
      </c>
      <c r="E307" s="60"/>
      <c r="F307" s="149"/>
      <c r="G307" s="150"/>
      <c r="H307" s="161"/>
      <c r="I307" s="162"/>
      <c r="J307" s="53"/>
      <c r="K307">
        <f t="shared" si="22"/>
        <v>0</v>
      </c>
      <c r="L307">
        <f t="shared" si="23"/>
        <v>0</v>
      </c>
      <c r="M307">
        <f t="shared" si="24"/>
        <v>0</v>
      </c>
      <c r="N307">
        <f t="shared" si="25"/>
        <v>0</v>
      </c>
    </row>
    <row r="308" spans="1:14" ht="12.95" customHeight="1">
      <c r="A308" s="70"/>
      <c r="B308" s="57"/>
      <c r="C308" s="249"/>
      <c r="D308" s="187"/>
      <c r="E308" s="60"/>
      <c r="F308" s="149"/>
      <c r="G308" s="150"/>
      <c r="H308" s="161"/>
      <c r="I308" s="162"/>
      <c r="J308" s="53"/>
      <c r="K308">
        <f t="shared" si="22"/>
        <v>0</v>
      </c>
      <c r="L308">
        <f t="shared" si="23"/>
        <v>0</v>
      </c>
      <c r="M308">
        <f t="shared" si="24"/>
        <v>0</v>
      </c>
      <c r="N308">
        <f t="shared" si="25"/>
        <v>0</v>
      </c>
    </row>
    <row r="309" spans="1:14" ht="12.95" customHeight="1">
      <c r="A309" s="65"/>
      <c r="B309" s="57"/>
      <c r="C309" s="249"/>
      <c r="D309" s="187"/>
      <c r="E309" s="60"/>
      <c r="F309" s="149"/>
      <c r="G309" s="150"/>
      <c r="H309" s="151"/>
      <c r="I309" s="152"/>
      <c r="J309" s="53"/>
      <c r="K309">
        <f t="shared" si="22"/>
        <v>0</v>
      </c>
      <c r="L309">
        <f t="shared" si="23"/>
        <v>0</v>
      </c>
      <c r="M309">
        <f t="shared" si="24"/>
        <v>0</v>
      </c>
      <c r="N309">
        <f t="shared" si="25"/>
        <v>0</v>
      </c>
    </row>
    <row r="310" spans="1:14" ht="12" customHeight="1">
      <c r="A310" s="67"/>
      <c r="B310" s="949" t="s">
        <v>819</v>
      </c>
      <c r="C310" s="955"/>
      <c r="D310" s="956"/>
      <c r="E310" s="957"/>
      <c r="F310" s="973"/>
      <c r="G310" s="1006"/>
      <c r="H310" s="1007"/>
      <c r="J310" s="53"/>
      <c r="K310">
        <f t="shared" si="22"/>
        <v>0</v>
      </c>
      <c r="L310">
        <f t="shared" si="23"/>
        <v>0</v>
      </c>
      <c r="M310">
        <f t="shared" si="24"/>
        <v>0</v>
      </c>
      <c r="N310">
        <f t="shared" si="25"/>
        <v>0</v>
      </c>
    </row>
    <row r="311" spans="1:14" ht="12" customHeight="1">
      <c r="A311" s="72"/>
      <c r="B311" s="946"/>
      <c r="C311" s="955"/>
      <c r="D311" s="956"/>
      <c r="E311" s="957"/>
      <c r="F311" s="1008"/>
      <c r="G311" s="1006"/>
      <c r="H311" s="1007"/>
      <c r="J311" s="53"/>
      <c r="K311">
        <f t="shared" si="22"/>
        <v>0</v>
      </c>
      <c r="L311">
        <f t="shared" si="23"/>
        <v>0</v>
      </c>
      <c r="M311">
        <f t="shared" si="24"/>
        <v>0</v>
      </c>
      <c r="N311">
        <f t="shared" si="25"/>
        <v>0</v>
      </c>
    </row>
    <row r="312" spans="1:14" ht="12.95" customHeight="1">
      <c r="A312" s="70"/>
      <c r="B312" s="111" t="s">
        <v>820</v>
      </c>
      <c r="C312" s="944" t="s">
        <v>655</v>
      </c>
      <c r="D312" s="953"/>
      <c r="E312" s="60"/>
      <c r="F312" s="149"/>
      <c r="G312" s="150"/>
      <c r="H312" s="151"/>
      <c r="I312" s="152"/>
      <c r="J312" s="53"/>
      <c r="K312">
        <f t="shared" si="22"/>
        <v>0</v>
      </c>
      <c r="L312">
        <f t="shared" si="23"/>
        <v>0</v>
      </c>
      <c r="M312">
        <f t="shared" si="24"/>
        <v>0</v>
      </c>
      <c r="N312">
        <f t="shared" si="25"/>
        <v>0</v>
      </c>
    </row>
    <row r="313" spans="1:14" ht="12.95" customHeight="1">
      <c r="A313" s="164"/>
      <c r="B313" s="111" t="s">
        <v>821</v>
      </c>
      <c r="C313" s="944" t="s">
        <v>655</v>
      </c>
      <c r="D313" s="953"/>
      <c r="E313" s="60"/>
      <c r="F313" s="149"/>
      <c r="G313" s="150"/>
      <c r="H313" s="151"/>
      <c r="I313" s="152"/>
      <c r="J313" s="53"/>
      <c r="K313">
        <f t="shared" si="22"/>
        <v>0</v>
      </c>
      <c r="L313">
        <f t="shared" si="23"/>
        <v>0</v>
      </c>
      <c r="M313">
        <f t="shared" si="24"/>
        <v>0</v>
      </c>
      <c r="N313">
        <f t="shared" si="25"/>
        <v>0</v>
      </c>
    </row>
    <row r="314" spans="1:14" ht="12.95" customHeight="1">
      <c r="A314" s="65"/>
      <c r="B314" s="111" t="s">
        <v>822</v>
      </c>
      <c r="C314" s="944" t="s">
        <v>655</v>
      </c>
      <c r="D314" s="953"/>
      <c r="E314" s="60"/>
      <c r="F314" s="149"/>
      <c r="G314" s="150"/>
      <c r="H314" s="165"/>
      <c r="I314" s="166"/>
      <c r="J314" s="53"/>
      <c r="K314">
        <f t="shared" si="22"/>
        <v>0</v>
      </c>
      <c r="L314">
        <f t="shared" si="23"/>
        <v>0</v>
      </c>
      <c r="M314">
        <f t="shared" si="24"/>
        <v>0</v>
      </c>
      <c r="N314">
        <f t="shared" si="25"/>
        <v>0</v>
      </c>
    </row>
    <row r="315" spans="1:14" ht="12.95" customHeight="1">
      <c r="A315" s="65"/>
      <c r="B315" s="111" t="s">
        <v>823</v>
      </c>
      <c r="C315" s="944" t="s">
        <v>655</v>
      </c>
      <c r="D315" s="953"/>
      <c r="E315" s="60"/>
      <c r="F315" s="149"/>
      <c r="G315" s="150"/>
      <c r="H315" s="165"/>
      <c r="I315" s="166"/>
      <c r="J315" s="53"/>
      <c r="K315">
        <f t="shared" si="22"/>
        <v>0</v>
      </c>
      <c r="L315">
        <f t="shared" si="23"/>
        <v>0</v>
      </c>
      <c r="M315">
        <f t="shared" si="24"/>
        <v>0</v>
      </c>
      <c r="N315">
        <f t="shared" si="25"/>
        <v>0</v>
      </c>
    </row>
    <row r="316" spans="1:14" ht="12.95" customHeight="1">
      <c r="A316" s="65"/>
      <c r="B316" s="111" t="s">
        <v>824</v>
      </c>
      <c r="C316" s="944" t="s">
        <v>655</v>
      </c>
      <c r="D316" s="953"/>
      <c r="E316" s="60"/>
      <c r="F316" s="149"/>
      <c r="G316" s="150"/>
      <c r="H316" s="165"/>
      <c r="I316" s="166"/>
      <c r="J316" s="53"/>
      <c r="K316">
        <f t="shared" si="22"/>
        <v>0</v>
      </c>
      <c r="L316">
        <f t="shared" si="23"/>
        <v>0</v>
      </c>
      <c r="M316">
        <f t="shared" si="24"/>
        <v>0</v>
      </c>
      <c r="N316">
        <f t="shared" si="25"/>
        <v>0</v>
      </c>
    </row>
    <row r="317" spans="1:14" ht="12.95" customHeight="1">
      <c r="A317" s="65"/>
      <c r="B317" s="111" t="s">
        <v>825</v>
      </c>
      <c r="C317" s="944" t="s">
        <v>655</v>
      </c>
      <c r="D317" s="953"/>
      <c r="E317" s="60"/>
      <c r="F317" s="149"/>
      <c r="G317" s="150"/>
      <c r="H317" s="165"/>
      <c r="I317" s="166"/>
      <c r="J317" s="53"/>
      <c r="K317">
        <f t="shared" si="22"/>
        <v>0</v>
      </c>
      <c r="L317">
        <f t="shared" si="23"/>
        <v>0</v>
      </c>
      <c r="M317">
        <f t="shared" si="24"/>
        <v>0</v>
      </c>
      <c r="N317">
        <f t="shared" si="25"/>
        <v>0</v>
      </c>
    </row>
    <row r="318" spans="1:14" ht="12.95" customHeight="1">
      <c r="A318" s="65"/>
      <c r="B318" s="111" t="s">
        <v>826</v>
      </c>
      <c r="C318" s="944" t="s">
        <v>655</v>
      </c>
      <c r="D318" s="953"/>
      <c r="E318" s="60"/>
      <c r="F318" s="149"/>
      <c r="G318" s="150"/>
      <c r="H318" s="165"/>
      <c r="I318" s="166"/>
      <c r="J318" s="53"/>
      <c r="K318">
        <f t="shared" si="22"/>
        <v>0</v>
      </c>
      <c r="L318">
        <f t="shared" si="23"/>
        <v>0</v>
      </c>
      <c r="M318">
        <f t="shared" si="24"/>
        <v>0</v>
      </c>
      <c r="N318">
        <f t="shared" si="25"/>
        <v>0</v>
      </c>
    </row>
    <row r="319" spans="1:14" ht="12.95" customHeight="1">
      <c r="A319" s="65"/>
      <c r="B319" s="111" t="s">
        <v>827</v>
      </c>
      <c r="C319" s="944" t="s">
        <v>655</v>
      </c>
      <c r="D319" s="953"/>
      <c r="E319" s="60"/>
      <c r="F319" s="149"/>
      <c r="G319" s="150"/>
      <c r="H319" s="165"/>
      <c r="I319" s="166"/>
      <c r="J319" s="53"/>
      <c r="K319">
        <f t="shared" si="22"/>
        <v>0</v>
      </c>
      <c r="L319">
        <f t="shared" si="23"/>
        <v>0</v>
      </c>
      <c r="M319">
        <f t="shared" si="24"/>
        <v>0</v>
      </c>
      <c r="N319">
        <f t="shared" si="25"/>
        <v>0</v>
      </c>
    </row>
    <row r="320" spans="1:14" ht="12.95" customHeight="1">
      <c r="A320" s="62"/>
      <c r="B320" s="244"/>
      <c r="C320" s="169"/>
      <c r="D320" s="238"/>
      <c r="E320" s="60"/>
      <c r="F320" s="149"/>
      <c r="G320" s="150"/>
      <c r="H320" s="165"/>
      <c r="I320" s="166"/>
      <c r="J320" s="53"/>
      <c r="K320">
        <f t="shared" si="22"/>
        <v>0</v>
      </c>
      <c r="L320">
        <f t="shared" si="23"/>
        <v>0</v>
      </c>
      <c r="M320">
        <f t="shared" si="24"/>
        <v>0</v>
      </c>
      <c r="N320">
        <f t="shared" si="25"/>
        <v>0</v>
      </c>
    </row>
    <row r="321" spans="1:14" ht="12.95" customHeight="1">
      <c r="A321" s="62"/>
      <c r="B321" s="245"/>
      <c r="C321" s="236"/>
      <c r="D321" s="237"/>
      <c r="E321" s="60"/>
      <c r="F321" s="149"/>
      <c r="G321" s="150"/>
      <c r="H321" s="165"/>
      <c r="I321" s="166"/>
      <c r="J321" s="53"/>
      <c r="K321">
        <f t="shared" si="22"/>
        <v>0</v>
      </c>
      <c r="L321">
        <f t="shared" si="23"/>
        <v>0</v>
      </c>
      <c r="M321">
        <f t="shared" si="24"/>
        <v>0</v>
      </c>
      <c r="N321">
        <f t="shared" si="25"/>
        <v>0</v>
      </c>
    </row>
    <row r="322" spans="1:14" ht="12" customHeight="1">
      <c r="A322" s="90"/>
      <c r="B322" s="949" t="s">
        <v>828</v>
      </c>
      <c r="C322" s="955"/>
      <c r="D322" s="956"/>
      <c r="E322" s="957"/>
      <c r="F322" s="973"/>
      <c r="G322" s="1006"/>
      <c r="H322" s="1007"/>
      <c r="J322" s="53"/>
      <c r="K322">
        <f t="shared" si="22"/>
        <v>0</v>
      </c>
      <c r="L322">
        <f t="shared" si="23"/>
        <v>0</v>
      </c>
      <c r="M322">
        <f t="shared" si="24"/>
        <v>0</v>
      </c>
      <c r="N322">
        <f t="shared" si="25"/>
        <v>0</v>
      </c>
    </row>
    <row r="323" spans="1:14" ht="12" customHeight="1">
      <c r="A323" s="87"/>
      <c r="B323" s="946"/>
      <c r="C323" s="955"/>
      <c r="D323" s="956"/>
      <c r="E323" s="957"/>
      <c r="F323" s="1008"/>
      <c r="G323" s="1006"/>
      <c r="H323" s="1007"/>
      <c r="J323" s="53"/>
      <c r="K323">
        <f t="shared" si="22"/>
        <v>0</v>
      </c>
      <c r="L323">
        <f t="shared" si="23"/>
        <v>0</v>
      </c>
      <c r="M323">
        <f t="shared" si="24"/>
        <v>0</v>
      </c>
      <c r="N323">
        <f t="shared" si="25"/>
        <v>0</v>
      </c>
    </row>
    <row r="324" spans="1:14" ht="12.95" customHeight="1">
      <c r="A324" s="62"/>
      <c r="B324" s="57" t="s">
        <v>829</v>
      </c>
      <c r="C324" s="944" t="s">
        <v>655</v>
      </c>
      <c r="D324" s="953"/>
      <c r="E324" s="60"/>
      <c r="F324" s="149"/>
      <c r="G324" s="150"/>
      <c r="H324" s="165"/>
      <c r="I324" s="166"/>
      <c r="J324" s="53"/>
      <c r="K324">
        <f t="shared" ref="K324:K387" si="27">IF(M324&gt;0,1,0)</f>
        <v>0</v>
      </c>
      <c r="L324">
        <f t="shared" ref="L324:L387" si="28">IF(couleur(B324)=2,L325,IF(couleur(B325)=2,0,J324+L325))</f>
        <v>0</v>
      </c>
      <c r="M324">
        <f t="shared" ref="M324:M387" si="29">IF(couleur(B324)=2,L324,J324)</f>
        <v>0</v>
      </c>
      <c r="N324">
        <f t="shared" ref="N324:N387" si="30">IF(ISNUMBER(C324),J324*C324,0)</f>
        <v>0</v>
      </c>
    </row>
    <row r="325" spans="1:14" ht="12.95" customHeight="1">
      <c r="A325" s="62"/>
      <c r="B325" s="57" t="s">
        <v>830</v>
      </c>
      <c r="C325" s="944" t="s">
        <v>655</v>
      </c>
      <c r="D325" s="953"/>
      <c r="E325" s="60"/>
      <c r="F325" s="149"/>
      <c r="G325" s="150"/>
      <c r="H325" s="151"/>
      <c r="I325" s="152"/>
      <c r="J325" s="53"/>
      <c r="K325">
        <f t="shared" si="27"/>
        <v>0</v>
      </c>
      <c r="L325">
        <f t="shared" si="28"/>
        <v>0</v>
      </c>
      <c r="M325">
        <f t="shared" si="29"/>
        <v>0</v>
      </c>
      <c r="N325">
        <f t="shared" si="30"/>
        <v>0</v>
      </c>
    </row>
    <row r="326" spans="1:14" ht="12.95" customHeight="1">
      <c r="A326" s="62"/>
      <c r="B326" s="57" t="s">
        <v>831</v>
      </c>
      <c r="C326" s="944" t="s">
        <v>655</v>
      </c>
      <c r="D326" s="953"/>
      <c r="E326" s="60"/>
      <c r="F326" s="149"/>
      <c r="G326" s="150"/>
      <c r="H326" s="165"/>
      <c r="I326" s="166"/>
      <c r="J326" s="53"/>
      <c r="K326">
        <f t="shared" si="27"/>
        <v>0</v>
      </c>
      <c r="L326">
        <f t="shared" si="28"/>
        <v>0</v>
      </c>
      <c r="M326">
        <f t="shared" si="29"/>
        <v>0</v>
      </c>
      <c r="N326">
        <f t="shared" si="30"/>
        <v>0</v>
      </c>
    </row>
    <row r="327" spans="1:14" ht="12.95" customHeight="1">
      <c r="A327" s="62"/>
      <c r="B327" s="57" t="s">
        <v>832</v>
      </c>
      <c r="C327" s="944" t="s">
        <v>655</v>
      </c>
      <c r="D327" s="953"/>
      <c r="E327" s="60"/>
      <c r="F327" s="149"/>
      <c r="G327" s="150"/>
      <c r="H327" s="165"/>
      <c r="I327" s="166"/>
      <c r="J327" s="53"/>
      <c r="K327">
        <f t="shared" si="27"/>
        <v>0</v>
      </c>
      <c r="L327">
        <f t="shared" si="28"/>
        <v>0</v>
      </c>
      <c r="M327">
        <f t="shared" si="29"/>
        <v>0</v>
      </c>
      <c r="N327">
        <f t="shared" si="30"/>
        <v>0</v>
      </c>
    </row>
    <row r="328" spans="1:14" ht="12.95" customHeight="1">
      <c r="A328" s="62"/>
      <c r="B328" s="57" t="s">
        <v>833</v>
      </c>
      <c r="C328" s="944" t="s">
        <v>655</v>
      </c>
      <c r="D328" s="953"/>
      <c r="E328" s="60"/>
      <c r="F328" s="149"/>
      <c r="G328" s="150"/>
      <c r="H328" s="165"/>
      <c r="I328" s="166"/>
      <c r="J328" s="53"/>
      <c r="K328">
        <f t="shared" si="27"/>
        <v>0</v>
      </c>
      <c r="L328">
        <f t="shared" si="28"/>
        <v>0</v>
      </c>
      <c r="M328">
        <f t="shared" si="29"/>
        <v>0</v>
      </c>
      <c r="N328">
        <f t="shared" si="30"/>
        <v>0</v>
      </c>
    </row>
    <row r="329" spans="1:14" ht="12.95" customHeight="1">
      <c r="A329" s="62"/>
      <c r="B329" s="57" t="s">
        <v>834</v>
      </c>
      <c r="C329" s="944" t="s">
        <v>655</v>
      </c>
      <c r="D329" s="953"/>
      <c r="E329" s="60"/>
      <c r="F329" s="149"/>
      <c r="G329" s="150"/>
      <c r="H329" s="165"/>
      <c r="I329" s="166"/>
      <c r="J329" s="53"/>
      <c r="K329">
        <f t="shared" si="27"/>
        <v>0</v>
      </c>
      <c r="L329">
        <f t="shared" si="28"/>
        <v>0</v>
      </c>
      <c r="M329">
        <f t="shared" si="29"/>
        <v>0</v>
      </c>
      <c r="N329">
        <f t="shared" si="30"/>
        <v>0</v>
      </c>
    </row>
    <row r="330" spans="1:14" ht="12.95" customHeight="1">
      <c r="A330" s="62"/>
      <c r="B330" s="57"/>
      <c r="C330" s="249"/>
      <c r="D330" s="187"/>
      <c r="E330" s="60"/>
      <c r="F330" s="149"/>
      <c r="G330" s="150"/>
      <c r="H330" s="165"/>
      <c r="I330" s="166"/>
      <c r="J330" s="53"/>
      <c r="K330">
        <f t="shared" si="27"/>
        <v>0</v>
      </c>
      <c r="L330">
        <f t="shared" si="28"/>
        <v>0</v>
      </c>
      <c r="M330">
        <f t="shared" si="29"/>
        <v>0</v>
      </c>
      <c r="N330">
        <f t="shared" si="30"/>
        <v>0</v>
      </c>
    </row>
    <row r="331" spans="1:14" ht="12.95" customHeight="1">
      <c r="A331" s="62"/>
      <c r="B331" s="57"/>
      <c r="C331" s="249"/>
      <c r="D331" s="187"/>
      <c r="E331" s="60"/>
      <c r="F331" s="149"/>
      <c r="G331" s="150"/>
      <c r="H331" s="165"/>
      <c r="I331" s="166"/>
      <c r="J331" s="53"/>
      <c r="K331">
        <f t="shared" si="27"/>
        <v>0</v>
      </c>
      <c r="L331">
        <f t="shared" si="28"/>
        <v>0</v>
      </c>
      <c r="M331">
        <f t="shared" si="29"/>
        <v>0</v>
      </c>
      <c r="N331">
        <f t="shared" si="30"/>
        <v>0</v>
      </c>
    </row>
    <row r="332" spans="1:14" ht="12.95" customHeight="1">
      <c r="A332" s="62"/>
      <c r="B332" s="111"/>
      <c r="C332" s="66"/>
      <c r="D332" s="59"/>
      <c r="E332" s="60"/>
      <c r="F332" s="149"/>
      <c r="G332" s="150"/>
      <c r="H332" s="165"/>
      <c r="I332" s="166"/>
      <c r="J332" s="53"/>
      <c r="K332">
        <f t="shared" si="27"/>
        <v>0</v>
      </c>
      <c r="L332">
        <f t="shared" si="28"/>
        <v>0</v>
      </c>
      <c r="M332">
        <f t="shared" si="29"/>
        <v>0</v>
      </c>
      <c r="N332">
        <f t="shared" si="30"/>
        <v>0</v>
      </c>
    </row>
    <row r="333" spans="1:14" ht="12.95" customHeight="1">
      <c r="A333" s="62"/>
      <c r="B333" s="111"/>
      <c r="C333" s="66"/>
      <c r="D333" s="59"/>
      <c r="E333" s="60"/>
      <c r="F333" s="149"/>
      <c r="G333" s="150"/>
      <c r="H333" s="165"/>
      <c r="I333" s="166"/>
      <c r="J333" s="53"/>
      <c r="K333">
        <f t="shared" si="27"/>
        <v>0</v>
      </c>
      <c r="L333">
        <f t="shared" si="28"/>
        <v>0</v>
      </c>
      <c r="M333">
        <f t="shared" si="29"/>
        <v>0</v>
      </c>
      <c r="N333">
        <f t="shared" si="30"/>
        <v>0</v>
      </c>
    </row>
    <row r="334" spans="1:14" ht="12.95" customHeight="1">
      <c r="A334" s="62"/>
      <c r="B334" s="111"/>
      <c r="C334" s="66"/>
      <c r="D334" s="59"/>
      <c r="E334" s="60"/>
      <c r="F334" s="149"/>
      <c r="G334" s="150"/>
      <c r="H334" s="165"/>
      <c r="I334" s="166"/>
      <c r="J334" s="53"/>
      <c r="K334">
        <f t="shared" si="27"/>
        <v>0</v>
      </c>
      <c r="L334">
        <f t="shared" si="28"/>
        <v>0</v>
      </c>
      <c r="M334">
        <f t="shared" si="29"/>
        <v>0</v>
      </c>
      <c r="N334">
        <f t="shared" si="30"/>
        <v>0</v>
      </c>
    </row>
    <row r="335" spans="1:14" ht="12.95" customHeight="1">
      <c r="A335" s="62"/>
      <c r="B335" s="111"/>
      <c r="C335" s="66"/>
      <c r="D335" s="59"/>
      <c r="E335" s="60"/>
      <c r="F335" s="149"/>
      <c r="G335" s="150"/>
      <c r="H335" s="165"/>
      <c r="I335" s="166"/>
      <c r="J335" s="53"/>
      <c r="K335">
        <f t="shared" si="27"/>
        <v>0</v>
      </c>
      <c r="L335">
        <f t="shared" si="28"/>
        <v>0</v>
      </c>
      <c r="M335">
        <f t="shared" si="29"/>
        <v>0</v>
      </c>
      <c r="N335">
        <f t="shared" si="30"/>
        <v>0</v>
      </c>
    </row>
    <row r="336" spans="1:14" ht="12.95" customHeight="1">
      <c r="A336" s="62"/>
      <c r="B336" s="111"/>
      <c r="C336" s="66"/>
      <c r="D336" s="150"/>
      <c r="E336" s="60"/>
      <c r="F336" s="149"/>
      <c r="G336" s="150"/>
      <c r="H336" s="165"/>
      <c r="I336" s="166"/>
      <c r="J336" s="53"/>
      <c r="K336">
        <f t="shared" si="27"/>
        <v>0</v>
      </c>
      <c r="L336">
        <f t="shared" si="28"/>
        <v>0</v>
      </c>
      <c r="M336">
        <f t="shared" si="29"/>
        <v>0</v>
      </c>
      <c r="N336">
        <f t="shared" si="30"/>
        <v>0</v>
      </c>
    </row>
    <row r="337" spans="1:14" ht="12.95" customHeight="1" thickBot="1">
      <c r="A337" s="114"/>
      <c r="B337" s="115"/>
      <c r="C337" s="116"/>
      <c r="D337" s="117"/>
      <c r="E337" s="118"/>
      <c r="F337" s="174"/>
      <c r="G337" s="117"/>
      <c r="H337" s="175"/>
      <c r="I337" s="176"/>
      <c r="J337" s="53"/>
      <c r="K337">
        <f t="shared" si="27"/>
        <v>0</v>
      </c>
      <c r="L337">
        <f t="shared" si="28"/>
        <v>0</v>
      </c>
      <c r="M337">
        <f t="shared" si="29"/>
        <v>0</v>
      </c>
      <c r="N337">
        <f t="shared" si="30"/>
        <v>0</v>
      </c>
    </row>
    <row r="338" spans="1:14" ht="12" customHeight="1" thickTop="1">
      <c r="A338" s="940"/>
      <c r="B338" s="941" t="s">
        <v>635</v>
      </c>
      <c r="C338" s="942" t="s">
        <v>427</v>
      </c>
      <c r="D338" s="907"/>
      <c r="E338" s="943"/>
      <c r="F338" s="906" t="s">
        <v>637</v>
      </c>
      <c r="G338" s="907"/>
      <c r="H338" s="908"/>
      <c r="J338" s="53"/>
      <c r="K338">
        <f t="shared" si="27"/>
        <v>0</v>
      </c>
      <c r="L338">
        <f t="shared" si="28"/>
        <v>0</v>
      </c>
      <c r="M338">
        <f t="shared" si="29"/>
        <v>0</v>
      </c>
      <c r="N338">
        <f t="shared" si="30"/>
        <v>0</v>
      </c>
    </row>
    <row r="339" spans="1:14" ht="12" customHeight="1" thickBot="1">
      <c r="A339" s="889"/>
      <c r="B339" s="903"/>
      <c r="C339" s="900"/>
      <c r="D339" s="901"/>
      <c r="E339" s="902"/>
      <c r="F339" s="1027"/>
      <c r="G339" s="1027"/>
      <c r="H339" s="877"/>
      <c r="J339" s="53"/>
      <c r="K339">
        <f t="shared" si="27"/>
        <v>0</v>
      </c>
      <c r="L339">
        <f t="shared" si="28"/>
        <v>0</v>
      </c>
      <c r="M339">
        <f t="shared" si="29"/>
        <v>0</v>
      </c>
      <c r="N339">
        <f t="shared" si="30"/>
        <v>0</v>
      </c>
    </row>
    <row r="340" spans="1:14" ht="12" customHeight="1" thickBot="1">
      <c r="A340" s="890"/>
      <c r="B340" s="904"/>
      <c r="C340" s="44" t="s">
        <v>639</v>
      </c>
      <c r="D340" s="45" t="s">
        <v>640</v>
      </c>
      <c r="E340" s="126" t="s">
        <v>835</v>
      </c>
      <c r="F340" s="878"/>
      <c r="G340" s="878"/>
      <c r="H340" s="879"/>
      <c r="J340" s="53"/>
      <c r="K340">
        <f t="shared" si="27"/>
        <v>0</v>
      </c>
      <c r="L340">
        <f t="shared" si="28"/>
        <v>0</v>
      </c>
      <c r="M340">
        <f t="shared" si="29"/>
        <v>0</v>
      </c>
      <c r="N340">
        <f t="shared" si="30"/>
        <v>0</v>
      </c>
    </row>
    <row r="341" spans="1:14" ht="12" customHeight="1" thickTop="1">
      <c r="A341" s="51"/>
      <c r="B341" s="950" t="s">
        <v>836</v>
      </c>
      <c r="C341" s="918" t="s">
        <v>837</v>
      </c>
      <c r="D341" s="919"/>
      <c r="E341" s="920"/>
      <c r="F341" s="1023" t="s">
        <v>428</v>
      </c>
      <c r="G341" s="985"/>
      <c r="H341" s="986"/>
      <c r="J341" s="53"/>
      <c r="K341">
        <f t="shared" si="27"/>
        <v>0</v>
      </c>
      <c r="L341">
        <f t="shared" si="28"/>
        <v>0</v>
      </c>
      <c r="M341">
        <f t="shared" si="29"/>
        <v>0</v>
      </c>
      <c r="N341">
        <f t="shared" si="30"/>
        <v>0</v>
      </c>
    </row>
    <row r="342" spans="1:14" ht="12" customHeight="1">
      <c r="A342" s="51"/>
      <c r="B342" s="949"/>
      <c r="C342" s="921"/>
      <c r="D342" s="922"/>
      <c r="E342" s="923"/>
      <c r="F342" s="1024"/>
      <c r="G342" s="1025"/>
      <c r="H342" s="1026"/>
      <c r="J342" s="53"/>
      <c r="K342">
        <f t="shared" si="27"/>
        <v>0</v>
      </c>
      <c r="L342">
        <f t="shared" si="28"/>
        <v>0</v>
      </c>
      <c r="M342">
        <f t="shared" si="29"/>
        <v>0</v>
      </c>
      <c r="N342">
        <f t="shared" si="30"/>
        <v>0</v>
      </c>
    </row>
    <row r="343" spans="1:14" ht="12.95" customHeight="1">
      <c r="A343" s="184"/>
      <c r="B343" s="111" t="s">
        <v>838</v>
      </c>
      <c r="C343" s="58">
        <v>4.1342008750172328</v>
      </c>
      <c r="D343" s="59">
        <f t="shared" ref="D343:D352" si="31">C343*30</f>
        <v>124.02602625051698</v>
      </c>
      <c r="E343" s="185">
        <f>D343/(2.4*2.8)</f>
        <v>18.456253906326932</v>
      </c>
      <c r="F343" s="250" t="s">
        <v>839</v>
      </c>
      <c r="G343" s="911" t="s">
        <v>840</v>
      </c>
      <c r="H343" s="912"/>
      <c r="J343" s="53"/>
      <c r="K343">
        <f t="shared" si="27"/>
        <v>0</v>
      </c>
      <c r="L343">
        <f t="shared" si="28"/>
        <v>0</v>
      </c>
      <c r="M343">
        <f t="shared" si="29"/>
        <v>0</v>
      </c>
      <c r="N343">
        <f t="shared" si="30"/>
        <v>0</v>
      </c>
    </row>
    <row r="344" spans="1:14" ht="12.95" customHeight="1">
      <c r="A344" s="184"/>
      <c r="B344" s="111" t="s">
        <v>841</v>
      </c>
      <c r="C344" s="58">
        <v>2.0797510314330676</v>
      </c>
      <c r="D344" s="59">
        <f t="shared" si="31"/>
        <v>62.392530942992025</v>
      </c>
      <c r="E344" s="185">
        <f>D344/(1.2*2.8)</f>
        <v>18.569205637795246</v>
      </c>
      <c r="F344" s="250" t="s">
        <v>839</v>
      </c>
      <c r="G344" s="59"/>
      <c r="H344" s="151"/>
      <c r="I344" s="152"/>
      <c r="J344" s="53"/>
      <c r="K344">
        <f t="shared" si="27"/>
        <v>0</v>
      </c>
      <c r="L344">
        <f t="shared" si="28"/>
        <v>0</v>
      </c>
      <c r="M344">
        <f t="shared" si="29"/>
        <v>0</v>
      </c>
      <c r="N344">
        <f t="shared" si="30"/>
        <v>0</v>
      </c>
    </row>
    <row r="345" spans="1:14" ht="12.95" customHeight="1">
      <c r="A345" s="184"/>
      <c r="B345" s="111" t="s">
        <v>842</v>
      </c>
      <c r="C345" s="58">
        <v>1.7070219541163842</v>
      </c>
      <c r="D345" s="59">
        <f t="shared" si="31"/>
        <v>51.210658623491526</v>
      </c>
      <c r="E345" s="185">
        <f>D345/(0.9*2.8)</f>
        <v>20.321689929956953</v>
      </c>
      <c r="F345" s="250" t="s">
        <v>839</v>
      </c>
      <c r="G345" s="59"/>
      <c r="H345" s="151"/>
      <c r="I345" s="152"/>
      <c r="J345" s="53"/>
      <c r="K345">
        <f t="shared" si="27"/>
        <v>0</v>
      </c>
      <c r="L345">
        <f t="shared" si="28"/>
        <v>0</v>
      </c>
      <c r="M345">
        <f t="shared" si="29"/>
        <v>0</v>
      </c>
      <c r="N345">
        <f t="shared" si="30"/>
        <v>0</v>
      </c>
    </row>
    <row r="346" spans="1:14" ht="12.95" customHeight="1">
      <c r="A346" s="56"/>
      <c r="B346" s="111" t="s">
        <v>843</v>
      </c>
      <c r="C346" s="58">
        <v>1.1223157020070422</v>
      </c>
      <c r="D346" s="59">
        <f t="shared" si="31"/>
        <v>33.669471060211265</v>
      </c>
      <c r="E346" s="185">
        <f>D346/(0.6*2.8)</f>
        <v>20.041351821554326</v>
      </c>
      <c r="F346" s="250" t="s">
        <v>839</v>
      </c>
      <c r="G346" s="59"/>
      <c r="H346" s="151"/>
      <c r="I346" s="152"/>
      <c r="J346" s="53"/>
      <c r="K346">
        <f t="shared" si="27"/>
        <v>0</v>
      </c>
      <c r="L346">
        <f t="shared" si="28"/>
        <v>0</v>
      </c>
      <c r="M346">
        <f t="shared" si="29"/>
        <v>0</v>
      </c>
      <c r="N346">
        <f t="shared" si="30"/>
        <v>0</v>
      </c>
    </row>
    <row r="347" spans="1:14" ht="12.95" customHeight="1">
      <c r="A347" s="56"/>
      <c r="B347" s="111" t="s">
        <v>844</v>
      </c>
      <c r="C347" s="58">
        <v>0.74605613010877991</v>
      </c>
      <c r="D347" s="59">
        <f t="shared" si="31"/>
        <v>22.381683903263397</v>
      </c>
      <c r="E347" s="185">
        <f>D347/(0.4*2.8)</f>
        <v>19.983646342199464</v>
      </c>
      <c r="F347" s="250" t="s">
        <v>839</v>
      </c>
      <c r="G347" s="71"/>
      <c r="H347" s="251"/>
      <c r="I347" s="252"/>
      <c r="J347" s="53"/>
      <c r="K347">
        <f t="shared" si="27"/>
        <v>0</v>
      </c>
      <c r="L347">
        <f t="shared" si="28"/>
        <v>0</v>
      </c>
      <c r="M347">
        <f t="shared" si="29"/>
        <v>0</v>
      </c>
      <c r="N347">
        <f t="shared" si="30"/>
        <v>0</v>
      </c>
    </row>
    <row r="348" spans="1:14" ht="12.95" customHeight="1">
      <c r="A348" s="56"/>
      <c r="B348" s="111" t="s">
        <v>26</v>
      </c>
      <c r="C348" s="58">
        <v>0.53122774074500045</v>
      </c>
      <c r="D348" s="59">
        <f t="shared" si="31"/>
        <v>15.936832222350013</v>
      </c>
      <c r="E348" s="185">
        <f>D348/(0.3*2.8)</f>
        <v>18.972419312321446</v>
      </c>
      <c r="F348" s="250" t="s">
        <v>839</v>
      </c>
      <c r="G348" s="59"/>
      <c r="H348" s="151"/>
      <c r="I348" s="152"/>
      <c r="J348" s="53"/>
      <c r="K348">
        <f t="shared" si="27"/>
        <v>0</v>
      </c>
      <c r="L348">
        <f t="shared" si="28"/>
        <v>0</v>
      </c>
      <c r="M348">
        <f t="shared" si="29"/>
        <v>0</v>
      </c>
      <c r="N348">
        <f t="shared" si="30"/>
        <v>0</v>
      </c>
    </row>
    <row r="349" spans="1:14" ht="12.95" customHeight="1">
      <c r="A349" s="56"/>
      <c r="B349" s="111" t="s">
        <v>27</v>
      </c>
      <c r="C349" s="58">
        <v>0.57976110799610037</v>
      </c>
      <c r="D349" s="59">
        <f t="shared" si="31"/>
        <v>17.392833239883011</v>
      </c>
      <c r="E349" s="185">
        <f>D349/(0.25*2.8)</f>
        <v>24.846904628404303</v>
      </c>
      <c r="F349" s="250" t="s">
        <v>839</v>
      </c>
      <c r="G349" s="911" t="s">
        <v>28</v>
      </c>
      <c r="H349" s="912"/>
      <c r="J349" s="53"/>
      <c r="K349">
        <f t="shared" si="27"/>
        <v>0</v>
      </c>
      <c r="L349">
        <f t="shared" si="28"/>
        <v>0</v>
      </c>
      <c r="M349">
        <f t="shared" si="29"/>
        <v>0</v>
      </c>
      <c r="N349">
        <f t="shared" si="30"/>
        <v>0</v>
      </c>
    </row>
    <row r="350" spans="1:14" ht="12.95" customHeight="1">
      <c r="A350" s="56"/>
      <c r="B350" s="111" t="s">
        <v>29</v>
      </c>
      <c r="C350" s="58">
        <v>0.433418680660072</v>
      </c>
      <c r="D350" s="59">
        <f t="shared" si="31"/>
        <v>13.00256041980216</v>
      </c>
      <c r="E350" s="185">
        <f>D350/(0.2*2.8)</f>
        <v>23.218857892503859</v>
      </c>
      <c r="F350" s="250" t="s">
        <v>839</v>
      </c>
      <c r="G350" s="911" t="s">
        <v>28</v>
      </c>
      <c r="H350" s="912"/>
      <c r="J350" s="53"/>
      <c r="K350">
        <f t="shared" si="27"/>
        <v>0</v>
      </c>
      <c r="L350">
        <f t="shared" si="28"/>
        <v>0</v>
      </c>
      <c r="M350">
        <f t="shared" si="29"/>
        <v>0</v>
      </c>
      <c r="N350">
        <f t="shared" si="30"/>
        <v>0</v>
      </c>
    </row>
    <row r="351" spans="1:14" ht="12.95" customHeight="1">
      <c r="A351" s="56"/>
      <c r="B351" s="111" t="s">
        <v>30</v>
      </c>
      <c r="C351" s="58">
        <v>0.2939754304727269</v>
      </c>
      <c r="D351" s="59">
        <f t="shared" si="31"/>
        <v>8.819262914181806</v>
      </c>
      <c r="E351" s="185">
        <f>D351/(0.15*2.8)</f>
        <v>20.998245033766207</v>
      </c>
      <c r="F351" s="250" t="s">
        <v>839</v>
      </c>
      <c r="G351" s="911" t="s">
        <v>28</v>
      </c>
      <c r="H351" s="912"/>
      <c r="J351" s="53"/>
      <c r="K351">
        <f t="shared" si="27"/>
        <v>0</v>
      </c>
      <c r="L351">
        <f t="shared" si="28"/>
        <v>0</v>
      </c>
      <c r="M351">
        <f t="shared" si="29"/>
        <v>0</v>
      </c>
      <c r="N351">
        <f t="shared" si="30"/>
        <v>0</v>
      </c>
    </row>
    <row r="352" spans="1:14" ht="12.95" customHeight="1">
      <c r="A352" s="56"/>
      <c r="B352" s="111" t="s">
        <v>31</v>
      </c>
      <c r="C352" s="58">
        <v>0.21445492320771498</v>
      </c>
      <c r="D352" s="59">
        <f t="shared" si="31"/>
        <v>6.4336476962314491</v>
      </c>
      <c r="E352" s="185">
        <f>D352/(0.1*2.8)</f>
        <v>22.977313200826607</v>
      </c>
      <c r="F352" s="250" t="s">
        <v>839</v>
      </c>
      <c r="G352" s="911" t="s">
        <v>28</v>
      </c>
      <c r="H352" s="912"/>
      <c r="J352" s="53"/>
      <c r="K352">
        <f t="shared" si="27"/>
        <v>0</v>
      </c>
      <c r="L352">
        <f t="shared" si="28"/>
        <v>0</v>
      </c>
      <c r="M352">
        <f t="shared" si="29"/>
        <v>0</v>
      </c>
      <c r="N352">
        <f t="shared" si="30"/>
        <v>0</v>
      </c>
    </row>
    <row r="353" spans="1:14" ht="12" customHeight="1">
      <c r="A353" s="62"/>
      <c r="B353" s="111"/>
      <c r="C353" s="64"/>
      <c r="D353" s="59"/>
      <c r="E353" s="60"/>
      <c r="F353" s="61"/>
      <c r="G353" s="253"/>
      <c r="H353" s="88"/>
      <c r="I353" s="89"/>
      <c r="J353" s="53"/>
      <c r="K353">
        <f t="shared" si="27"/>
        <v>0</v>
      </c>
      <c r="L353">
        <f t="shared" si="28"/>
        <v>0</v>
      </c>
      <c r="M353">
        <f t="shared" si="29"/>
        <v>0</v>
      </c>
      <c r="N353">
        <f t="shared" si="30"/>
        <v>0</v>
      </c>
    </row>
    <row r="354" spans="1:14" ht="12.95" customHeight="1">
      <c r="A354" s="65"/>
      <c r="B354" s="111" t="s">
        <v>32</v>
      </c>
      <c r="C354" s="58">
        <v>2.3667481843926508</v>
      </c>
      <c r="D354" s="59">
        <f t="shared" ref="D354:D363" si="32">C354*30</f>
        <v>71.002445531779529</v>
      </c>
      <c r="E354" s="254">
        <f>D354/(2.4*1)</f>
        <v>29.584352304908137</v>
      </c>
      <c r="F354" s="250" t="s">
        <v>839</v>
      </c>
      <c r="G354" s="253"/>
      <c r="H354" s="88"/>
      <c r="I354" s="89"/>
      <c r="J354" s="53"/>
      <c r="K354">
        <f t="shared" si="27"/>
        <v>0</v>
      </c>
      <c r="L354">
        <f t="shared" si="28"/>
        <v>0</v>
      </c>
      <c r="M354">
        <f t="shared" si="29"/>
        <v>0</v>
      </c>
      <c r="N354">
        <f t="shared" si="30"/>
        <v>0</v>
      </c>
    </row>
    <row r="355" spans="1:14" ht="12.95" customHeight="1">
      <c r="A355" s="70"/>
      <c r="B355" s="111" t="s">
        <v>33</v>
      </c>
      <c r="C355" s="58">
        <v>1.1000701681116096</v>
      </c>
      <c r="D355" s="59">
        <f t="shared" si="32"/>
        <v>33.002105043348287</v>
      </c>
      <c r="E355" s="254">
        <f>D355/(1.2*1)</f>
        <v>27.501754202790242</v>
      </c>
      <c r="F355" s="250" t="s">
        <v>839</v>
      </c>
      <c r="G355" s="253"/>
      <c r="H355" s="88"/>
      <c r="I355" s="89"/>
      <c r="J355" s="53"/>
      <c r="K355">
        <f t="shared" si="27"/>
        <v>0</v>
      </c>
      <c r="L355">
        <f t="shared" si="28"/>
        <v>0</v>
      </c>
      <c r="M355">
        <f t="shared" si="29"/>
        <v>0</v>
      </c>
      <c r="N355">
        <f t="shared" si="30"/>
        <v>0</v>
      </c>
    </row>
    <row r="356" spans="1:14" ht="12.95" customHeight="1">
      <c r="A356" s="70"/>
      <c r="B356" s="111" t="s">
        <v>34</v>
      </c>
      <c r="C356" s="58">
        <v>0.91813571934473726</v>
      </c>
      <c r="D356" s="59">
        <f t="shared" si="32"/>
        <v>27.544071580342116</v>
      </c>
      <c r="E356" s="254">
        <f>D356/(0.9*1)</f>
        <v>30.604523978157907</v>
      </c>
      <c r="F356" s="250" t="s">
        <v>839</v>
      </c>
      <c r="G356" s="253"/>
      <c r="H356" s="88"/>
      <c r="I356" s="89"/>
      <c r="J356" s="53"/>
      <c r="K356">
        <f t="shared" si="27"/>
        <v>0</v>
      </c>
      <c r="L356">
        <f t="shared" si="28"/>
        <v>0</v>
      </c>
      <c r="M356">
        <f t="shared" si="29"/>
        <v>0</v>
      </c>
      <c r="N356">
        <f t="shared" si="30"/>
        <v>0</v>
      </c>
    </row>
    <row r="357" spans="1:14" ht="12.95" customHeight="1">
      <c r="A357" s="70"/>
      <c r="B357" s="111" t="s">
        <v>35</v>
      </c>
      <c r="C357" s="58">
        <v>0.53347592436242341</v>
      </c>
      <c r="D357" s="59">
        <f t="shared" si="32"/>
        <v>16.004277730872701</v>
      </c>
      <c r="E357" s="254">
        <f>D357/(0.6*1)</f>
        <v>26.673796218121169</v>
      </c>
      <c r="F357" s="250" t="s">
        <v>839</v>
      </c>
      <c r="G357" s="253"/>
      <c r="H357" s="88"/>
      <c r="I357" s="89"/>
      <c r="J357" s="53"/>
      <c r="K357">
        <f t="shared" si="27"/>
        <v>0</v>
      </c>
      <c r="L357">
        <f t="shared" si="28"/>
        <v>0</v>
      </c>
      <c r="M357">
        <f t="shared" si="29"/>
        <v>0</v>
      </c>
      <c r="N357">
        <f t="shared" si="30"/>
        <v>0</v>
      </c>
    </row>
    <row r="358" spans="1:14" ht="12.95" customHeight="1">
      <c r="A358" s="70"/>
      <c r="B358" s="111" t="s">
        <v>36</v>
      </c>
      <c r="C358" s="58">
        <v>0.3790723449068234</v>
      </c>
      <c r="D358" s="59">
        <f t="shared" si="32"/>
        <v>11.372170347204701</v>
      </c>
      <c r="E358" s="254">
        <f>D358/(0.4*1)</f>
        <v>28.430425868011753</v>
      </c>
      <c r="F358" s="250" t="s">
        <v>839</v>
      </c>
      <c r="G358" s="253"/>
      <c r="H358" s="88"/>
      <c r="I358" s="89"/>
      <c r="J358" s="53"/>
      <c r="K358">
        <f t="shared" si="27"/>
        <v>0</v>
      </c>
      <c r="L358">
        <f t="shared" si="28"/>
        <v>0</v>
      </c>
      <c r="M358">
        <f t="shared" si="29"/>
        <v>0</v>
      </c>
      <c r="N358">
        <f t="shared" si="30"/>
        <v>0</v>
      </c>
    </row>
    <row r="359" spans="1:14" ht="12.95" customHeight="1">
      <c r="A359" s="70"/>
      <c r="B359" s="111" t="s">
        <v>37</v>
      </c>
      <c r="C359" s="58">
        <v>0.27519437393323093</v>
      </c>
      <c r="D359" s="59">
        <f t="shared" si="32"/>
        <v>8.2558312179969278</v>
      </c>
      <c r="E359" s="254">
        <f>D359/(0.3*1)</f>
        <v>27.519437393323095</v>
      </c>
      <c r="F359" s="250" t="s">
        <v>839</v>
      </c>
      <c r="G359" s="253"/>
      <c r="H359" s="88"/>
      <c r="I359" s="89"/>
      <c r="J359" s="53"/>
      <c r="K359">
        <f t="shared" si="27"/>
        <v>0</v>
      </c>
      <c r="L359">
        <f t="shared" si="28"/>
        <v>0</v>
      </c>
      <c r="M359">
        <f t="shared" si="29"/>
        <v>0</v>
      </c>
      <c r="N359">
        <f t="shared" si="30"/>
        <v>0</v>
      </c>
    </row>
    <row r="360" spans="1:14" ht="12.95" customHeight="1">
      <c r="A360" s="70"/>
      <c r="B360" s="111" t="s">
        <v>38</v>
      </c>
      <c r="C360" s="58">
        <v>0.3069354022611161</v>
      </c>
      <c r="D360" s="59">
        <f t="shared" si="32"/>
        <v>9.2080620678334828</v>
      </c>
      <c r="E360" s="254">
        <f>D360/(0.25*1)</f>
        <v>36.832248271333931</v>
      </c>
      <c r="F360" s="250" t="s">
        <v>839</v>
      </c>
      <c r="G360" s="911" t="s">
        <v>28</v>
      </c>
      <c r="H360" s="912"/>
      <c r="J360" s="53"/>
      <c r="K360">
        <f t="shared" si="27"/>
        <v>0</v>
      </c>
      <c r="L360">
        <f t="shared" si="28"/>
        <v>0</v>
      </c>
      <c r="M360">
        <f t="shared" si="29"/>
        <v>0</v>
      </c>
      <c r="N360">
        <f t="shared" si="30"/>
        <v>0</v>
      </c>
    </row>
    <row r="361" spans="1:14" ht="12.95" customHeight="1">
      <c r="A361" s="70"/>
      <c r="B361" s="111" t="s">
        <v>39</v>
      </c>
      <c r="C361" s="58">
        <v>0.23873333918670772</v>
      </c>
      <c r="D361" s="59">
        <f t="shared" si="32"/>
        <v>7.1620001756012313</v>
      </c>
      <c r="E361" s="254">
        <f>D361/(0.2*1)</f>
        <v>35.810000878006157</v>
      </c>
      <c r="F361" s="250" t="s">
        <v>839</v>
      </c>
      <c r="G361" s="911" t="s">
        <v>28</v>
      </c>
      <c r="H361" s="912"/>
      <c r="J361" s="53"/>
      <c r="K361">
        <f t="shared" si="27"/>
        <v>0</v>
      </c>
      <c r="L361">
        <f t="shared" si="28"/>
        <v>0</v>
      </c>
      <c r="M361">
        <f t="shared" si="29"/>
        <v>0</v>
      </c>
      <c r="N361">
        <f t="shared" si="30"/>
        <v>0</v>
      </c>
    </row>
    <row r="362" spans="1:14" ht="12.95" customHeight="1">
      <c r="A362" s="70"/>
      <c r="B362" s="111" t="s">
        <v>40</v>
      </c>
      <c r="C362" s="58">
        <v>0.16076181840520812</v>
      </c>
      <c r="D362" s="59">
        <f t="shared" si="32"/>
        <v>4.8228545521562438</v>
      </c>
      <c r="E362" s="254">
        <f>D362/(0.15*1)</f>
        <v>32.152363681041628</v>
      </c>
      <c r="F362" s="250" t="s">
        <v>839</v>
      </c>
      <c r="G362" s="911" t="s">
        <v>28</v>
      </c>
      <c r="H362" s="912"/>
      <c r="J362" s="53"/>
      <c r="K362">
        <f t="shared" si="27"/>
        <v>0</v>
      </c>
      <c r="L362">
        <f t="shared" si="28"/>
        <v>0</v>
      </c>
      <c r="M362">
        <f t="shared" si="29"/>
        <v>0</v>
      </c>
      <c r="N362">
        <f t="shared" si="30"/>
        <v>0</v>
      </c>
    </row>
    <row r="363" spans="1:14" ht="12.95" customHeight="1">
      <c r="A363" s="70"/>
      <c r="B363" s="111" t="s">
        <v>41</v>
      </c>
      <c r="C363" s="58">
        <v>0.1003631384680769</v>
      </c>
      <c r="D363" s="59">
        <f t="shared" si="32"/>
        <v>3.0108941540423069</v>
      </c>
      <c r="E363" s="254">
        <f>D363/(0.1*1)</f>
        <v>30.108941540423068</v>
      </c>
      <c r="F363" s="250" t="s">
        <v>839</v>
      </c>
      <c r="G363" s="911" t="s">
        <v>28</v>
      </c>
      <c r="H363" s="912"/>
      <c r="J363" s="53"/>
      <c r="K363">
        <f t="shared" si="27"/>
        <v>0</v>
      </c>
      <c r="L363">
        <f t="shared" si="28"/>
        <v>0</v>
      </c>
      <c r="M363">
        <f t="shared" si="29"/>
        <v>0</v>
      </c>
      <c r="N363">
        <f t="shared" si="30"/>
        <v>0</v>
      </c>
    </row>
    <row r="364" spans="1:14" ht="12.95" customHeight="1">
      <c r="A364" s="70"/>
      <c r="B364" s="111"/>
      <c r="C364" s="58"/>
      <c r="D364" s="59"/>
      <c r="E364" s="254"/>
      <c r="F364" s="61"/>
      <c r="G364" s="212"/>
      <c r="H364" s="213"/>
      <c r="I364" s="212"/>
      <c r="J364" s="53"/>
      <c r="K364">
        <f t="shared" si="27"/>
        <v>0</v>
      </c>
      <c r="L364">
        <f t="shared" si="28"/>
        <v>0</v>
      </c>
      <c r="M364">
        <f t="shared" si="29"/>
        <v>0</v>
      </c>
      <c r="N364">
        <f t="shared" si="30"/>
        <v>0</v>
      </c>
    </row>
    <row r="365" spans="1:14" ht="12.95" customHeight="1">
      <c r="A365" s="70"/>
      <c r="B365" s="111"/>
      <c r="C365" s="58"/>
      <c r="D365" s="59"/>
      <c r="E365" s="254"/>
      <c r="F365" s="61"/>
      <c r="G365" s="212"/>
      <c r="H365" s="213"/>
      <c r="I365" s="212"/>
      <c r="J365" s="53"/>
      <c r="K365">
        <f t="shared" si="27"/>
        <v>0</v>
      </c>
      <c r="L365">
        <f t="shared" si="28"/>
        <v>0</v>
      </c>
      <c r="M365">
        <f t="shared" si="29"/>
        <v>0</v>
      </c>
      <c r="N365">
        <f t="shared" si="30"/>
        <v>0</v>
      </c>
    </row>
    <row r="366" spans="1:14" ht="12.95" customHeight="1">
      <c r="A366" s="70"/>
      <c r="B366" s="111" t="s">
        <v>42</v>
      </c>
      <c r="C366" s="58">
        <v>3.3988378771979804</v>
      </c>
      <c r="D366" s="59">
        <f t="shared" ref="D366:D375" si="33">C366*30</f>
        <v>101.96513631593942</v>
      </c>
      <c r="E366" s="185">
        <f>D366/(2.4*1.5)</f>
        <v>28.323648976649842</v>
      </c>
      <c r="F366" s="250" t="s">
        <v>839</v>
      </c>
      <c r="G366" s="150"/>
      <c r="H366" s="151"/>
      <c r="I366" s="152"/>
      <c r="J366" s="53"/>
      <c r="K366">
        <f t="shared" si="27"/>
        <v>0</v>
      </c>
      <c r="L366">
        <f t="shared" si="28"/>
        <v>0</v>
      </c>
      <c r="M366">
        <f t="shared" si="29"/>
        <v>0</v>
      </c>
      <c r="N366">
        <f t="shared" si="30"/>
        <v>0</v>
      </c>
    </row>
    <row r="367" spans="1:14" ht="12.95" customHeight="1">
      <c r="A367" s="70"/>
      <c r="B367" s="111" t="s">
        <v>43</v>
      </c>
      <c r="C367" s="58">
        <v>1.736062042682182</v>
      </c>
      <c r="D367" s="59">
        <f t="shared" si="33"/>
        <v>52.081861280465461</v>
      </c>
      <c r="E367" s="185">
        <f>D367/(1.2*1.5)</f>
        <v>28.93436737803637</v>
      </c>
      <c r="F367" s="250" t="s">
        <v>839</v>
      </c>
      <c r="G367" s="150"/>
      <c r="H367" s="151"/>
      <c r="I367" s="152"/>
      <c r="J367" s="53"/>
      <c r="K367">
        <f t="shared" si="27"/>
        <v>0</v>
      </c>
      <c r="L367">
        <f t="shared" si="28"/>
        <v>0</v>
      </c>
      <c r="M367">
        <f t="shared" si="29"/>
        <v>0</v>
      </c>
      <c r="N367">
        <f t="shared" si="30"/>
        <v>0</v>
      </c>
    </row>
    <row r="368" spans="1:14" ht="12.95" customHeight="1">
      <c r="A368" s="70"/>
      <c r="B368" s="111" t="s">
        <v>44</v>
      </c>
      <c r="C368" s="58">
        <v>1.3168531570364257</v>
      </c>
      <c r="D368" s="59">
        <f t="shared" si="33"/>
        <v>39.505594711092769</v>
      </c>
      <c r="E368" s="185">
        <f>D368/(0.9*1.5)</f>
        <v>29.263403489698344</v>
      </c>
      <c r="F368" s="250" t="s">
        <v>839</v>
      </c>
      <c r="G368" s="150"/>
      <c r="H368" s="151"/>
      <c r="I368" s="152"/>
      <c r="J368" s="53"/>
      <c r="K368">
        <f t="shared" si="27"/>
        <v>0</v>
      </c>
      <c r="L368">
        <f t="shared" si="28"/>
        <v>0</v>
      </c>
      <c r="M368">
        <f t="shared" si="29"/>
        <v>0</v>
      </c>
      <c r="N368">
        <f t="shared" si="30"/>
        <v>0</v>
      </c>
    </row>
    <row r="369" spans="1:14" ht="12.95" customHeight="1">
      <c r="A369" s="70"/>
      <c r="B369" s="111" t="s">
        <v>45</v>
      </c>
      <c r="C369" s="58">
        <v>0.89953439812946834</v>
      </c>
      <c r="D369" s="59">
        <f t="shared" si="33"/>
        <v>26.986031943884051</v>
      </c>
      <c r="E369" s="185">
        <f>D369/(0.6*1.5)</f>
        <v>29.984479937648949</v>
      </c>
      <c r="F369" s="250" t="s">
        <v>839</v>
      </c>
      <c r="G369" s="150"/>
      <c r="H369" s="151"/>
      <c r="I369" s="152"/>
      <c r="J369" s="53"/>
      <c r="K369">
        <f t="shared" si="27"/>
        <v>0</v>
      </c>
      <c r="L369">
        <f t="shared" si="28"/>
        <v>0</v>
      </c>
      <c r="M369">
        <f t="shared" si="29"/>
        <v>0</v>
      </c>
      <c r="N369">
        <f t="shared" si="30"/>
        <v>0</v>
      </c>
    </row>
    <row r="370" spans="1:14" ht="12.95" customHeight="1">
      <c r="A370" s="70"/>
      <c r="B370" s="111" t="s">
        <v>46</v>
      </c>
      <c r="C370" s="58">
        <v>0.60926347744079401</v>
      </c>
      <c r="D370" s="59">
        <f t="shared" si="33"/>
        <v>18.277904323223819</v>
      </c>
      <c r="E370" s="185">
        <f>D370/(0.4*1.5)</f>
        <v>30.463173872039693</v>
      </c>
      <c r="F370" s="250" t="s">
        <v>839</v>
      </c>
      <c r="G370" s="150"/>
      <c r="H370" s="151"/>
      <c r="I370" s="152"/>
      <c r="J370" s="53"/>
      <c r="K370">
        <f t="shared" si="27"/>
        <v>0</v>
      </c>
      <c r="L370">
        <f t="shared" si="28"/>
        <v>0</v>
      </c>
      <c r="M370">
        <f t="shared" si="29"/>
        <v>0</v>
      </c>
      <c r="N370">
        <f t="shared" si="30"/>
        <v>0</v>
      </c>
    </row>
    <row r="371" spans="1:14" ht="12.95" customHeight="1">
      <c r="A371" s="70"/>
      <c r="B371" s="111" t="s">
        <v>47</v>
      </c>
      <c r="C371" s="58">
        <v>0.43526190983210516</v>
      </c>
      <c r="D371" s="59">
        <f t="shared" si="33"/>
        <v>13.057857294963155</v>
      </c>
      <c r="E371" s="185">
        <f>D371/(0.3*1.5)</f>
        <v>29.01746065547368</v>
      </c>
      <c r="F371" s="250" t="s">
        <v>839</v>
      </c>
      <c r="G371" s="150"/>
      <c r="H371" s="151"/>
      <c r="I371" s="152"/>
      <c r="J371" s="53"/>
      <c r="K371">
        <f t="shared" si="27"/>
        <v>0</v>
      </c>
      <c r="L371">
        <f t="shared" si="28"/>
        <v>0</v>
      </c>
      <c r="M371">
        <f t="shared" si="29"/>
        <v>0</v>
      </c>
      <c r="N371">
        <f t="shared" si="30"/>
        <v>0</v>
      </c>
    </row>
    <row r="372" spans="1:14" ht="12.95" customHeight="1">
      <c r="A372" s="70"/>
      <c r="B372" s="111" t="s">
        <v>48</v>
      </c>
      <c r="C372" s="58">
        <v>0.41799513713353664</v>
      </c>
      <c r="D372" s="59">
        <f t="shared" si="33"/>
        <v>12.539854114006099</v>
      </c>
      <c r="E372" s="254">
        <f>D372/(0.25*1.5)</f>
        <v>33.439610970682928</v>
      </c>
      <c r="F372" s="250" t="s">
        <v>839</v>
      </c>
      <c r="G372" s="911" t="s">
        <v>28</v>
      </c>
      <c r="H372" s="912"/>
      <c r="J372" s="53"/>
      <c r="K372">
        <f t="shared" si="27"/>
        <v>0</v>
      </c>
      <c r="L372">
        <f t="shared" si="28"/>
        <v>0</v>
      </c>
      <c r="M372">
        <f t="shared" si="29"/>
        <v>0</v>
      </c>
      <c r="N372">
        <f t="shared" si="30"/>
        <v>0</v>
      </c>
    </row>
    <row r="373" spans="1:14" ht="12.95" customHeight="1">
      <c r="A373" s="70"/>
      <c r="B373" s="111" t="s">
        <v>49</v>
      </c>
      <c r="C373" s="58">
        <v>0.31534574688115319</v>
      </c>
      <c r="D373" s="59">
        <f t="shared" si="33"/>
        <v>9.4603724064345958</v>
      </c>
      <c r="E373" s="254">
        <f>D373/(0.2*1.5)</f>
        <v>31.534574688115313</v>
      </c>
      <c r="F373" s="250" t="s">
        <v>839</v>
      </c>
      <c r="G373" s="911" t="s">
        <v>28</v>
      </c>
      <c r="H373" s="912"/>
      <c r="J373" s="53"/>
      <c r="K373">
        <f t="shared" si="27"/>
        <v>0</v>
      </c>
      <c r="L373">
        <f t="shared" si="28"/>
        <v>0</v>
      </c>
      <c r="M373">
        <f t="shared" si="29"/>
        <v>0</v>
      </c>
      <c r="N373">
        <f t="shared" si="30"/>
        <v>0</v>
      </c>
    </row>
    <row r="374" spans="1:14" ht="12.95" customHeight="1">
      <c r="A374" s="70"/>
      <c r="B374" s="111" t="s">
        <v>50</v>
      </c>
      <c r="C374" s="58">
        <v>0.27576435669465355</v>
      </c>
      <c r="D374" s="59">
        <f t="shared" si="33"/>
        <v>8.2729307008396056</v>
      </c>
      <c r="E374" s="254">
        <f>D374/(0.15*1.5)</f>
        <v>36.76858089262047</v>
      </c>
      <c r="F374" s="250" t="s">
        <v>839</v>
      </c>
      <c r="G374" s="911" t="s">
        <v>28</v>
      </c>
      <c r="H374" s="912"/>
      <c r="J374" s="53"/>
      <c r="K374">
        <f t="shared" si="27"/>
        <v>0</v>
      </c>
      <c r="L374">
        <f t="shared" si="28"/>
        <v>0</v>
      </c>
      <c r="M374">
        <f t="shared" si="29"/>
        <v>0</v>
      </c>
      <c r="N374">
        <f t="shared" si="30"/>
        <v>0</v>
      </c>
    </row>
    <row r="375" spans="1:14" ht="12.95" customHeight="1">
      <c r="A375" s="70"/>
      <c r="B375" s="111" t="s">
        <v>51</v>
      </c>
      <c r="C375" s="58">
        <v>0.18884740187303575</v>
      </c>
      <c r="D375" s="59">
        <f t="shared" si="33"/>
        <v>5.6654220561910726</v>
      </c>
      <c r="E375" s="254">
        <f>D375/(0.1*1.5)</f>
        <v>37.769480374607149</v>
      </c>
      <c r="F375" s="250" t="s">
        <v>839</v>
      </c>
      <c r="G375" s="911" t="s">
        <v>28</v>
      </c>
      <c r="H375" s="912"/>
      <c r="J375" s="53"/>
      <c r="K375">
        <f t="shared" si="27"/>
        <v>0</v>
      </c>
      <c r="L375">
        <f t="shared" si="28"/>
        <v>0</v>
      </c>
      <c r="M375">
        <f t="shared" si="29"/>
        <v>0</v>
      </c>
      <c r="N375">
        <f t="shared" si="30"/>
        <v>0</v>
      </c>
    </row>
    <row r="376" spans="1:14" ht="12" customHeight="1">
      <c r="A376" s="70"/>
      <c r="B376" s="111"/>
      <c r="C376" s="64"/>
      <c r="D376" s="59"/>
      <c r="E376" s="255"/>
      <c r="F376" s="61"/>
      <c r="G376" s="253"/>
      <c r="H376" s="88"/>
      <c r="I376" s="89"/>
      <c r="J376" s="53"/>
      <c r="K376">
        <f t="shared" si="27"/>
        <v>0</v>
      </c>
      <c r="L376">
        <f t="shared" si="28"/>
        <v>0</v>
      </c>
      <c r="M376">
        <f t="shared" si="29"/>
        <v>0</v>
      </c>
      <c r="N376">
        <f t="shared" si="30"/>
        <v>0</v>
      </c>
    </row>
    <row r="377" spans="1:14" ht="12.95" customHeight="1">
      <c r="A377" s="65"/>
      <c r="B377" s="111" t="s">
        <v>52</v>
      </c>
      <c r="C377" s="58">
        <v>1.0528866584149614</v>
      </c>
      <c r="D377" s="59">
        <f t="shared" ref="D377:D387" si="34">C377*30</f>
        <v>31.586599752448844</v>
      </c>
      <c r="E377" s="254">
        <f>D377/(2.4*0.5)</f>
        <v>26.322166460374039</v>
      </c>
      <c r="F377" s="61"/>
      <c r="G377" s="253"/>
      <c r="H377" s="88"/>
      <c r="I377" s="89"/>
      <c r="J377" s="53"/>
      <c r="K377">
        <f t="shared" si="27"/>
        <v>0</v>
      </c>
      <c r="L377">
        <f t="shared" si="28"/>
        <v>0</v>
      </c>
      <c r="M377">
        <f t="shared" si="29"/>
        <v>0</v>
      </c>
      <c r="N377">
        <f t="shared" si="30"/>
        <v>0</v>
      </c>
    </row>
    <row r="378" spans="1:14" ht="12.95" customHeight="1">
      <c r="A378" s="70"/>
      <c r="B378" s="111" t="s">
        <v>53</v>
      </c>
      <c r="C378" s="58">
        <v>0.51476214436799539</v>
      </c>
      <c r="D378" s="59">
        <f t="shared" si="34"/>
        <v>15.442864331039862</v>
      </c>
      <c r="E378" s="254">
        <f>D378/(1.2*0.5)</f>
        <v>25.738107218399772</v>
      </c>
      <c r="F378" s="61"/>
      <c r="G378" s="253"/>
      <c r="H378" s="88"/>
      <c r="I378" s="89"/>
      <c r="J378" s="53"/>
      <c r="K378">
        <f t="shared" si="27"/>
        <v>0</v>
      </c>
      <c r="L378">
        <f t="shared" si="28"/>
        <v>0</v>
      </c>
      <c r="M378">
        <f t="shared" si="29"/>
        <v>0</v>
      </c>
      <c r="N378">
        <f t="shared" si="30"/>
        <v>0</v>
      </c>
    </row>
    <row r="379" spans="1:14" ht="12.95" customHeight="1">
      <c r="A379" s="70"/>
      <c r="B379" s="111" t="s">
        <v>54</v>
      </c>
      <c r="C379" s="58">
        <v>0.34477620327822561</v>
      </c>
      <c r="D379" s="59">
        <f t="shared" si="34"/>
        <v>10.343286098346768</v>
      </c>
      <c r="E379" s="254">
        <f>D379/(0.9*0.5)</f>
        <v>22.985080218548372</v>
      </c>
      <c r="F379" s="61"/>
      <c r="G379" s="253"/>
      <c r="H379" s="88"/>
      <c r="I379" s="89"/>
      <c r="J379" s="53"/>
      <c r="K379">
        <f t="shared" si="27"/>
        <v>0</v>
      </c>
      <c r="L379">
        <f t="shared" si="28"/>
        <v>0</v>
      </c>
      <c r="M379">
        <f t="shared" si="29"/>
        <v>0</v>
      </c>
      <c r="N379">
        <f t="shared" si="30"/>
        <v>0</v>
      </c>
    </row>
    <row r="380" spans="1:14" ht="12.95" customHeight="1">
      <c r="A380" s="70"/>
      <c r="B380" s="111" t="s">
        <v>55</v>
      </c>
      <c r="C380" s="58">
        <v>0.2309894271597388</v>
      </c>
      <c r="D380" s="59">
        <f t="shared" si="34"/>
        <v>6.9296828147921641</v>
      </c>
      <c r="E380" s="254">
        <f>D380/(0.6*0.5)</f>
        <v>23.09894271597388</v>
      </c>
      <c r="F380" s="61"/>
      <c r="G380" s="253"/>
      <c r="H380" s="88"/>
      <c r="I380" s="89"/>
      <c r="J380" s="53"/>
      <c r="K380">
        <f t="shared" si="27"/>
        <v>0</v>
      </c>
      <c r="L380">
        <f t="shared" si="28"/>
        <v>0</v>
      </c>
      <c r="M380">
        <f t="shared" si="29"/>
        <v>0</v>
      </c>
      <c r="N380">
        <f t="shared" si="30"/>
        <v>0</v>
      </c>
    </row>
    <row r="381" spans="1:14" ht="12.95" customHeight="1">
      <c r="A381" s="70"/>
      <c r="B381" s="111" t="s">
        <v>56</v>
      </c>
      <c r="C381" s="58">
        <v>0.20725297296076661</v>
      </c>
      <c r="D381" s="59">
        <f t="shared" si="34"/>
        <v>6.2175891888229984</v>
      </c>
      <c r="E381" s="254">
        <f>D381/(0.5*0.5)</f>
        <v>24.870356755291994</v>
      </c>
      <c r="F381" s="61"/>
      <c r="G381" s="253"/>
      <c r="H381" s="88"/>
      <c r="I381" s="89"/>
      <c r="J381" s="53"/>
      <c r="K381">
        <f t="shared" si="27"/>
        <v>0</v>
      </c>
      <c r="L381">
        <f t="shared" si="28"/>
        <v>0</v>
      </c>
      <c r="M381">
        <f t="shared" si="29"/>
        <v>0</v>
      </c>
      <c r="N381">
        <f t="shared" si="30"/>
        <v>0</v>
      </c>
    </row>
    <row r="382" spans="1:14" ht="12.95" customHeight="1">
      <c r="A382" s="70"/>
      <c r="B382" s="111" t="s">
        <v>57</v>
      </c>
      <c r="C382" s="58">
        <v>0.15590358449098971</v>
      </c>
      <c r="D382" s="59">
        <f t="shared" si="34"/>
        <v>4.6771075347296911</v>
      </c>
      <c r="E382" s="254">
        <f>D382/(0.4*0.5)</f>
        <v>23.385537673648454</v>
      </c>
      <c r="F382" s="61"/>
      <c r="G382" s="253"/>
      <c r="H382" s="88"/>
      <c r="I382" s="89"/>
      <c r="J382" s="53"/>
      <c r="K382">
        <f t="shared" si="27"/>
        <v>0</v>
      </c>
      <c r="L382">
        <f t="shared" si="28"/>
        <v>0</v>
      </c>
      <c r="M382">
        <f t="shared" si="29"/>
        <v>0</v>
      </c>
      <c r="N382">
        <f t="shared" si="30"/>
        <v>0</v>
      </c>
    </row>
    <row r="383" spans="1:14" ht="12.95" customHeight="1">
      <c r="A383" s="70"/>
      <c r="B383" s="111" t="s">
        <v>58</v>
      </c>
      <c r="C383" s="58">
        <v>0.12865827040739108</v>
      </c>
      <c r="D383" s="59">
        <f t="shared" si="34"/>
        <v>3.8597481122217325</v>
      </c>
      <c r="E383" s="254">
        <f>D383/(0.3*0.5)</f>
        <v>25.731654081478219</v>
      </c>
      <c r="F383" s="61"/>
      <c r="G383" s="253"/>
      <c r="H383" s="88"/>
      <c r="I383" s="89"/>
      <c r="J383" s="53"/>
      <c r="K383">
        <f t="shared" si="27"/>
        <v>0</v>
      </c>
      <c r="L383">
        <f t="shared" si="28"/>
        <v>0</v>
      </c>
      <c r="M383">
        <f t="shared" si="29"/>
        <v>0</v>
      </c>
      <c r="N383">
        <f t="shared" si="30"/>
        <v>0</v>
      </c>
    </row>
    <row r="384" spans="1:14" ht="12.95" customHeight="1">
      <c r="A384" s="70"/>
      <c r="B384" s="111" t="s">
        <v>59</v>
      </c>
      <c r="C384" s="58">
        <v>0.13038857998661477</v>
      </c>
      <c r="D384" s="59">
        <f t="shared" si="34"/>
        <v>3.9116573995984432</v>
      </c>
      <c r="E384" s="254">
        <f>D384/(0.25*0.5)</f>
        <v>31.293259196787545</v>
      </c>
      <c r="F384" s="913" t="s">
        <v>28</v>
      </c>
      <c r="G384" s="916"/>
      <c r="H384" s="917"/>
      <c r="J384" s="53"/>
      <c r="K384">
        <f t="shared" si="27"/>
        <v>0</v>
      </c>
      <c r="L384">
        <f t="shared" si="28"/>
        <v>0</v>
      </c>
      <c r="M384">
        <f t="shared" si="29"/>
        <v>0</v>
      </c>
      <c r="N384">
        <f t="shared" si="30"/>
        <v>0</v>
      </c>
    </row>
    <row r="385" spans="1:14" ht="12.95" customHeight="1">
      <c r="A385" s="70"/>
      <c r="B385" s="111" t="s">
        <v>60</v>
      </c>
      <c r="C385" s="58">
        <v>9.5486922407652983E-2</v>
      </c>
      <c r="D385" s="59">
        <f t="shared" si="34"/>
        <v>2.8646076722295897</v>
      </c>
      <c r="E385" s="254">
        <f>D385/(0.2*0.5)</f>
        <v>28.646076722295895</v>
      </c>
      <c r="F385" s="913" t="s">
        <v>28</v>
      </c>
      <c r="G385" s="916"/>
      <c r="H385" s="917"/>
      <c r="J385" s="53"/>
      <c r="K385">
        <f t="shared" si="27"/>
        <v>0</v>
      </c>
      <c r="L385">
        <f t="shared" si="28"/>
        <v>0</v>
      </c>
      <c r="M385">
        <f t="shared" si="29"/>
        <v>0</v>
      </c>
      <c r="N385">
        <f t="shared" si="30"/>
        <v>0</v>
      </c>
    </row>
    <row r="386" spans="1:14" ht="12.95" customHeight="1">
      <c r="A386" s="70"/>
      <c r="B386" s="111" t="s">
        <v>61</v>
      </c>
      <c r="C386" s="58">
        <v>8.3120217880054748E-2</v>
      </c>
      <c r="D386" s="59">
        <f t="shared" si="34"/>
        <v>2.4936065364016424</v>
      </c>
      <c r="E386" s="254">
        <f>D386/(0.15*0.5)</f>
        <v>33.248087152021903</v>
      </c>
      <c r="F386" s="913" t="s">
        <v>28</v>
      </c>
      <c r="G386" s="916"/>
      <c r="H386" s="917"/>
      <c r="J386" s="53"/>
      <c r="K386">
        <f t="shared" si="27"/>
        <v>0</v>
      </c>
      <c r="L386">
        <f t="shared" si="28"/>
        <v>0</v>
      </c>
      <c r="M386">
        <f t="shared" si="29"/>
        <v>0</v>
      </c>
      <c r="N386">
        <f t="shared" si="30"/>
        <v>0</v>
      </c>
    </row>
    <row r="387" spans="1:14" ht="12.95" customHeight="1">
      <c r="A387" s="70"/>
      <c r="B387" s="111" t="s">
        <v>62</v>
      </c>
      <c r="C387" s="58">
        <v>5.0441698583938724E-2</v>
      </c>
      <c r="D387" s="59">
        <f t="shared" si="34"/>
        <v>1.5132509575181616</v>
      </c>
      <c r="E387" s="254">
        <f>D387/(0.1*0.5)</f>
        <v>30.26501915036323</v>
      </c>
      <c r="F387" s="913" t="s">
        <v>28</v>
      </c>
      <c r="G387" s="916"/>
      <c r="H387" s="917"/>
      <c r="J387" s="53"/>
      <c r="K387">
        <f t="shared" si="27"/>
        <v>0</v>
      </c>
      <c r="L387">
        <f t="shared" si="28"/>
        <v>0</v>
      </c>
      <c r="M387">
        <f t="shared" si="29"/>
        <v>0</v>
      </c>
      <c r="N387">
        <f t="shared" si="30"/>
        <v>0</v>
      </c>
    </row>
    <row r="388" spans="1:14" ht="12.95" customHeight="1">
      <c r="A388" s="256"/>
      <c r="B388" s="257"/>
      <c r="C388" s="258"/>
      <c r="D388" s="259"/>
      <c r="E388" s="260"/>
      <c r="F388" s="261"/>
      <c r="G388" s="262"/>
      <c r="H388" s="263"/>
      <c r="I388" s="262"/>
      <c r="J388" s="53"/>
      <c r="K388">
        <f t="shared" ref="K388:K451" si="35">IF(M388&gt;0,1,0)</f>
        <v>0</v>
      </c>
      <c r="L388">
        <f t="shared" ref="L388:L451" si="36">IF(couleur(B388)=2,L389,IF(couleur(B389)=2,0,J388+L389))</f>
        <v>0</v>
      </c>
      <c r="M388">
        <f t="shared" ref="M388:M451" si="37">IF(couleur(B388)=2,L388,J388)</f>
        <v>0</v>
      </c>
      <c r="N388">
        <f t="shared" ref="N388:N451" si="38">IF(ISNUMBER(C388),J388*C388,0)</f>
        <v>0</v>
      </c>
    </row>
    <row r="389" spans="1:14" ht="12.95" customHeight="1">
      <c r="A389" s="256"/>
      <c r="B389" s="257"/>
      <c r="C389" s="258"/>
      <c r="D389" s="259"/>
      <c r="E389" s="260"/>
      <c r="F389" s="261"/>
      <c r="G389" s="262"/>
      <c r="H389" s="263"/>
      <c r="I389" s="262"/>
      <c r="J389" s="53"/>
      <c r="K389">
        <f t="shared" si="35"/>
        <v>0</v>
      </c>
      <c r="L389">
        <f t="shared" si="36"/>
        <v>0</v>
      </c>
      <c r="M389">
        <f t="shared" si="37"/>
        <v>0</v>
      </c>
      <c r="N389">
        <f t="shared" si="38"/>
        <v>0</v>
      </c>
    </row>
    <row r="390" spans="1:14" ht="12.95" customHeight="1">
      <c r="A390" s="256"/>
      <c r="B390" s="257"/>
      <c r="C390" s="258"/>
      <c r="D390" s="259"/>
      <c r="E390" s="260"/>
      <c r="F390" s="261"/>
      <c r="G390" s="262"/>
      <c r="H390" s="263"/>
      <c r="I390" s="262"/>
      <c r="J390" s="53"/>
      <c r="K390">
        <f t="shared" si="35"/>
        <v>0</v>
      </c>
      <c r="L390">
        <f t="shared" si="36"/>
        <v>0</v>
      </c>
      <c r="M390">
        <f t="shared" si="37"/>
        <v>0</v>
      </c>
      <c r="N390">
        <f t="shared" si="38"/>
        <v>0</v>
      </c>
    </row>
    <row r="391" spans="1:14" ht="12.95" customHeight="1" thickBot="1">
      <c r="A391" s="264"/>
      <c r="B391" s="265"/>
      <c r="C391" s="266"/>
      <c r="D391" s="267"/>
      <c r="E391" s="268"/>
      <c r="F391" s="269"/>
      <c r="G391" s="270"/>
      <c r="H391" s="271"/>
      <c r="I391" s="270"/>
      <c r="J391" s="53"/>
      <c r="K391">
        <f t="shared" si="35"/>
        <v>0</v>
      </c>
      <c r="L391">
        <f t="shared" si="36"/>
        <v>0</v>
      </c>
      <c r="M391">
        <f t="shared" si="37"/>
        <v>0</v>
      </c>
      <c r="N391">
        <f t="shared" si="38"/>
        <v>0</v>
      </c>
    </row>
    <row r="392" spans="1:14" ht="12" customHeight="1" thickTop="1">
      <c r="A392" s="940"/>
      <c r="B392" s="941" t="s">
        <v>635</v>
      </c>
      <c r="C392" s="942" t="s">
        <v>636</v>
      </c>
      <c r="D392" s="907"/>
      <c r="E392" s="943"/>
      <c r="F392" s="906" t="s">
        <v>637</v>
      </c>
      <c r="G392" s="907"/>
      <c r="H392" s="908"/>
      <c r="J392" s="53"/>
      <c r="K392">
        <f t="shared" si="35"/>
        <v>0</v>
      </c>
      <c r="L392">
        <f t="shared" si="36"/>
        <v>0</v>
      </c>
      <c r="M392">
        <f t="shared" si="37"/>
        <v>0</v>
      </c>
      <c r="N392">
        <f t="shared" si="38"/>
        <v>0</v>
      </c>
    </row>
    <row r="393" spans="1:14" ht="12" customHeight="1" thickBot="1">
      <c r="A393" s="889"/>
      <c r="B393" s="903"/>
      <c r="C393" s="900"/>
      <c r="D393" s="901"/>
      <c r="E393" s="902"/>
      <c r="F393" s="1027"/>
      <c r="G393" s="1027"/>
      <c r="H393" s="877"/>
      <c r="J393" s="53"/>
      <c r="K393">
        <f t="shared" si="35"/>
        <v>0</v>
      </c>
      <c r="L393">
        <f t="shared" si="36"/>
        <v>0</v>
      </c>
      <c r="M393">
        <f t="shared" si="37"/>
        <v>0</v>
      </c>
      <c r="N393">
        <f t="shared" si="38"/>
        <v>0</v>
      </c>
    </row>
    <row r="394" spans="1:14" ht="12" customHeight="1" thickBot="1">
      <c r="A394" s="890"/>
      <c r="B394" s="904"/>
      <c r="C394" s="44" t="s">
        <v>639</v>
      </c>
      <c r="D394" s="45" t="s">
        <v>640</v>
      </c>
      <c r="E394" s="126" t="s">
        <v>835</v>
      </c>
      <c r="F394" s="878"/>
      <c r="G394" s="878"/>
      <c r="H394" s="879"/>
      <c r="J394" s="53"/>
      <c r="K394">
        <f t="shared" si="35"/>
        <v>0</v>
      </c>
      <c r="L394">
        <f t="shared" si="36"/>
        <v>0</v>
      </c>
      <c r="M394">
        <f t="shared" si="37"/>
        <v>0</v>
      </c>
      <c r="N394">
        <f t="shared" si="38"/>
        <v>0</v>
      </c>
    </row>
    <row r="395" spans="1:14" ht="12" customHeight="1" thickTop="1">
      <c r="A395" s="272"/>
      <c r="B395" s="950" t="s">
        <v>836</v>
      </c>
      <c r="C395" s="954" t="s">
        <v>837</v>
      </c>
      <c r="D395" s="919"/>
      <c r="E395" s="920"/>
      <c r="F395" s="273"/>
      <c r="G395" s="274"/>
      <c r="H395" s="275"/>
      <c r="I395" s="274"/>
      <c r="J395" s="53"/>
      <c r="K395">
        <f t="shared" si="35"/>
        <v>0</v>
      </c>
      <c r="L395">
        <f t="shared" si="36"/>
        <v>0</v>
      </c>
      <c r="M395">
        <f t="shared" si="37"/>
        <v>0</v>
      </c>
      <c r="N395">
        <f t="shared" si="38"/>
        <v>0</v>
      </c>
    </row>
    <row r="396" spans="1:14" ht="12" customHeight="1">
      <c r="A396" s="272"/>
      <c r="B396" s="949"/>
      <c r="C396" s="922"/>
      <c r="D396" s="922"/>
      <c r="E396" s="923"/>
      <c r="F396" s="188"/>
      <c r="G396" s="189"/>
      <c r="H396" s="210"/>
      <c r="I396" s="211"/>
      <c r="J396" s="53"/>
      <c r="K396">
        <f t="shared" si="35"/>
        <v>0</v>
      </c>
      <c r="L396">
        <f t="shared" si="36"/>
        <v>0</v>
      </c>
      <c r="M396">
        <f t="shared" si="37"/>
        <v>0</v>
      </c>
      <c r="N396">
        <f t="shared" si="38"/>
        <v>0</v>
      </c>
    </row>
    <row r="397" spans="1:14" ht="12" customHeight="1">
      <c r="A397" s="276"/>
      <c r="B397" s="57" t="s">
        <v>63</v>
      </c>
      <c r="C397" s="58">
        <v>6.3934023804741251</v>
      </c>
      <c r="D397" s="59">
        <f t="shared" ref="D397:D412" si="39">C397*30</f>
        <v>191.80207141422375</v>
      </c>
      <c r="E397" s="185"/>
      <c r="F397" s="61"/>
      <c r="G397" s="253"/>
      <c r="H397" s="277"/>
      <c r="I397" s="278"/>
      <c r="J397" s="53"/>
      <c r="K397">
        <f t="shared" si="35"/>
        <v>0</v>
      </c>
      <c r="L397">
        <f t="shared" si="36"/>
        <v>0</v>
      </c>
      <c r="M397">
        <f t="shared" si="37"/>
        <v>0</v>
      </c>
      <c r="N397">
        <f t="shared" si="38"/>
        <v>0</v>
      </c>
    </row>
    <row r="398" spans="1:14" ht="12" customHeight="1">
      <c r="A398" s="276"/>
      <c r="B398" s="57" t="s">
        <v>64</v>
      </c>
      <c r="C398" s="58">
        <v>3.5002824886469508</v>
      </c>
      <c r="D398" s="59">
        <f t="shared" si="39"/>
        <v>105.00847465940852</v>
      </c>
      <c r="E398" s="185"/>
      <c r="F398" s="61"/>
      <c r="G398" s="253"/>
      <c r="H398" s="277"/>
      <c r="I398" s="278"/>
      <c r="J398" s="53"/>
      <c r="K398">
        <f t="shared" si="35"/>
        <v>0</v>
      </c>
      <c r="L398">
        <f t="shared" si="36"/>
        <v>0</v>
      </c>
      <c r="M398">
        <f t="shared" si="37"/>
        <v>0</v>
      </c>
      <c r="N398">
        <f t="shared" si="38"/>
        <v>0</v>
      </c>
    </row>
    <row r="399" spans="1:14" ht="12" customHeight="1">
      <c r="A399" s="276"/>
      <c r="B399" s="57" t="s">
        <v>65</v>
      </c>
      <c r="C399" s="58">
        <v>2.3203525731334484</v>
      </c>
      <c r="D399" s="59">
        <f t="shared" si="39"/>
        <v>69.610577194003454</v>
      </c>
      <c r="E399" s="185"/>
      <c r="F399" s="61"/>
      <c r="G399" s="253"/>
      <c r="H399" s="277"/>
      <c r="I399" s="278"/>
      <c r="J399" s="53"/>
      <c r="K399">
        <f t="shared" si="35"/>
        <v>0</v>
      </c>
      <c r="L399">
        <f t="shared" si="36"/>
        <v>0</v>
      </c>
      <c r="M399">
        <f t="shared" si="37"/>
        <v>0</v>
      </c>
      <c r="N399">
        <f t="shared" si="38"/>
        <v>0</v>
      </c>
    </row>
    <row r="400" spans="1:14" ht="12" customHeight="1">
      <c r="A400" s="276"/>
      <c r="B400" s="57" t="s">
        <v>66</v>
      </c>
      <c r="C400" s="58">
        <v>1.1597864687658512</v>
      </c>
      <c r="D400" s="59">
        <f t="shared" si="39"/>
        <v>34.793594062975536</v>
      </c>
      <c r="E400" s="185"/>
      <c r="F400" s="61"/>
      <c r="G400" s="253"/>
      <c r="H400" s="88"/>
      <c r="I400" s="89"/>
      <c r="J400" s="53"/>
      <c r="K400">
        <f t="shared" si="35"/>
        <v>0</v>
      </c>
      <c r="L400">
        <f t="shared" si="36"/>
        <v>0</v>
      </c>
      <c r="M400">
        <f t="shared" si="37"/>
        <v>0</v>
      </c>
      <c r="N400">
        <f t="shared" si="38"/>
        <v>0</v>
      </c>
    </row>
    <row r="401" spans="1:14" ht="12" customHeight="1">
      <c r="A401" s="276"/>
      <c r="B401" s="57" t="s">
        <v>67</v>
      </c>
      <c r="C401" s="58">
        <v>2.5783776577525903</v>
      </c>
      <c r="D401" s="59">
        <f t="shared" si="39"/>
        <v>77.35132973257771</v>
      </c>
      <c r="E401" s="60"/>
      <c r="F401" s="913" t="s">
        <v>28</v>
      </c>
      <c r="G401" s="916"/>
      <c r="H401" s="917"/>
      <c r="J401" s="53"/>
      <c r="K401">
        <f t="shared" si="35"/>
        <v>0</v>
      </c>
      <c r="L401">
        <f t="shared" si="36"/>
        <v>0</v>
      </c>
      <c r="M401">
        <f t="shared" si="37"/>
        <v>0</v>
      </c>
      <c r="N401">
        <f t="shared" si="38"/>
        <v>0</v>
      </c>
    </row>
    <row r="402" spans="1:14" ht="12" customHeight="1">
      <c r="A402" s="276"/>
      <c r="B402" s="57" t="s">
        <v>68</v>
      </c>
      <c r="C402" s="58">
        <v>1.2120059520730122</v>
      </c>
      <c r="D402" s="59">
        <f t="shared" si="39"/>
        <v>36.360178562190363</v>
      </c>
      <c r="E402" s="60"/>
      <c r="F402" s="913" t="s">
        <v>28</v>
      </c>
      <c r="G402" s="916"/>
      <c r="H402" s="917"/>
      <c r="J402" s="53"/>
      <c r="K402">
        <f t="shared" si="35"/>
        <v>0</v>
      </c>
      <c r="L402">
        <f t="shared" si="36"/>
        <v>0</v>
      </c>
      <c r="M402">
        <f t="shared" si="37"/>
        <v>0</v>
      </c>
      <c r="N402">
        <f t="shared" si="38"/>
        <v>0</v>
      </c>
    </row>
    <row r="403" spans="1:14" ht="12" customHeight="1">
      <c r="A403" s="276"/>
      <c r="B403" s="57" t="s">
        <v>69</v>
      </c>
      <c r="C403" s="58">
        <v>0.49069945897571537</v>
      </c>
      <c r="D403" s="59">
        <f t="shared" si="39"/>
        <v>14.720983769271461</v>
      </c>
      <c r="E403" s="60"/>
      <c r="F403" s="913" t="s">
        <v>28</v>
      </c>
      <c r="G403" s="916"/>
      <c r="H403" s="917"/>
      <c r="J403" s="53"/>
      <c r="K403">
        <f t="shared" si="35"/>
        <v>0</v>
      </c>
      <c r="L403">
        <f t="shared" si="36"/>
        <v>0</v>
      </c>
      <c r="M403">
        <f t="shared" si="37"/>
        <v>0</v>
      </c>
      <c r="N403">
        <f t="shared" si="38"/>
        <v>0</v>
      </c>
    </row>
    <row r="404" spans="1:14" ht="12" customHeight="1">
      <c r="A404" s="276"/>
      <c r="B404" s="57" t="s">
        <v>70</v>
      </c>
      <c r="C404" s="58">
        <v>0.21656903425051069</v>
      </c>
      <c r="D404" s="59">
        <f t="shared" si="39"/>
        <v>6.4970710275153207</v>
      </c>
      <c r="E404" s="60"/>
      <c r="F404" s="913" t="s">
        <v>28</v>
      </c>
      <c r="G404" s="916"/>
      <c r="H404" s="917"/>
      <c r="J404" s="53"/>
      <c r="K404">
        <f t="shared" si="35"/>
        <v>0</v>
      </c>
      <c r="L404">
        <f t="shared" si="36"/>
        <v>0</v>
      </c>
      <c r="M404">
        <f t="shared" si="37"/>
        <v>0</v>
      </c>
      <c r="N404">
        <f t="shared" si="38"/>
        <v>0</v>
      </c>
    </row>
    <row r="405" spans="1:14" ht="12" customHeight="1">
      <c r="A405" s="276"/>
      <c r="B405" s="57" t="s">
        <v>6</v>
      </c>
      <c r="C405" s="58">
        <v>0.86436242275059838</v>
      </c>
      <c r="D405" s="59">
        <f t="shared" si="39"/>
        <v>25.930872682517951</v>
      </c>
      <c r="E405" s="60"/>
      <c r="F405" s="149"/>
      <c r="G405" s="150"/>
      <c r="H405" s="151"/>
      <c r="I405" s="152"/>
      <c r="J405" s="53"/>
      <c r="K405">
        <f t="shared" si="35"/>
        <v>0</v>
      </c>
      <c r="L405">
        <f t="shared" si="36"/>
        <v>0</v>
      </c>
      <c r="M405">
        <f t="shared" si="37"/>
        <v>0</v>
      </c>
      <c r="N405">
        <f t="shared" si="38"/>
        <v>0</v>
      </c>
    </row>
    <row r="406" spans="1:14" ht="12" customHeight="1">
      <c r="A406" s="276"/>
      <c r="B406" s="57" t="s">
        <v>8</v>
      </c>
      <c r="C406" s="58">
        <v>0.41883430022686252</v>
      </c>
      <c r="D406" s="59">
        <f t="shared" si="39"/>
        <v>12.565029006805876</v>
      </c>
      <c r="E406" s="60"/>
      <c r="F406" s="149"/>
      <c r="G406" s="150"/>
      <c r="H406" s="151"/>
      <c r="I406" s="152"/>
      <c r="J406" s="53"/>
      <c r="K406">
        <f t="shared" si="35"/>
        <v>0</v>
      </c>
      <c r="L406">
        <f t="shared" si="36"/>
        <v>0</v>
      </c>
      <c r="M406">
        <f t="shared" si="37"/>
        <v>0</v>
      </c>
      <c r="N406">
        <f t="shared" si="38"/>
        <v>0</v>
      </c>
    </row>
    <row r="407" spans="1:14" ht="12" customHeight="1">
      <c r="A407" s="276"/>
      <c r="B407" s="57" t="s">
        <v>9</v>
      </c>
      <c r="C407" s="58">
        <v>0.31165178023627332</v>
      </c>
      <c r="D407" s="59">
        <f t="shared" si="39"/>
        <v>9.3495534070881998</v>
      </c>
      <c r="E407" s="60"/>
      <c r="F407" s="149"/>
      <c r="G407" s="150"/>
      <c r="H407" s="151"/>
      <c r="I407" s="152"/>
      <c r="J407" s="53"/>
      <c r="K407">
        <f t="shared" si="35"/>
        <v>0</v>
      </c>
      <c r="L407">
        <f t="shared" si="36"/>
        <v>0</v>
      </c>
      <c r="M407">
        <f t="shared" si="37"/>
        <v>0</v>
      </c>
      <c r="N407">
        <f t="shared" si="38"/>
        <v>0</v>
      </c>
    </row>
    <row r="408" spans="1:14" ht="12" customHeight="1">
      <c r="A408" s="279"/>
      <c r="B408" s="111" t="s">
        <v>10</v>
      </c>
      <c r="C408" s="58">
        <v>0.13092027576834864</v>
      </c>
      <c r="D408" s="59">
        <f t="shared" si="39"/>
        <v>3.9276082730504589</v>
      </c>
      <c r="E408" s="60"/>
      <c r="F408" s="149"/>
      <c r="G408" s="150"/>
      <c r="H408" s="151"/>
      <c r="I408" s="152"/>
      <c r="J408" s="53"/>
      <c r="K408">
        <f t="shared" si="35"/>
        <v>0</v>
      </c>
      <c r="L408">
        <f t="shared" si="36"/>
        <v>0</v>
      </c>
      <c r="M408">
        <f t="shared" si="37"/>
        <v>0</v>
      </c>
      <c r="N408">
        <f t="shared" si="38"/>
        <v>0</v>
      </c>
    </row>
    <row r="409" spans="1:14" ht="12.95" customHeight="1">
      <c r="A409" s="62"/>
      <c r="B409" s="111" t="s">
        <v>71</v>
      </c>
      <c r="C409" s="58">
        <v>1.1993514360913511</v>
      </c>
      <c r="D409" s="59">
        <f t="shared" si="39"/>
        <v>35.980543082740532</v>
      </c>
      <c r="E409" s="60"/>
      <c r="F409" s="149"/>
      <c r="G409" s="150"/>
      <c r="H409" s="165"/>
      <c r="I409" s="166"/>
      <c r="J409" s="53"/>
      <c r="K409">
        <f t="shared" si="35"/>
        <v>0</v>
      </c>
      <c r="L409">
        <f t="shared" si="36"/>
        <v>0</v>
      </c>
      <c r="M409">
        <f t="shared" si="37"/>
        <v>0</v>
      </c>
      <c r="N409">
        <f t="shared" si="38"/>
        <v>0</v>
      </c>
    </row>
    <row r="410" spans="1:14" ht="12.95" customHeight="1">
      <c r="A410" s="62"/>
      <c r="B410" s="111" t="s">
        <v>72</v>
      </c>
      <c r="C410" s="58">
        <v>0.50186671815835981</v>
      </c>
      <c r="D410" s="59">
        <f t="shared" si="39"/>
        <v>15.056001544750794</v>
      </c>
      <c r="E410" s="60"/>
      <c r="F410" s="149"/>
      <c r="G410" s="150"/>
      <c r="H410" s="165"/>
      <c r="I410" s="166"/>
      <c r="J410" s="53"/>
      <c r="K410">
        <f t="shared" si="35"/>
        <v>0</v>
      </c>
      <c r="L410">
        <f t="shared" si="36"/>
        <v>0</v>
      </c>
      <c r="M410">
        <f t="shared" si="37"/>
        <v>0</v>
      </c>
      <c r="N410">
        <f t="shared" si="38"/>
        <v>0</v>
      </c>
    </row>
    <row r="411" spans="1:14" ht="12.95" customHeight="1">
      <c r="A411" s="62"/>
      <c r="B411" s="111" t="s">
        <v>73</v>
      </c>
      <c r="C411" s="58">
        <v>0.36164677060188055</v>
      </c>
      <c r="D411" s="59">
        <f t="shared" si="39"/>
        <v>10.849403118056417</v>
      </c>
      <c r="E411" s="60"/>
      <c r="F411" s="149"/>
      <c r="G411" s="150"/>
      <c r="H411" s="165"/>
      <c r="I411" s="166"/>
      <c r="J411" s="53"/>
      <c r="K411">
        <f t="shared" si="35"/>
        <v>0</v>
      </c>
      <c r="L411">
        <f t="shared" si="36"/>
        <v>0</v>
      </c>
      <c r="M411">
        <f t="shared" si="37"/>
        <v>0</v>
      </c>
      <c r="N411">
        <f t="shared" si="38"/>
        <v>0</v>
      </c>
    </row>
    <row r="412" spans="1:14" ht="12.95" customHeight="1">
      <c r="A412" s="62"/>
      <c r="B412" s="111" t="s">
        <v>74</v>
      </c>
      <c r="C412" s="58">
        <v>0.17506234377871843</v>
      </c>
      <c r="D412" s="59">
        <f t="shared" si="39"/>
        <v>5.251870313361553</v>
      </c>
      <c r="E412" s="60"/>
      <c r="F412" s="149"/>
      <c r="G412" s="150"/>
      <c r="H412" s="165"/>
      <c r="I412" s="166"/>
      <c r="J412" s="53"/>
      <c r="K412">
        <f t="shared" si="35"/>
        <v>0</v>
      </c>
      <c r="L412">
        <f t="shared" si="36"/>
        <v>0</v>
      </c>
      <c r="M412">
        <f t="shared" si="37"/>
        <v>0</v>
      </c>
      <c r="N412">
        <f t="shared" si="38"/>
        <v>0</v>
      </c>
    </row>
    <row r="413" spans="1:14" ht="12.95" customHeight="1">
      <c r="A413" s="62"/>
      <c r="B413" s="111"/>
      <c r="C413" s="58"/>
      <c r="D413" s="59"/>
      <c r="E413" s="60"/>
      <c r="F413" s="149"/>
      <c r="G413" s="150"/>
      <c r="H413" s="165"/>
      <c r="I413" s="166"/>
      <c r="J413" s="53"/>
      <c r="K413">
        <f t="shared" si="35"/>
        <v>0</v>
      </c>
      <c r="L413">
        <f t="shared" si="36"/>
        <v>0</v>
      </c>
      <c r="M413">
        <f t="shared" si="37"/>
        <v>0</v>
      </c>
      <c r="N413">
        <f t="shared" si="38"/>
        <v>0</v>
      </c>
    </row>
    <row r="414" spans="1:14" ht="12.95" customHeight="1">
      <c r="A414" s="62"/>
      <c r="B414" s="111" t="s">
        <v>75</v>
      </c>
      <c r="C414" s="58">
        <v>0.23908649001007098</v>
      </c>
      <c r="D414" s="59">
        <f>C414*30</f>
        <v>7.1725947003021293</v>
      </c>
      <c r="E414" s="60"/>
      <c r="F414" s="149"/>
      <c r="G414" s="150"/>
      <c r="H414" s="165"/>
      <c r="I414" s="166"/>
      <c r="J414" s="53"/>
      <c r="K414">
        <f t="shared" si="35"/>
        <v>0</v>
      </c>
      <c r="L414">
        <f t="shared" si="36"/>
        <v>0</v>
      </c>
      <c r="M414">
        <f t="shared" si="37"/>
        <v>0</v>
      </c>
      <c r="N414">
        <f t="shared" si="38"/>
        <v>0</v>
      </c>
    </row>
    <row r="415" spans="1:14" ht="12.95" customHeight="1">
      <c r="A415" s="62"/>
      <c r="B415" s="111" t="s">
        <v>76</v>
      </c>
      <c r="C415" s="58">
        <v>0.1776536016801247</v>
      </c>
      <c r="D415" s="59">
        <f>C415*30</f>
        <v>5.3296080504037411</v>
      </c>
      <c r="E415" s="60"/>
      <c r="F415" s="149"/>
      <c r="G415" s="150"/>
      <c r="H415" s="165"/>
      <c r="I415" s="166"/>
      <c r="J415" s="53"/>
      <c r="K415">
        <f t="shared" si="35"/>
        <v>0</v>
      </c>
      <c r="L415">
        <f t="shared" si="36"/>
        <v>0</v>
      </c>
      <c r="M415">
        <f t="shared" si="37"/>
        <v>0</v>
      </c>
      <c r="N415">
        <f t="shared" si="38"/>
        <v>0</v>
      </c>
    </row>
    <row r="416" spans="1:14" ht="12.95" customHeight="1">
      <c r="A416" s="62"/>
      <c r="B416" s="111" t="s">
        <v>77</v>
      </c>
      <c r="C416" s="58">
        <v>0.10157460700317578</v>
      </c>
      <c r="D416" s="59">
        <f>C416*30</f>
        <v>3.0472382100952733</v>
      </c>
      <c r="E416" s="60"/>
      <c r="F416" s="149"/>
      <c r="G416" s="150"/>
      <c r="H416" s="165"/>
      <c r="I416" s="166"/>
      <c r="J416" s="53"/>
      <c r="K416">
        <f t="shared" si="35"/>
        <v>0</v>
      </c>
      <c r="L416">
        <f t="shared" si="36"/>
        <v>0</v>
      </c>
      <c r="M416">
        <f t="shared" si="37"/>
        <v>0</v>
      </c>
      <c r="N416">
        <f t="shared" si="38"/>
        <v>0</v>
      </c>
    </row>
    <row r="417" spans="1:14" ht="12.95" customHeight="1">
      <c r="A417" s="62"/>
      <c r="B417" s="111" t="s">
        <v>78</v>
      </c>
      <c r="C417" s="58">
        <v>5.4220959094606391E-2</v>
      </c>
      <c r="D417" s="59">
        <f>C417*30</f>
        <v>1.6266287728381918</v>
      </c>
      <c r="E417" s="60"/>
      <c r="F417" s="149"/>
      <c r="G417" s="150"/>
      <c r="H417" s="165"/>
      <c r="I417" s="166"/>
      <c r="J417" s="53"/>
      <c r="K417">
        <f t="shared" si="35"/>
        <v>0</v>
      </c>
      <c r="L417">
        <f t="shared" si="36"/>
        <v>0</v>
      </c>
      <c r="M417">
        <f t="shared" si="37"/>
        <v>0</v>
      </c>
      <c r="N417">
        <f t="shared" si="38"/>
        <v>0</v>
      </c>
    </row>
    <row r="418" spans="1:14" ht="12" customHeight="1">
      <c r="A418" s="62"/>
      <c r="B418" s="245"/>
      <c r="C418" s="64"/>
      <c r="D418" s="59"/>
      <c r="E418" s="60"/>
      <c r="F418" s="149"/>
      <c r="G418" s="150"/>
      <c r="H418" s="151"/>
      <c r="I418" s="152"/>
      <c r="J418" s="53"/>
      <c r="K418">
        <f t="shared" si="35"/>
        <v>0</v>
      </c>
      <c r="L418">
        <f t="shared" si="36"/>
        <v>0</v>
      </c>
      <c r="M418">
        <f t="shared" si="37"/>
        <v>0</v>
      </c>
      <c r="N418">
        <f t="shared" si="38"/>
        <v>0</v>
      </c>
    </row>
    <row r="419" spans="1:14" ht="12.95" customHeight="1">
      <c r="A419" s="62"/>
      <c r="B419" s="111" t="s">
        <v>79</v>
      </c>
      <c r="C419" s="58">
        <v>0.41580776473947473</v>
      </c>
      <c r="D419" s="59">
        <f t="shared" ref="D419:D425" si="40">C419*30</f>
        <v>12.474232942184242</v>
      </c>
      <c r="E419" s="60"/>
      <c r="F419" s="149"/>
      <c r="G419" s="150"/>
      <c r="H419" s="165"/>
      <c r="I419" s="166"/>
      <c r="J419" s="53"/>
      <c r="K419">
        <f t="shared" si="35"/>
        <v>0</v>
      </c>
      <c r="L419">
        <f t="shared" si="36"/>
        <v>0</v>
      </c>
      <c r="M419">
        <f t="shared" si="37"/>
        <v>0</v>
      </c>
      <c r="N419">
        <f t="shared" si="38"/>
        <v>0</v>
      </c>
    </row>
    <row r="420" spans="1:14" ht="12.95" customHeight="1">
      <c r="A420" s="62"/>
      <c r="B420" s="111" t="s">
        <v>80</v>
      </c>
      <c r="C420" s="58">
        <v>0.67734438548232234</v>
      </c>
      <c r="D420" s="59">
        <f t="shared" si="40"/>
        <v>20.320331564469669</v>
      </c>
      <c r="E420" s="60"/>
      <c r="F420" s="149"/>
      <c r="G420" s="150"/>
      <c r="H420" s="165"/>
      <c r="I420" s="166"/>
      <c r="J420" s="53"/>
      <c r="K420">
        <f t="shared" si="35"/>
        <v>0</v>
      </c>
      <c r="L420">
        <f t="shared" si="36"/>
        <v>0</v>
      </c>
      <c r="M420">
        <f t="shared" si="37"/>
        <v>0</v>
      </c>
      <c r="N420">
        <f t="shared" si="38"/>
        <v>0</v>
      </c>
    </row>
    <row r="421" spans="1:14" ht="12.95" customHeight="1">
      <c r="A421" s="62"/>
      <c r="B421" s="111" t="s">
        <v>81</v>
      </c>
      <c r="C421" s="58">
        <v>0.64538803061780725</v>
      </c>
      <c r="D421" s="59">
        <f t="shared" si="40"/>
        <v>19.361640918534217</v>
      </c>
      <c r="E421" s="60"/>
      <c r="F421" s="149"/>
      <c r="G421" s="150"/>
      <c r="H421" s="165"/>
      <c r="I421" s="166"/>
      <c r="J421" s="53"/>
      <c r="K421">
        <f t="shared" si="35"/>
        <v>0</v>
      </c>
      <c r="L421">
        <f t="shared" si="36"/>
        <v>0</v>
      </c>
      <c r="M421">
        <f t="shared" si="37"/>
        <v>0</v>
      </c>
      <c r="N421">
        <f t="shared" si="38"/>
        <v>0</v>
      </c>
    </row>
    <row r="422" spans="1:14" ht="12.95" customHeight="1">
      <c r="A422" s="62"/>
      <c r="B422" s="111" t="s">
        <v>82</v>
      </c>
      <c r="C422" s="58">
        <v>0.44283822714438686</v>
      </c>
      <c r="D422" s="59">
        <f t="shared" si="40"/>
        <v>13.285146814331606</v>
      </c>
      <c r="E422" s="60"/>
      <c r="F422" s="149"/>
      <c r="G422" s="150"/>
      <c r="H422" s="165"/>
      <c r="I422" s="166"/>
      <c r="J422" s="53"/>
      <c r="K422">
        <f t="shared" si="35"/>
        <v>0</v>
      </c>
      <c r="L422">
        <f t="shared" si="36"/>
        <v>0</v>
      </c>
      <c r="M422">
        <f t="shared" si="37"/>
        <v>0</v>
      </c>
      <c r="N422">
        <f t="shared" si="38"/>
        <v>0</v>
      </c>
    </row>
    <row r="423" spans="1:14" ht="12.95" customHeight="1">
      <c r="A423" s="62"/>
      <c r="B423" s="111" t="s">
        <v>83</v>
      </c>
      <c r="C423" s="58">
        <v>0.60302754003808168</v>
      </c>
      <c r="D423" s="59">
        <f t="shared" si="40"/>
        <v>18.090826201142452</v>
      </c>
      <c r="E423" s="60"/>
      <c r="F423" s="149"/>
      <c r="G423" s="150"/>
      <c r="H423" s="165"/>
      <c r="I423" s="166"/>
      <c r="J423" s="53"/>
      <c r="K423">
        <f t="shared" si="35"/>
        <v>0</v>
      </c>
      <c r="L423">
        <f t="shared" si="36"/>
        <v>0</v>
      </c>
      <c r="M423">
        <f t="shared" si="37"/>
        <v>0</v>
      </c>
      <c r="N423">
        <f t="shared" si="38"/>
        <v>0</v>
      </c>
    </row>
    <row r="424" spans="1:14" ht="12.95" customHeight="1">
      <c r="A424" s="62"/>
      <c r="B424" s="111" t="s">
        <v>84</v>
      </c>
      <c r="C424" s="58">
        <v>0.80269344863316505</v>
      </c>
      <c r="D424" s="59">
        <f t="shared" si="40"/>
        <v>24.08080345899495</v>
      </c>
      <c r="E424" s="60"/>
      <c r="F424" s="149"/>
      <c r="G424" s="150"/>
      <c r="H424" s="165"/>
      <c r="I424" s="166"/>
      <c r="J424" s="53"/>
      <c r="K424">
        <f t="shared" si="35"/>
        <v>0</v>
      </c>
      <c r="L424">
        <f t="shared" si="36"/>
        <v>0</v>
      </c>
      <c r="M424">
        <f t="shared" si="37"/>
        <v>0</v>
      </c>
      <c r="N424">
        <f t="shared" si="38"/>
        <v>0</v>
      </c>
    </row>
    <row r="425" spans="1:14" ht="12.95" customHeight="1">
      <c r="A425" s="62"/>
      <c r="B425" s="111" t="s">
        <v>85</v>
      </c>
      <c r="C425" s="58">
        <v>6.5433747252004459E-2</v>
      </c>
      <c r="D425" s="59">
        <f t="shared" si="40"/>
        <v>1.9630124175601338</v>
      </c>
      <c r="E425" s="60"/>
      <c r="F425" s="149"/>
      <c r="G425" s="150"/>
      <c r="H425" s="165"/>
      <c r="I425" s="166"/>
      <c r="J425" s="53"/>
      <c r="K425">
        <f t="shared" si="35"/>
        <v>0</v>
      </c>
      <c r="L425">
        <f t="shared" si="36"/>
        <v>0</v>
      </c>
      <c r="M425">
        <f t="shared" si="37"/>
        <v>0</v>
      </c>
      <c r="N425">
        <f t="shared" si="38"/>
        <v>0</v>
      </c>
    </row>
    <row r="426" spans="1:14" ht="12" customHeight="1">
      <c r="A426" s="62"/>
      <c r="B426" s="111"/>
      <c r="C426" s="64"/>
      <c r="D426" s="59"/>
      <c r="E426" s="60"/>
      <c r="F426" s="149"/>
      <c r="G426" s="150"/>
      <c r="H426" s="165"/>
      <c r="I426" s="166"/>
      <c r="J426" s="53"/>
      <c r="K426">
        <f t="shared" si="35"/>
        <v>0</v>
      </c>
      <c r="L426">
        <f t="shared" si="36"/>
        <v>0</v>
      </c>
      <c r="M426">
        <f t="shared" si="37"/>
        <v>0</v>
      </c>
      <c r="N426">
        <f t="shared" si="38"/>
        <v>0</v>
      </c>
    </row>
    <row r="427" spans="1:14" ht="12.95" customHeight="1">
      <c r="A427" s="62"/>
      <c r="B427" s="111" t="s">
        <v>11</v>
      </c>
      <c r="C427" s="944" t="s">
        <v>86</v>
      </c>
      <c r="D427" s="945"/>
      <c r="E427" s="60"/>
      <c r="F427" s="149"/>
      <c r="G427" s="150"/>
      <c r="H427" s="165"/>
      <c r="I427" s="166"/>
      <c r="J427" s="53"/>
      <c r="K427">
        <f t="shared" si="35"/>
        <v>0</v>
      </c>
      <c r="L427">
        <f t="shared" si="36"/>
        <v>0</v>
      </c>
      <c r="M427">
        <f t="shared" si="37"/>
        <v>0</v>
      </c>
      <c r="N427">
        <f t="shared" si="38"/>
        <v>0</v>
      </c>
    </row>
    <row r="428" spans="1:14" ht="12.95" customHeight="1">
      <c r="A428" s="62"/>
      <c r="B428" s="111" t="s">
        <v>87</v>
      </c>
      <c r="C428" s="58">
        <v>3.2448107189455464</v>
      </c>
      <c r="D428" s="280">
        <f t="shared" ref="D428:D434" si="41">C428*30</f>
        <v>97.344321568366396</v>
      </c>
      <c r="E428" s="60"/>
      <c r="F428" s="149"/>
      <c r="G428" s="150"/>
      <c r="H428" s="165"/>
      <c r="I428" s="166"/>
      <c r="J428" s="53"/>
      <c r="K428">
        <f t="shared" si="35"/>
        <v>0</v>
      </c>
      <c r="L428">
        <f t="shared" si="36"/>
        <v>0</v>
      </c>
      <c r="M428">
        <f t="shared" si="37"/>
        <v>0</v>
      </c>
      <c r="N428">
        <f t="shared" si="38"/>
        <v>0</v>
      </c>
    </row>
    <row r="429" spans="1:14" ht="12.95" customHeight="1">
      <c r="A429" s="62"/>
      <c r="B429" s="111" t="s">
        <v>88</v>
      </c>
      <c r="C429" s="58">
        <v>2.9148504659671879</v>
      </c>
      <c r="D429" s="280">
        <f t="shared" si="41"/>
        <v>87.44551397901563</v>
      </c>
      <c r="E429" s="60"/>
      <c r="F429" s="149"/>
      <c r="G429" s="150"/>
      <c r="H429" s="165"/>
      <c r="I429" s="166"/>
      <c r="J429" s="53"/>
      <c r="K429">
        <f t="shared" si="35"/>
        <v>0</v>
      </c>
      <c r="L429">
        <f t="shared" si="36"/>
        <v>0</v>
      </c>
      <c r="M429">
        <f t="shared" si="37"/>
        <v>0</v>
      </c>
      <c r="N429">
        <f t="shared" si="38"/>
        <v>0</v>
      </c>
    </row>
    <row r="430" spans="1:14" ht="12.95" customHeight="1">
      <c r="A430" s="62"/>
      <c r="B430" s="111" t="s">
        <v>89</v>
      </c>
      <c r="C430" s="58">
        <v>2.7006869497776931</v>
      </c>
      <c r="D430" s="280">
        <f t="shared" si="41"/>
        <v>81.020608493330798</v>
      </c>
      <c r="E430" s="60"/>
      <c r="F430" s="149"/>
      <c r="G430" s="150"/>
      <c r="H430" s="165"/>
      <c r="I430" s="166"/>
      <c r="J430" s="53"/>
      <c r="K430">
        <f t="shared" si="35"/>
        <v>0</v>
      </c>
      <c r="L430">
        <f t="shared" si="36"/>
        <v>0</v>
      </c>
      <c r="M430">
        <f t="shared" si="37"/>
        <v>0</v>
      </c>
      <c r="N430">
        <f t="shared" si="38"/>
        <v>0</v>
      </c>
    </row>
    <row r="431" spans="1:14" ht="12.95" customHeight="1">
      <c r="A431" s="62"/>
      <c r="B431" s="111" t="s">
        <v>90</v>
      </c>
      <c r="C431" s="58">
        <v>0.81670312535159617</v>
      </c>
      <c r="D431" s="59">
        <f t="shared" si="41"/>
        <v>24.501093760547885</v>
      </c>
      <c r="E431" s="60"/>
      <c r="F431" s="149"/>
      <c r="G431" s="150"/>
      <c r="H431" s="165"/>
      <c r="I431" s="166"/>
      <c r="J431" s="53"/>
      <c r="K431">
        <f t="shared" si="35"/>
        <v>0</v>
      </c>
      <c r="L431">
        <f t="shared" si="36"/>
        <v>0</v>
      </c>
      <c r="M431">
        <f t="shared" si="37"/>
        <v>0</v>
      </c>
      <c r="N431">
        <f t="shared" si="38"/>
        <v>0</v>
      </c>
    </row>
    <row r="432" spans="1:14" ht="12.95" customHeight="1">
      <c r="A432" s="62"/>
      <c r="B432" s="111" t="s">
        <v>91</v>
      </c>
      <c r="C432" s="58">
        <v>0.49230359889021041</v>
      </c>
      <c r="D432" s="59">
        <f t="shared" si="41"/>
        <v>14.769107966706313</v>
      </c>
      <c r="E432" s="60"/>
      <c r="F432" s="149"/>
      <c r="G432" s="150"/>
      <c r="H432" s="165"/>
      <c r="I432" s="166"/>
      <c r="J432" s="53"/>
      <c r="K432">
        <f t="shared" si="35"/>
        <v>0</v>
      </c>
      <c r="L432">
        <f t="shared" si="36"/>
        <v>0</v>
      </c>
      <c r="M432">
        <f t="shared" si="37"/>
        <v>0</v>
      </c>
      <c r="N432">
        <f t="shared" si="38"/>
        <v>0</v>
      </c>
    </row>
    <row r="433" spans="1:14" ht="12.95" customHeight="1">
      <c r="A433" s="62"/>
      <c r="B433" s="111" t="s">
        <v>92</v>
      </c>
      <c r="C433" s="58">
        <v>1.379459566116126</v>
      </c>
      <c r="D433" s="59">
        <f t="shared" si="41"/>
        <v>41.38378698348378</v>
      </c>
      <c r="E433" s="60"/>
      <c r="F433" s="149"/>
      <c r="G433" s="150"/>
      <c r="H433" s="165"/>
      <c r="I433" s="166"/>
      <c r="J433" s="53"/>
      <c r="K433">
        <f t="shared" si="35"/>
        <v>0</v>
      </c>
      <c r="L433">
        <f t="shared" si="36"/>
        <v>0</v>
      </c>
      <c r="M433">
        <f t="shared" si="37"/>
        <v>0</v>
      </c>
      <c r="N433">
        <f t="shared" si="38"/>
        <v>0</v>
      </c>
    </row>
    <row r="434" spans="1:14" ht="12.95" customHeight="1">
      <c r="A434" s="62"/>
      <c r="B434" s="111" t="s">
        <v>93</v>
      </c>
      <c r="C434" s="58">
        <v>2.4543875526172387</v>
      </c>
      <c r="D434" s="59">
        <f t="shared" si="41"/>
        <v>73.631626578517157</v>
      </c>
      <c r="E434" s="60"/>
      <c r="F434" s="149"/>
      <c r="G434" s="150"/>
      <c r="H434" s="165"/>
      <c r="I434" s="166"/>
      <c r="J434" s="53"/>
      <c r="K434">
        <f t="shared" si="35"/>
        <v>0</v>
      </c>
      <c r="L434">
        <f t="shared" si="36"/>
        <v>0</v>
      </c>
      <c r="M434">
        <f t="shared" si="37"/>
        <v>0</v>
      </c>
      <c r="N434">
        <f t="shared" si="38"/>
        <v>0</v>
      </c>
    </row>
    <row r="435" spans="1:14" ht="12.95" customHeight="1">
      <c r="A435" s="62"/>
      <c r="B435" s="111" t="s">
        <v>94</v>
      </c>
      <c r="C435" s="924" t="s">
        <v>95</v>
      </c>
      <c r="D435" s="925"/>
      <c r="E435" s="60"/>
      <c r="F435" s="913" t="s">
        <v>96</v>
      </c>
      <c r="G435" s="914"/>
      <c r="H435" s="915"/>
      <c r="J435" s="53"/>
      <c r="K435">
        <f t="shared" si="35"/>
        <v>0</v>
      </c>
      <c r="L435">
        <f t="shared" si="36"/>
        <v>0</v>
      </c>
      <c r="M435">
        <f t="shared" si="37"/>
        <v>0</v>
      </c>
      <c r="N435">
        <f t="shared" si="38"/>
        <v>0</v>
      </c>
    </row>
    <row r="436" spans="1:14" ht="12.95" customHeight="1">
      <c r="A436" s="62"/>
      <c r="B436" s="111" t="s">
        <v>12</v>
      </c>
      <c r="C436" s="924" t="s">
        <v>97</v>
      </c>
      <c r="D436" s="925"/>
      <c r="E436" s="60"/>
      <c r="F436" s="913" t="s">
        <v>98</v>
      </c>
      <c r="G436" s="914"/>
      <c r="H436" s="915"/>
      <c r="J436" s="53"/>
      <c r="K436">
        <f t="shared" si="35"/>
        <v>0</v>
      </c>
      <c r="L436">
        <f t="shared" si="36"/>
        <v>0</v>
      </c>
      <c r="M436">
        <f t="shared" si="37"/>
        <v>0</v>
      </c>
      <c r="N436">
        <f t="shared" si="38"/>
        <v>0</v>
      </c>
    </row>
    <row r="437" spans="1:14" ht="12.95" customHeight="1">
      <c r="A437" s="62"/>
      <c r="B437" s="111" t="s">
        <v>99</v>
      </c>
      <c r="C437" s="924" t="s">
        <v>100</v>
      </c>
      <c r="D437" s="925"/>
      <c r="E437" s="60"/>
      <c r="F437" s="913" t="s">
        <v>101</v>
      </c>
      <c r="G437" s="914"/>
      <c r="H437" s="915"/>
      <c r="J437" s="53"/>
      <c r="K437">
        <f t="shared" si="35"/>
        <v>0</v>
      </c>
      <c r="L437">
        <f t="shared" si="36"/>
        <v>0</v>
      </c>
      <c r="M437">
        <f t="shared" si="37"/>
        <v>0</v>
      </c>
      <c r="N437">
        <f t="shared" si="38"/>
        <v>0</v>
      </c>
    </row>
    <row r="438" spans="1:14" ht="12.95" customHeight="1">
      <c r="A438" s="62"/>
      <c r="B438" s="111" t="s">
        <v>13</v>
      </c>
      <c r="C438" s="924" t="s">
        <v>102</v>
      </c>
      <c r="D438" s="925"/>
      <c r="E438" s="60"/>
      <c r="F438" s="913" t="s">
        <v>103</v>
      </c>
      <c r="G438" s="914"/>
      <c r="H438" s="915"/>
      <c r="J438" s="53"/>
      <c r="K438">
        <f t="shared" si="35"/>
        <v>0</v>
      </c>
      <c r="L438">
        <f t="shared" si="36"/>
        <v>0</v>
      </c>
      <c r="M438">
        <f t="shared" si="37"/>
        <v>0</v>
      </c>
      <c r="N438">
        <f t="shared" si="38"/>
        <v>0</v>
      </c>
    </row>
    <row r="439" spans="1:14" ht="12.95" customHeight="1">
      <c r="A439" s="62"/>
      <c r="B439" s="111" t="s">
        <v>572</v>
      </c>
      <c r="C439" s="924" t="s">
        <v>104</v>
      </c>
      <c r="D439" s="925"/>
      <c r="E439" s="155"/>
      <c r="F439" s="913" t="s">
        <v>103</v>
      </c>
      <c r="G439" s="914"/>
      <c r="H439" s="915"/>
      <c r="J439" s="53"/>
      <c r="K439">
        <f t="shared" si="35"/>
        <v>0</v>
      </c>
      <c r="L439">
        <f t="shared" si="36"/>
        <v>0</v>
      </c>
      <c r="M439">
        <f t="shared" si="37"/>
        <v>0</v>
      </c>
      <c r="N439">
        <f t="shared" si="38"/>
        <v>0</v>
      </c>
    </row>
    <row r="440" spans="1:14" ht="12.95" customHeight="1">
      <c r="A440" s="62"/>
      <c r="B440" s="111" t="s">
        <v>14</v>
      </c>
      <c r="C440" s="58">
        <v>0.65742565770206118</v>
      </c>
      <c r="D440" s="108">
        <f>C440*30</f>
        <v>19.722769731061835</v>
      </c>
      <c r="E440" s="109"/>
      <c r="F440" s="282"/>
      <c r="G440" s="282"/>
      <c r="H440" s="283"/>
      <c r="I440" s="284"/>
      <c r="J440" s="53"/>
      <c r="K440">
        <f t="shared" si="35"/>
        <v>0</v>
      </c>
      <c r="L440">
        <f t="shared" si="36"/>
        <v>0</v>
      </c>
      <c r="M440">
        <f t="shared" si="37"/>
        <v>0</v>
      </c>
      <c r="N440">
        <f t="shared" si="38"/>
        <v>0</v>
      </c>
    </row>
    <row r="441" spans="1:14" ht="12.95" customHeight="1">
      <c r="A441" s="62"/>
      <c r="B441" s="111" t="s">
        <v>105</v>
      </c>
      <c r="C441" s="58">
        <v>1.1007491855225626</v>
      </c>
      <c r="D441" s="108">
        <f>C441*30</f>
        <v>33.022475565676878</v>
      </c>
      <c r="E441" s="109"/>
      <c r="F441" s="282"/>
      <c r="G441" s="282"/>
      <c r="H441" s="283"/>
      <c r="I441" s="284"/>
      <c r="J441" s="53"/>
      <c r="K441">
        <f t="shared" si="35"/>
        <v>0</v>
      </c>
      <c r="L441">
        <f t="shared" si="36"/>
        <v>0</v>
      </c>
      <c r="M441">
        <f t="shared" si="37"/>
        <v>0</v>
      </c>
      <c r="N441">
        <f t="shared" si="38"/>
        <v>0</v>
      </c>
    </row>
    <row r="442" spans="1:14" ht="12.95" customHeight="1">
      <c r="A442" s="62"/>
      <c r="B442" s="111" t="s">
        <v>106</v>
      </c>
      <c r="C442" s="58">
        <v>1.0840651844285092</v>
      </c>
      <c r="D442" s="108">
        <f>C442*30</f>
        <v>32.521955532855273</v>
      </c>
      <c r="E442" s="109"/>
      <c r="F442" s="282"/>
      <c r="G442" s="282"/>
      <c r="H442" s="283"/>
      <c r="I442" s="284"/>
      <c r="J442" s="53"/>
      <c r="K442">
        <f t="shared" si="35"/>
        <v>0</v>
      </c>
      <c r="L442">
        <f t="shared" si="36"/>
        <v>0</v>
      </c>
      <c r="M442">
        <f t="shared" si="37"/>
        <v>0</v>
      </c>
      <c r="N442">
        <f t="shared" si="38"/>
        <v>0</v>
      </c>
    </row>
    <row r="443" spans="1:14" ht="12.95" customHeight="1">
      <c r="A443" s="62"/>
      <c r="B443" s="111" t="s">
        <v>107</v>
      </c>
      <c r="C443" s="58">
        <v>1.2237408598033455</v>
      </c>
      <c r="D443" s="108">
        <f>C443*30</f>
        <v>36.712225794100362</v>
      </c>
      <c r="E443" s="109"/>
      <c r="F443" s="282"/>
      <c r="G443" s="282"/>
      <c r="H443" s="283"/>
      <c r="I443" s="284"/>
      <c r="J443" s="53"/>
      <c r="K443">
        <f t="shared" si="35"/>
        <v>0</v>
      </c>
      <c r="L443">
        <f t="shared" si="36"/>
        <v>0</v>
      </c>
      <c r="M443">
        <f t="shared" si="37"/>
        <v>0</v>
      </c>
      <c r="N443">
        <f t="shared" si="38"/>
        <v>0</v>
      </c>
    </row>
    <row r="444" spans="1:14" ht="12.95" customHeight="1">
      <c r="A444" s="62"/>
      <c r="B444" s="111"/>
      <c r="C444" s="259"/>
      <c r="D444" s="108"/>
      <c r="E444" s="109"/>
      <c r="F444" s="282"/>
      <c r="G444" s="282"/>
      <c r="H444" s="283"/>
      <c r="I444" s="284"/>
      <c r="J444" s="53"/>
      <c r="K444">
        <f t="shared" si="35"/>
        <v>0</v>
      </c>
      <c r="L444">
        <f t="shared" si="36"/>
        <v>0</v>
      </c>
      <c r="M444">
        <f t="shared" si="37"/>
        <v>0</v>
      </c>
      <c r="N444">
        <f t="shared" si="38"/>
        <v>0</v>
      </c>
    </row>
    <row r="445" spans="1:14" ht="12.95" customHeight="1">
      <c r="A445" s="62"/>
      <c r="B445" s="111"/>
      <c r="C445" s="259"/>
      <c r="D445" s="108"/>
      <c r="E445" s="109"/>
      <c r="F445" s="282"/>
      <c r="G445" s="282"/>
      <c r="H445" s="283"/>
      <c r="I445" s="284"/>
      <c r="J445" s="53"/>
      <c r="K445">
        <f t="shared" si="35"/>
        <v>0</v>
      </c>
      <c r="L445">
        <f t="shared" si="36"/>
        <v>0</v>
      </c>
      <c r="M445">
        <f t="shared" si="37"/>
        <v>0</v>
      </c>
      <c r="N445">
        <f t="shared" si="38"/>
        <v>0</v>
      </c>
    </row>
    <row r="446" spans="1:14" ht="12.95" customHeight="1">
      <c r="A446" s="62"/>
      <c r="B446" s="111"/>
      <c r="C446" s="259"/>
      <c r="D446" s="108"/>
      <c r="E446" s="109"/>
      <c r="F446" s="282"/>
      <c r="G446" s="282"/>
      <c r="H446" s="283"/>
      <c r="I446" s="284"/>
      <c r="J446" s="53"/>
      <c r="K446">
        <f t="shared" si="35"/>
        <v>0</v>
      </c>
      <c r="L446">
        <f t="shared" si="36"/>
        <v>0</v>
      </c>
      <c r="M446">
        <f t="shared" si="37"/>
        <v>0</v>
      </c>
      <c r="N446">
        <f t="shared" si="38"/>
        <v>0</v>
      </c>
    </row>
    <row r="447" spans="1:14" ht="12.95" customHeight="1">
      <c r="A447" s="62"/>
      <c r="B447" s="111"/>
      <c r="C447" s="259"/>
      <c r="D447" s="108"/>
      <c r="E447" s="109"/>
      <c r="F447" s="282"/>
      <c r="G447" s="282"/>
      <c r="H447" s="283"/>
      <c r="I447" s="284"/>
      <c r="J447" s="53"/>
      <c r="K447">
        <f t="shared" si="35"/>
        <v>0</v>
      </c>
      <c r="L447">
        <f t="shared" si="36"/>
        <v>0</v>
      </c>
      <c r="M447">
        <f t="shared" si="37"/>
        <v>0</v>
      </c>
      <c r="N447">
        <f t="shared" si="38"/>
        <v>0</v>
      </c>
    </row>
    <row r="448" spans="1:14" ht="12.95" customHeight="1">
      <c r="A448" s="62"/>
      <c r="B448" s="111"/>
      <c r="C448" s="259"/>
      <c r="D448" s="108"/>
      <c r="E448" s="109"/>
      <c r="F448" s="282"/>
      <c r="G448" s="282"/>
      <c r="H448" s="283"/>
      <c r="I448" s="284"/>
      <c r="J448" s="53"/>
      <c r="K448">
        <f t="shared" si="35"/>
        <v>0</v>
      </c>
      <c r="L448">
        <f t="shared" si="36"/>
        <v>0</v>
      </c>
      <c r="M448">
        <f t="shared" si="37"/>
        <v>0</v>
      </c>
      <c r="N448">
        <f t="shared" si="38"/>
        <v>0</v>
      </c>
    </row>
    <row r="449" spans="1:14" ht="12.95" customHeight="1">
      <c r="A449" s="62"/>
      <c r="B449" s="111"/>
      <c r="C449" s="259"/>
      <c r="D449" s="108"/>
      <c r="E449" s="109"/>
      <c r="F449" s="282"/>
      <c r="G449" s="282"/>
      <c r="H449" s="283"/>
      <c r="I449" s="284"/>
      <c r="J449" s="53"/>
      <c r="K449">
        <f t="shared" si="35"/>
        <v>0</v>
      </c>
      <c r="L449">
        <f t="shared" si="36"/>
        <v>0</v>
      </c>
      <c r="M449">
        <f t="shared" si="37"/>
        <v>0</v>
      </c>
      <c r="N449">
        <f t="shared" si="38"/>
        <v>0</v>
      </c>
    </row>
    <row r="450" spans="1:14" ht="12.95" customHeight="1" thickBot="1">
      <c r="A450" s="225"/>
      <c r="B450" s="226"/>
      <c r="C450" s="285"/>
      <c r="D450" s="286"/>
      <c r="E450" s="229"/>
      <c r="F450" s="228"/>
      <c r="G450" s="228"/>
      <c r="H450" s="231"/>
      <c r="I450" s="232"/>
      <c r="J450" s="53"/>
      <c r="K450">
        <f t="shared" si="35"/>
        <v>0</v>
      </c>
      <c r="L450">
        <f t="shared" si="36"/>
        <v>0</v>
      </c>
      <c r="M450">
        <f t="shared" si="37"/>
        <v>0</v>
      </c>
      <c r="N450">
        <f t="shared" si="38"/>
        <v>0</v>
      </c>
    </row>
    <row r="451" spans="1:14" ht="12" customHeight="1" thickTop="1">
      <c r="A451" s="940"/>
      <c r="B451" s="941" t="s">
        <v>635</v>
      </c>
      <c r="C451" s="942" t="s">
        <v>636</v>
      </c>
      <c r="D451" s="907"/>
      <c r="E451" s="943"/>
      <c r="F451" s="906" t="s">
        <v>637</v>
      </c>
      <c r="G451" s="907"/>
      <c r="H451" s="908"/>
      <c r="J451" s="53"/>
      <c r="K451">
        <f t="shared" si="35"/>
        <v>0</v>
      </c>
      <c r="L451">
        <f t="shared" si="36"/>
        <v>0</v>
      </c>
      <c r="M451">
        <f t="shared" si="37"/>
        <v>0</v>
      </c>
      <c r="N451">
        <f t="shared" si="38"/>
        <v>0</v>
      </c>
    </row>
    <row r="452" spans="1:14" ht="12" customHeight="1" thickBot="1">
      <c r="A452" s="889"/>
      <c r="B452" s="903"/>
      <c r="C452" s="900"/>
      <c r="D452" s="901"/>
      <c r="E452" s="902"/>
      <c r="F452" s="876"/>
      <c r="G452" s="876"/>
      <c r="H452" s="877"/>
      <c r="J452" s="53"/>
      <c r="K452">
        <f t="shared" ref="K452:K515" si="42">IF(M452&gt;0,1,0)</f>
        <v>0</v>
      </c>
      <c r="L452">
        <f t="shared" ref="L452:L515" si="43">IF(couleur(B452)=2,L453,IF(couleur(B453)=2,0,J452+L453))</f>
        <v>0</v>
      </c>
      <c r="M452">
        <f t="shared" ref="M452:M515" si="44">IF(couleur(B452)=2,L452,J452)</f>
        <v>0</v>
      </c>
      <c r="N452">
        <f t="shared" ref="N452:N515" si="45">IF(ISNUMBER(C452),J452*C452,0)</f>
        <v>0</v>
      </c>
    </row>
    <row r="453" spans="1:14" ht="12" customHeight="1" thickBot="1">
      <c r="A453" s="890"/>
      <c r="B453" s="904"/>
      <c r="C453" s="44" t="s">
        <v>639</v>
      </c>
      <c r="D453" s="45" t="s">
        <v>640</v>
      </c>
      <c r="E453" s="126" t="s">
        <v>835</v>
      </c>
      <c r="F453" s="878"/>
      <c r="G453" s="878"/>
      <c r="H453" s="879"/>
      <c r="J453" s="53"/>
      <c r="K453">
        <f t="shared" si="42"/>
        <v>0</v>
      </c>
      <c r="L453">
        <f t="shared" si="43"/>
        <v>0</v>
      </c>
      <c r="M453">
        <f t="shared" si="44"/>
        <v>0</v>
      </c>
      <c r="N453">
        <f t="shared" si="45"/>
        <v>0</v>
      </c>
    </row>
    <row r="454" spans="1:14" ht="12" customHeight="1" thickTop="1">
      <c r="A454" s="51"/>
      <c r="B454" s="950" t="s">
        <v>108</v>
      </c>
      <c r="C454" s="918" t="s">
        <v>109</v>
      </c>
      <c r="D454" s="919"/>
      <c r="E454" s="920"/>
      <c r="F454" s="177"/>
      <c r="G454" s="178"/>
      <c r="H454" s="179"/>
      <c r="I454" s="180"/>
      <c r="J454" s="53"/>
      <c r="K454">
        <f t="shared" si="42"/>
        <v>0</v>
      </c>
      <c r="L454">
        <f t="shared" si="43"/>
        <v>0</v>
      </c>
      <c r="M454">
        <f t="shared" si="44"/>
        <v>0</v>
      </c>
      <c r="N454">
        <f t="shared" si="45"/>
        <v>0</v>
      </c>
    </row>
    <row r="455" spans="1:14" ht="12" customHeight="1">
      <c r="A455" s="51"/>
      <c r="B455" s="949"/>
      <c r="C455" s="921"/>
      <c r="D455" s="922"/>
      <c r="E455" s="923"/>
      <c r="F455" s="287"/>
      <c r="G455" s="288"/>
      <c r="H455" s="190"/>
      <c r="I455" s="191"/>
      <c r="J455" s="53"/>
      <c r="K455">
        <f t="shared" si="42"/>
        <v>0</v>
      </c>
      <c r="L455">
        <f t="shared" si="43"/>
        <v>0</v>
      </c>
      <c r="M455">
        <f t="shared" si="44"/>
        <v>0</v>
      </c>
      <c r="N455">
        <f t="shared" si="45"/>
        <v>0</v>
      </c>
    </row>
    <row r="456" spans="1:14" ht="12" customHeight="1">
      <c r="A456" s="184"/>
      <c r="B456" s="111" t="s">
        <v>15</v>
      </c>
      <c r="C456" s="58">
        <v>4.2146184026811415</v>
      </c>
      <c r="D456" s="59">
        <f>C456*30</f>
        <v>126.43855208043425</v>
      </c>
      <c r="E456" s="185">
        <f>D456/(2.5*2.8)</f>
        <v>18.062650297204893</v>
      </c>
      <c r="F456" s="149"/>
      <c r="G456" s="150"/>
      <c r="H456" s="151"/>
      <c r="I456" s="152"/>
      <c r="J456" s="53"/>
      <c r="K456">
        <f t="shared" si="42"/>
        <v>0</v>
      </c>
      <c r="L456">
        <f t="shared" si="43"/>
        <v>0</v>
      </c>
      <c r="M456">
        <f t="shared" si="44"/>
        <v>0</v>
      </c>
      <c r="N456">
        <f t="shared" si="45"/>
        <v>0</v>
      </c>
    </row>
    <row r="457" spans="1:14" ht="12" customHeight="1">
      <c r="A457" s="184"/>
      <c r="B457" s="111" t="s">
        <v>16</v>
      </c>
      <c r="C457" s="58">
        <v>2.004446947377311</v>
      </c>
      <c r="D457" s="59">
        <f>C457*30</f>
        <v>60.133408421319331</v>
      </c>
      <c r="E457" s="185">
        <f>D457/(1.25*2.8)</f>
        <v>17.180973834662666</v>
      </c>
      <c r="F457" s="186"/>
      <c r="G457" s="59"/>
      <c r="H457" s="151"/>
      <c r="I457" s="152"/>
      <c r="J457" s="53"/>
      <c r="K457">
        <f t="shared" si="42"/>
        <v>0</v>
      </c>
      <c r="L457">
        <f t="shared" si="43"/>
        <v>0</v>
      </c>
      <c r="M457">
        <f t="shared" si="44"/>
        <v>0</v>
      </c>
      <c r="N457">
        <f t="shared" si="45"/>
        <v>0</v>
      </c>
    </row>
    <row r="458" spans="1:14" ht="12.95" customHeight="1">
      <c r="A458" s="56"/>
      <c r="B458" s="111" t="s">
        <v>17</v>
      </c>
      <c r="C458" s="58">
        <v>1.0790004962856392</v>
      </c>
      <c r="D458" s="59">
        <f>C458*30</f>
        <v>32.370014888569173</v>
      </c>
      <c r="E458" s="185">
        <f>D458/(0.625*2.8)</f>
        <v>18.49715136489667</v>
      </c>
      <c r="F458" s="149"/>
      <c r="G458" s="150"/>
      <c r="H458" s="151"/>
      <c r="I458" s="152"/>
      <c r="J458" s="53"/>
      <c r="K458">
        <f t="shared" si="42"/>
        <v>0</v>
      </c>
      <c r="L458">
        <f t="shared" si="43"/>
        <v>0</v>
      </c>
      <c r="M458">
        <f t="shared" si="44"/>
        <v>0</v>
      </c>
      <c r="N458">
        <f t="shared" si="45"/>
        <v>0</v>
      </c>
    </row>
    <row r="459" spans="1:14" ht="12.95" customHeight="1">
      <c r="A459" s="56"/>
      <c r="B459" s="111" t="s">
        <v>26</v>
      </c>
      <c r="C459" s="58">
        <v>0.53094692220624462</v>
      </c>
      <c r="D459" s="59">
        <f>C459*30</f>
        <v>15.928407666187338</v>
      </c>
      <c r="E459" s="185">
        <f>D459/(0.3*2.8)</f>
        <v>18.962390078794449</v>
      </c>
      <c r="F459" s="149"/>
      <c r="G459" s="150"/>
      <c r="H459" s="151"/>
      <c r="I459" s="152"/>
      <c r="J459" s="53"/>
      <c r="K459">
        <f t="shared" si="42"/>
        <v>0</v>
      </c>
      <c r="L459">
        <f t="shared" si="43"/>
        <v>0</v>
      </c>
      <c r="M459">
        <f t="shared" si="44"/>
        <v>0</v>
      </c>
      <c r="N459">
        <f t="shared" si="45"/>
        <v>0</v>
      </c>
    </row>
    <row r="460" spans="1:14" ht="12.95" customHeight="1">
      <c r="A460" s="62"/>
      <c r="B460" s="111"/>
      <c r="C460" s="64"/>
      <c r="D460" s="59"/>
      <c r="E460" s="60"/>
      <c r="F460" s="149"/>
      <c r="G460" s="150"/>
      <c r="H460" s="151"/>
      <c r="I460" s="152"/>
      <c r="J460" s="53"/>
      <c r="K460">
        <f t="shared" si="42"/>
        <v>0</v>
      </c>
      <c r="L460">
        <f t="shared" si="43"/>
        <v>0</v>
      </c>
      <c r="M460">
        <f t="shared" si="44"/>
        <v>0</v>
      </c>
      <c r="N460">
        <f t="shared" si="45"/>
        <v>0</v>
      </c>
    </row>
    <row r="461" spans="1:14" ht="12.95" customHeight="1">
      <c r="A461" s="65"/>
      <c r="B461" s="111" t="s">
        <v>18</v>
      </c>
      <c r="C461" s="58">
        <v>2.4270366187437871</v>
      </c>
      <c r="D461" s="59">
        <f>C461*30</f>
        <v>72.811098562313617</v>
      </c>
      <c r="E461" s="185">
        <f>D461/(2.5*1)</f>
        <v>29.124439424925448</v>
      </c>
      <c r="F461" s="149"/>
      <c r="G461" s="150"/>
      <c r="H461" s="151"/>
      <c r="I461" s="152"/>
      <c r="J461" s="53"/>
      <c r="K461">
        <f t="shared" si="42"/>
        <v>0</v>
      </c>
      <c r="L461">
        <f t="shared" si="43"/>
        <v>0</v>
      </c>
      <c r="M461">
        <f t="shared" si="44"/>
        <v>0</v>
      </c>
      <c r="N461">
        <f t="shared" si="45"/>
        <v>0</v>
      </c>
    </row>
    <row r="462" spans="1:14" ht="12" customHeight="1">
      <c r="A462" s="70"/>
      <c r="B462" s="111" t="s">
        <v>19</v>
      </c>
      <c r="C462" s="58">
        <v>1.2207233288682704</v>
      </c>
      <c r="D462" s="59">
        <f>C462*30</f>
        <v>36.621699866048111</v>
      </c>
      <c r="E462" s="185">
        <f>D462/(1.25*1)</f>
        <v>29.29735989283849</v>
      </c>
      <c r="F462" s="149"/>
      <c r="G462" s="150"/>
      <c r="H462" s="151"/>
      <c r="I462" s="152"/>
      <c r="J462" s="53"/>
      <c r="K462">
        <f t="shared" si="42"/>
        <v>0</v>
      </c>
      <c r="L462">
        <f t="shared" si="43"/>
        <v>0</v>
      </c>
      <c r="M462">
        <f t="shared" si="44"/>
        <v>0</v>
      </c>
      <c r="N462">
        <f t="shared" si="45"/>
        <v>0</v>
      </c>
    </row>
    <row r="463" spans="1:14" ht="12.95" customHeight="1">
      <c r="A463" s="70"/>
      <c r="B463" s="111" t="s">
        <v>20</v>
      </c>
      <c r="C463" s="58">
        <v>0.60935990139194529</v>
      </c>
      <c r="D463" s="59">
        <f>C463*30</f>
        <v>18.280797041758358</v>
      </c>
      <c r="E463" s="185">
        <f>D463/(0.625*1)</f>
        <v>29.249275266813374</v>
      </c>
      <c r="F463" s="149"/>
      <c r="G463" s="150"/>
      <c r="H463" s="151"/>
      <c r="I463" s="152"/>
      <c r="J463" s="53"/>
      <c r="K463">
        <f t="shared" si="42"/>
        <v>0</v>
      </c>
      <c r="L463">
        <f t="shared" si="43"/>
        <v>0</v>
      </c>
      <c r="M463">
        <f t="shared" si="44"/>
        <v>0</v>
      </c>
      <c r="N463">
        <f t="shared" si="45"/>
        <v>0</v>
      </c>
    </row>
    <row r="464" spans="1:14" ht="12.95" customHeight="1">
      <c r="A464" s="70"/>
      <c r="B464" s="111"/>
      <c r="C464" s="58"/>
      <c r="D464" s="59"/>
      <c r="E464" s="185"/>
      <c r="F464" s="149"/>
      <c r="G464" s="150"/>
      <c r="H464" s="151"/>
      <c r="I464" s="152"/>
      <c r="J464" s="53"/>
      <c r="K464">
        <f t="shared" si="42"/>
        <v>0</v>
      </c>
      <c r="L464">
        <f t="shared" si="43"/>
        <v>0</v>
      </c>
      <c r="M464">
        <f t="shared" si="44"/>
        <v>0</v>
      </c>
      <c r="N464">
        <f t="shared" si="45"/>
        <v>0</v>
      </c>
    </row>
    <row r="465" spans="1:14" ht="12" customHeight="1">
      <c r="A465" s="70"/>
      <c r="B465" s="111" t="s">
        <v>21</v>
      </c>
      <c r="C465" s="58">
        <v>3.6736648414675321</v>
      </c>
      <c r="D465" s="59">
        <f>C465*30</f>
        <v>110.20994524402596</v>
      </c>
      <c r="E465" s="185">
        <f>D465/(2.5*1.5)</f>
        <v>29.389318731740257</v>
      </c>
      <c r="F465" s="149"/>
      <c r="G465" s="150"/>
      <c r="H465" s="151"/>
      <c r="I465" s="152"/>
      <c r="J465" s="53"/>
      <c r="K465">
        <f t="shared" si="42"/>
        <v>0</v>
      </c>
      <c r="L465">
        <f t="shared" si="43"/>
        <v>0</v>
      </c>
      <c r="M465">
        <f t="shared" si="44"/>
        <v>0</v>
      </c>
      <c r="N465">
        <f t="shared" si="45"/>
        <v>0</v>
      </c>
    </row>
    <row r="466" spans="1:14" ht="12" customHeight="1">
      <c r="A466" s="70"/>
      <c r="B466" s="111" t="s">
        <v>22</v>
      </c>
      <c r="C466" s="58">
        <v>1.8548145075670424</v>
      </c>
      <c r="D466" s="59">
        <f>C466*30</f>
        <v>55.644435227011272</v>
      </c>
      <c r="E466" s="185">
        <f>D466/(1.25*1.5)</f>
        <v>29.677032121072678</v>
      </c>
      <c r="F466" s="149"/>
      <c r="G466" s="150"/>
      <c r="H466" s="151"/>
      <c r="I466" s="152"/>
      <c r="J466" s="53"/>
      <c r="K466">
        <f t="shared" si="42"/>
        <v>0</v>
      </c>
      <c r="L466">
        <f t="shared" si="43"/>
        <v>0</v>
      </c>
      <c r="M466">
        <f t="shared" si="44"/>
        <v>0</v>
      </c>
      <c r="N466">
        <f t="shared" si="45"/>
        <v>0</v>
      </c>
    </row>
    <row r="467" spans="1:14" ht="12.95" customHeight="1">
      <c r="A467" s="70"/>
      <c r="B467" s="111" t="s">
        <v>23</v>
      </c>
      <c r="C467" s="58">
        <v>0.94080376393635712</v>
      </c>
      <c r="D467" s="59">
        <f>C467*30</f>
        <v>28.224112918090714</v>
      </c>
      <c r="E467" s="185">
        <f>D467/(0.625*1.5)</f>
        <v>30.105720445963428</v>
      </c>
      <c r="F467" s="149"/>
      <c r="G467" s="150"/>
      <c r="H467" s="151"/>
      <c r="I467" s="152"/>
      <c r="J467" s="53"/>
      <c r="K467">
        <f t="shared" si="42"/>
        <v>0</v>
      </c>
      <c r="L467">
        <f t="shared" si="43"/>
        <v>0</v>
      </c>
      <c r="M467">
        <f t="shared" si="44"/>
        <v>0</v>
      </c>
      <c r="N467">
        <f t="shared" si="45"/>
        <v>0</v>
      </c>
    </row>
    <row r="468" spans="1:14" ht="12.95" customHeight="1">
      <c r="A468" s="70"/>
      <c r="B468" s="111"/>
      <c r="C468" s="64"/>
      <c r="D468" s="59"/>
      <c r="E468" s="60"/>
      <c r="F468" s="149"/>
      <c r="G468" s="150"/>
      <c r="H468" s="151"/>
      <c r="I468" s="152"/>
      <c r="J468" s="53"/>
      <c r="K468">
        <f t="shared" si="42"/>
        <v>0</v>
      </c>
      <c r="L468">
        <f t="shared" si="43"/>
        <v>0</v>
      </c>
      <c r="M468">
        <f t="shared" si="44"/>
        <v>0</v>
      </c>
      <c r="N468">
        <f t="shared" si="45"/>
        <v>0</v>
      </c>
    </row>
    <row r="469" spans="1:14" ht="12.95" customHeight="1">
      <c r="A469" s="65"/>
      <c r="B469" s="111" t="s">
        <v>24</v>
      </c>
      <c r="C469" s="58">
        <v>0.97049719998806305</v>
      </c>
      <c r="D469" s="59">
        <f>C469*30</f>
        <v>29.114915999641891</v>
      </c>
      <c r="E469" s="254">
        <f>D469/(2.5*0.5)</f>
        <v>23.291932799713514</v>
      </c>
      <c r="F469" s="149"/>
      <c r="G469" s="150"/>
      <c r="H469" s="151"/>
      <c r="I469" s="152"/>
      <c r="J469" s="53"/>
      <c r="K469">
        <f t="shared" si="42"/>
        <v>0</v>
      </c>
      <c r="L469">
        <f t="shared" si="43"/>
        <v>0</v>
      </c>
      <c r="M469">
        <f t="shared" si="44"/>
        <v>0</v>
      </c>
      <c r="N469">
        <f t="shared" si="45"/>
        <v>0</v>
      </c>
    </row>
    <row r="470" spans="1:14" ht="12.95" customHeight="1">
      <c r="A470" s="70"/>
      <c r="B470" s="111" t="s">
        <v>25</v>
      </c>
      <c r="C470" s="58">
        <v>0.57044136285506275</v>
      </c>
      <c r="D470" s="59">
        <f>C470*30</f>
        <v>17.113240885651884</v>
      </c>
      <c r="E470" s="254">
        <f>D470/(1.25*0.5)</f>
        <v>27.381185417043014</v>
      </c>
      <c r="F470" s="149"/>
      <c r="G470" s="150"/>
      <c r="H470" s="151"/>
      <c r="I470" s="152"/>
      <c r="J470" s="53"/>
      <c r="K470">
        <f t="shared" si="42"/>
        <v>0</v>
      </c>
      <c r="L470">
        <f t="shared" si="43"/>
        <v>0</v>
      </c>
      <c r="M470">
        <f t="shared" si="44"/>
        <v>0</v>
      </c>
      <c r="N470">
        <f t="shared" si="45"/>
        <v>0</v>
      </c>
    </row>
    <row r="471" spans="1:14" ht="12.95" customHeight="1">
      <c r="A471" s="70"/>
      <c r="B471" s="111" t="s">
        <v>553</v>
      </c>
      <c r="C471" s="58">
        <v>0.24160505186849116</v>
      </c>
      <c r="D471" s="59">
        <f>C471*30</f>
        <v>7.2481515560547347</v>
      </c>
      <c r="E471" s="254">
        <f>D471/(0.625*0.5)</f>
        <v>23.194084979375152</v>
      </c>
      <c r="F471" s="149"/>
      <c r="G471" s="150"/>
      <c r="H471" s="151"/>
      <c r="I471" s="152"/>
      <c r="J471" s="53"/>
      <c r="K471">
        <f t="shared" si="42"/>
        <v>0</v>
      </c>
      <c r="L471">
        <f t="shared" si="43"/>
        <v>0</v>
      </c>
      <c r="M471">
        <f t="shared" si="44"/>
        <v>0</v>
      </c>
      <c r="N471">
        <f t="shared" si="45"/>
        <v>0</v>
      </c>
    </row>
    <row r="472" spans="1:14" ht="12.95" customHeight="1">
      <c r="A472" s="70"/>
      <c r="B472" s="111"/>
      <c r="C472" s="58"/>
      <c r="D472" s="59"/>
      <c r="E472" s="254"/>
      <c r="F472" s="149"/>
      <c r="G472" s="150"/>
      <c r="H472" s="151"/>
      <c r="I472" s="152"/>
      <c r="J472" s="53"/>
      <c r="K472">
        <f t="shared" si="42"/>
        <v>0</v>
      </c>
      <c r="L472">
        <f t="shared" si="43"/>
        <v>0</v>
      </c>
      <c r="M472">
        <f t="shared" si="44"/>
        <v>0</v>
      </c>
      <c r="N472">
        <f t="shared" si="45"/>
        <v>0</v>
      </c>
    </row>
    <row r="473" spans="1:14" ht="12.95" customHeight="1">
      <c r="A473" s="70"/>
      <c r="B473" s="111" t="s">
        <v>110</v>
      </c>
      <c r="C473" s="58">
        <v>0.77777808626155054</v>
      </c>
      <c r="D473" s="59">
        <f>C473*30</f>
        <v>23.333342587846516</v>
      </c>
      <c r="E473" s="254">
        <f>D473/(2.5*0.25)</f>
        <v>37.333348140554428</v>
      </c>
      <c r="F473" s="149"/>
      <c r="G473" s="150"/>
      <c r="H473" s="151"/>
      <c r="I473" s="152"/>
      <c r="J473" s="53"/>
      <c r="K473">
        <f t="shared" si="42"/>
        <v>0</v>
      </c>
      <c r="L473">
        <f t="shared" si="43"/>
        <v>0</v>
      </c>
      <c r="M473">
        <f t="shared" si="44"/>
        <v>0</v>
      </c>
      <c r="N473">
        <f t="shared" si="45"/>
        <v>0</v>
      </c>
    </row>
    <row r="474" spans="1:14" ht="12.95" customHeight="1">
      <c r="A474" s="70"/>
      <c r="B474" s="111" t="s">
        <v>111</v>
      </c>
      <c r="C474" s="58">
        <v>0.41729680434437777</v>
      </c>
      <c r="D474" s="59">
        <f>C474*30</f>
        <v>12.518904130331332</v>
      </c>
      <c r="E474" s="254">
        <f>D474/(1.25*0.25)</f>
        <v>40.060493217060262</v>
      </c>
      <c r="F474" s="149"/>
      <c r="G474" s="150"/>
      <c r="H474" s="151"/>
      <c r="I474" s="152"/>
      <c r="J474" s="53"/>
      <c r="K474">
        <f t="shared" si="42"/>
        <v>0</v>
      </c>
      <c r="L474">
        <f t="shared" si="43"/>
        <v>0</v>
      </c>
      <c r="M474">
        <f t="shared" si="44"/>
        <v>0</v>
      </c>
      <c r="N474">
        <f t="shared" si="45"/>
        <v>0</v>
      </c>
    </row>
    <row r="475" spans="1:14" ht="12.95" customHeight="1">
      <c r="A475" s="70"/>
      <c r="B475" s="111" t="s">
        <v>112</v>
      </c>
      <c r="C475" s="58">
        <v>0.18995984156722565</v>
      </c>
      <c r="D475" s="59">
        <f>C475*30</f>
        <v>5.6987952470167693</v>
      </c>
      <c r="E475" s="254">
        <f>D475/(0.625*0.25)</f>
        <v>36.472289580907322</v>
      </c>
      <c r="F475" s="149"/>
      <c r="G475" s="150"/>
      <c r="H475" s="151"/>
      <c r="I475" s="152"/>
      <c r="J475" s="53"/>
      <c r="K475">
        <f t="shared" si="42"/>
        <v>0</v>
      </c>
      <c r="L475">
        <f t="shared" si="43"/>
        <v>0</v>
      </c>
      <c r="M475">
        <f t="shared" si="44"/>
        <v>0</v>
      </c>
      <c r="N475">
        <f t="shared" si="45"/>
        <v>0</v>
      </c>
    </row>
    <row r="476" spans="1:14" ht="12" customHeight="1">
      <c r="A476" s="70"/>
      <c r="B476" s="111"/>
      <c r="C476" s="289"/>
      <c r="D476" s="59"/>
      <c r="E476" s="248"/>
      <c r="F476" s="159"/>
      <c r="G476" s="160"/>
      <c r="H476" s="161"/>
      <c r="I476" s="162"/>
      <c r="J476" s="53"/>
      <c r="K476">
        <f t="shared" si="42"/>
        <v>0</v>
      </c>
      <c r="L476">
        <f t="shared" si="43"/>
        <v>0</v>
      </c>
      <c r="M476">
        <f t="shared" si="44"/>
        <v>0</v>
      </c>
      <c r="N476">
        <f t="shared" si="45"/>
        <v>0</v>
      </c>
    </row>
    <row r="477" spans="1:14" ht="12" customHeight="1">
      <c r="A477" s="65"/>
      <c r="B477" s="111" t="s">
        <v>554</v>
      </c>
      <c r="C477" s="58">
        <v>6.0809080532794129</v>
      </c>
      <c r="D477" s="59">
        <f>C477*30</f>
        <v>182.42724159838238</v>
      </c>
      <c r="E477" s="185"/>
      <c r="F477" s="149"/>
      <c r="G477" s="150"/>
      <c r="H477" s="161"/>
      <c r="I477" s="162"/>
      <c r="J477" s="53"/>
      <c r="K477">
        <f t="shared" si="42"/>
        <v>0</v>
      </c>
      <c r="L477">
        <f t="shared" si="43"/>
        <v>0</v>
      </c>
      <c r="M477">
        <f t="shared" si="44"/>
        <v>0</v>
      </c>
      <c r="N477">
        <f t="shared" si="45"/>
        <v>0</v>
      </c>
    </row>
    <row r="478" spans="1:14" ht="12.95" customHeight="1">
      <c r="A478" s="70"/>
      <c r="B478" s="111" t="s">
        <v>555</v>
      </c>
      <c r="C478" s="58">
        <v>3.810872944546698</v>
      </c>
      <c r="D478" s="59">
        <f>C478*30</f>
        <v>114.32618833640095</v>
      </c>
      <c r="E478" s="185"/>
      <c r="F478" s="149"/>
      <c r="G478" s="150"/>
      <c r="H478" s="161"/>
      <c r="I478" s="162"/>
      <c r="J478" s="53"/>
      <c r="K478">
        <f t="shared" si="42"/>
        <v>0</v>
      </c>
      <c r="L478">
        <f t="shared" si="43"/>
        <v>0</v>
      </c>
      <c r="M478">
        <f t="shared" si="44"/>
        <v>0</v>
      </c>
      <c r="N478">
        <f t="shared" si="45"/>
        <v>0</v>
      </c>
    </row>
    <row r="479" spans="1:14" ht="12.95" customHeight="1">
      <c r="A479" s="70"/>
      <c r="B479" s="111" t="s">
        <v>556</v>
      </c>
      <c r="C479" s="58">
        <v>2.6782760804005292</v>
      </c>
      <c r="D479" s="59">
        <f>C479*30</f>
        <v>80.348282412015877</v>
      </c>
      <c r="E479" s="185"/>
      <c r="F479" s="149"/>
      <c r="G479" s="150"/>
      <c r="H479" s="161"/>
      <c r="I479" s="162"/>
      <c r="J479" s="53"/>
      <c r="K479">
        <f t="shared" si="42"/>
        <v>0</v>
      </c>
      <c r="L479">
        <f t="shared" si="43"/>
        <v>0</v>
      </c>
      <c r="M479">
        <f t="shared" si="44"/>
        <v>0</v>
      </c>
      <c r="N479">
        <f t="shared" si="45"/>
        <v>0</v>
      </c>
    </row>
    <row r="480" spans="1:14" ht="12.95" customHeight="1">
      <c r="A480" s="65"/>
      <c r="B480" s="111" t="s">
        <v>557</v>
      </c>
      <c r="C480" s="58">
        <v>1.082100332993013</v>
      </c>
      <c r="D480" s="59">
        <f>C480*30</f>
        <v>32.463009989790393</v>
      </c>
      <c r="E480" s="185"/>
      <c r="F480" s="149"/>
      <c r="G480" s="150"/>
      <c r="H480" s="151"/>
      <c r="I480" s="152"/>
      <c r="J480" s="53"/>
      <c r="K480">
        <f t="shared" si="42"/>
        <v>0</v>
      </c>
      <c r="L480">
        <f t="shared" si="43"/>
        <v>0</v>
      </c>
      <c r="M480">
        <f t="shared" si="44"/>
        <v>0</v>
      </c>
      <c r="N480">
        <f t="shared" si="45"/>
        <v>0</v>
      </c>
    </row>
    <row r="481" spans="1:14" ht="12.95" customHeight="1">
      <c r="A481" s="65"/>
      <c r="B481" s="111" t="s">
        <v>113</v>
      </c>
      <c r="C481" s="58">
        <v>0.54212517936374638</v>
      </c>
      <c r="D481" s="59">
        <f>C481*30</f>
        <v>16.263755380912393</v>
      </c>
      <c r="E481" s="185"/>
      <c r="F481" s="149"/>
      <c r="G481" s="150"/>
      <c r="H481" s="151"/>
      <c r="I481" s="152"/>
      <c r="J481" s="53"/>
      <c r="K481">
        <f t="shared" si="42"/>
        <v>0</v>
      </c>
      <c r="L481">
        <f t="shared" si="43"/>
        <v>0</v>
      </c>
      <c r="M481">
        <f t="shared" si="44"/>
        <v>0</v>
      </c>
      <c r="N481">
        <f t="shared" si="45"/>
        <v>0</v>
      </c>
    </row>
    <row r="482" spans="1:14" ht="12.95" customHeight="1">
      <c r="A482" s="70"/>
      <c r="B482" s="111"/>
      <c r="C482" s="64"/>
      <c r="D482" s="59"/>
      <c r="E482" s="60"/>
      <c r="F482" s="149"/>
      <c r="G482" s="150"/>
      <c r="H482" s="151"/>
      <c r="I482" s="152"/>
      <c r="J482" s="53"/>
      <c r="K482">
        <f t="shared" si="42"/>
        <v>0</v>
      </c>
      <c r="L482">
        <f t="shared" si="43"/>
        <v>0</v>
      </c>
      <c r="M482">
        <f t="shared" si="44"/>
        <v>0</v>
      </c>
      <c r="N482">
        <f t="shared" si="45"/>
        <v>0</v>
      </c>
    </row>
    <row r="483" spans="1:14" ht="12.95" customHeight="1">
      <c r="A483" s="65"/>
      <c r="B483" s="111" t="s">
        <v>6</v>
      </c>
      <c r="C483" s="58">
        <v>0.82870745417313785</v>
      </c>
      <c r="D483" s="59">
        <f>C483*30</f>
        <v>24.861223625194135</v>
      </c>
      <c r="E483" s="60"/>
      <c r="F483" s="149"/>
      <c r="G483" s="150"/>
      <c r="H483" s="151"/>
      <c r="I483" s="152"/>
      <c r="J483" s="53"/>
      <c r="K483">
        <f t="shared" si="42"/>
        <v>0</v>
      </c>
      <c r="L483">
        <f t="shared" si="43"/>
        <v>0</v>
      </c>
      <c r="M483">
        <f t="shared" si="44"/>
        <v>0</v>
      </c>
      <c r="N483">
        <f t="shared" si="45"/>
        <v>0</v>
      </c>
    </row>
    <row r="484" spans="1:14" ht="12.95" customHeight="1">
      <c r="A484" s="70"/>
      <c r="B484" s="111" t="s">
        <v>8</v>
      </c>
      <c r="C484" s="58">
        <v>0.40678466153507831</v>
      </c>
      <c r="D484" s="59">
        <f>C484*30</f>
        <v>12.203539846052349</v>
      </c>
      <c r="E484" s="60"/>
      <c r="F484" s="149"/>
      <c r="G484" s="150"/>
      <c r="H484" s="151"/>
      <c r="I484" s="152"/>
      <c r="J484" s="53"/>
      <c r="K484">
        <f t="shared" si="42"/>
        <v>0</v>
      </c>
      <c r="L484">
        <f t="shared" si="43"/>
        <v>0</v>
      </c>
      <c r="M484">
        <f t="shared" si="44"/>
        <v>0</v>
      </c>
      <c r="N484">
        <f t="shared" si="45"/>
        <v>0</v>
      </c>
    </row>
    <row r="485" spans="1:14" ht="12.95" customHeight="1">
      <c r="A485" s="70"/>
      <c r="B485" s="111" t="s">
        <v>9</v>
      </c>
      <c r="C485" s="58">
        <v>0.3346088311145855</v>
      </c>
      <c r="D485" s="59">
        <f>C485*30</f>
        <v>10.038264933437565</v>
      </c>
      <c r="E485" s="60"/>
      <c r="F485" s="149"/>
      <c r="G485" s="150"/>
      <c r="H485" s="151"/>
      <c r="I485" s="152"/>
      <c r="J485" s="53"/>
      <c r="K485">
        <f t="shared" si="42"/>
        <v>0</v>
      </c>
      <c r="L485">
        <f t="shared" si="43"/>
        <v>0</v>
      </c>
      <c r="M485">
        <f t="shared" si="44"/>
        <v>0</v>
      </c>
      <c r="N485">
        <f t="shared" si="45"/>
        <v>0</v>
      </c>
    </row>
    <row r="486" spans="1:14" ht="12.95" customHeight="1">
      <c r="A486" s="164"/>
      <c r="B486" s="111" t="s">
        <v>10</v>
      </c>
      <c r="C486" s="58">
        <v>0.13720855545275831</v>
      </c>
      <c r="D486" s="59">
        <f>C486*30</f>
        <v>4.1162566635827496</v>
      </c>
      <c r="E486" s="60"/>
      <c r="F486" s="149"/>
      <c r="G486" s="150"/>
      <c r="H486" s="151"/>
      <c r="I486" s="152"/>
      <c r="J486" s="53"/>
      <c r="K486">
        <f t="shared" si="42"/>
        <v>0</v>
      </c>
      <c r="L486">
        <f t="shared" si="43"/>
        <v>0</v>
      </c>
      <c r="M486">
        <f t="shared" si="44"/>
        <v>0</v>
      </c>
      <c r="N486">
        <f t="shared" si="45"/>
        <v>0</v>
      </c>
    </row>
    <row r="487" spans="1:14" ht="12.95" customHeight="1">
      <c r="A487" s="65"/>
      <c r="B487" s="111" t="s">
        <v>114</v>
      </c>
      <c r="C487" s="58">
        <v>6.1147474769722682E-2</v>
      </c>
      <c r="D487" s="59">
        <f>C487*30</f>
        <v>1.8344242430916804</v>
      </c>
      <c r="E487" s="60"/>
      <c r="F487" s="149"/>
      <c r="G487" s="150"/>
      <c r="H487" s="165"/>
      <c r="I487" s="166"/>
      <c r="J487" s="53"/>
      <c r="K487">
        <f t="shared" si="42"/>
        <v>0</v>
      </c>
      <c r="L487">
        <f t="shared" si="43"/>
        <v>0</v>
      </c>
      <c r="M487">
        <f t="shared" si="44"/>
        <v>0</v>
      </c>
      <c r="N487">
        <f t="shared" si="45"/>
        <v>0</v>
      </c>
    </row>
    <row r="488" spans="1:14" ht="12" customHeight="1">
      <c r="A488" s="62"/>
      <c r="B488" s="111"/>
      <c r="C488" s="64"/>
      <c r="D488" s="59"/>
      <c r="E488" s="60"/>
      <c r="F488" s="149"/>
      <c r="G488" s="150"/>
      <c r="H488" s="165"/>
      <c r="I488" s="166"/>
      <c r="J488" s="53"/>
      <c r="K488">
        <f t="shared" si="42"/>
        <v>0</v>
      </c>
      <c r="L488">
        <f t="shared" si="43"/>
        <v>0</v>
      </c>
      <c r="M488">
        <f t="shared" si="44"/>
        <v>0</v>
      </c>
      <c r="N488">
        <f t="shared" si="45"/>
        <v>0</v>
      </c>
    </row>
    <row r="489" spans="1:14" ht="12" customHeight="1">
      <c r="A489" s="62"/>
      <c r="B489" s="111" t="s">
        <v>115</v>
      </c>
      <c r="C489" s="58">
        <v>0.21127095424943013</v>
      </c>
      <c r="D489" s="59">
        <f>C489*30</f>
        <v>6.3381286274829041</v>
      </c>
      <c r="E489" s="60"/>
      <c r="F489" s="149"/>
      <c r="G489" s="150"/>
      <c r="H489" s="165"/>
      <c r="I489" s="166"/>
      <c r="J489" s="53"/>
      <c r="K489">
        <f t="shared" si="42"/>
        <v>0</v>
      </c>
      <c r="L489">
        <f t="shared" si="43"/>
        <v>0</v>
      </c>
      <c r="M489">
        <f t="shared" si="44"/>
        <v>0</v>
      </c>
      <c r="N489">
        <f t="shared" si="45"/>
        <v>0</v>
      </c>
    </row>
    <row r="490" spans="1:14" ht="12" customHeight="1">
      <c r="A490" s="62"/>
      <c r="B490" s="111" t="s">
        <v>116</v>
      </c>
      <c r="C490" s="58">
        <v>0.16537107273978066</v>
      </c>
      <c r="D490" s="59">
        <f>C490*30</f>
        <v>4.9611321821934196</v>
      </c>
      <c r="E490" s="60"/>
      <c r="F490" s="149"/>
      <c r="G490" s="150"/>
      <c r="H490" s="165"/>
      <c r="I490" s="166"/>
      <c r="J490" s="53"/>
      <c r="K490">
        <f t="shared" si="42"/>
        <v>0</v>
      </c>
      <c r="L490">
        <f t="shared" si="43"/>
        <v>0</v>
      </c>
      <c r="M490">
        <f t="shared" si="44"/>
        <v>0</v>
      </c>
      <c r="N490">
        <f t="shared" si="45"/>
        <v>0</v>
      </c>
    </row>
    <row r="491" spans="1:14" ht="12.95" customHeight="1">
      <c r="A491" s="62"/>
      <c r="B491" s="111" t="s">
        <v>117</v>
      </c>
      <c r="C491" s="58">
        <v>0.10376345825740203</v>
      </c>
      <c r="D491" s="59">
        <f>C491*30</f>
        <v>3.1129037477220609</v>
      </c>
      <c r="E491" s="60"/>
      <c r="F491" s="149"/>
      <c r="G491" s="150"/>
      <c r="H491" s="165"/>
      <c r="I491" s="166"/>
      <c r="J491" s="53"/>
      <c r="K491">
        <f t="shared" si="42"/>
        <v>0</v>
      </c>
      <c r="L491">
        <f t="shared" si="43"/>
        <v>0</v>
      </c>
      <c r="M491">
        <f t="shared" si="44"/>
        <v>0</v>
      </c>
      <c r="N491">
        <f t="shared" si="45"/>
        <v>0</v>
      </c>
    </row>
    <row r="492" spans="1:14" ht="12.95" customHeight="1">
      <c r="A492" s="62"/>
      <c r="B492" s="111" t="s">
        <v>118</v>
      </c>
      <c r="C492" s="58">
        <v>5.2575042972626308E-2</v>
      </c>
      <c r="D492" s="59">
        <f>C492*30</f>
        <v>1.5772512891787893</v>
      </c>
      <c r="E492" s="60"/>
      <c r="F492" s="149"/>
      <c r="G492" s="150"/>
      <c r="H492" s="165"/>
      <c r="I492" s="166"/>
      <c r="J492" s="53"/>
      <c r="K492">
        <f t="shared" si="42"/>
        <v>0</v>
      </c>
      <c r="L492">
        <f t="shared" si="43"/>
        <v>0</v>
      </c>
      <c r="M492">
        <f t="shared" si="44"/>
        <v>0</v>
      </c>
      <c r="N492">
        <f t="shared" si="45"/>
        <v>0</v>
      </c>
    </row>
    <row r="493" spans="1:14" ht="12.95" customHeight="1">
      <c r="A493" s="62"/>
      <c r="B493" s="245"/>
      <c r="C493" s="64"/>
      <c r="D493" s="59"/>
      <c r="E493" s="60"/>
      <c r="F493" s="149"/>
      <c r="G493" s="150"/>
      <c r="H493" s="151"/>
      <c r="I493" s="152"/>
      <c r="J493" s="53"/>
      <c r="K493">
        <f t="shared" si="42"/>
        <v>0</v>
      </c>
      <c r="L493">
        <f t="shared" si="43"/>
        <v>0</v>
      </c>
      <c r="M493">
        <f t="shared" si="44"/>
        <v>0</v>
      </c>
      <c r="N493">
        <f t="shared" si="45"/>
        <v>0</v>
      </c>
    </row>
    <row r="494" spans="1:14" ht="12.95" customHeight="1">
      <c r="A494" s="62"/>
      <c r="B494" s="111" t="s">
        <v>558</v>
      </c>
      <c r="C494" s="58">
        <v>0.42113736277423647</v>
      </c>
      <c r="D494" s="59">
        <f t="shared" ref="D494:D499" si="46">C494*30</f>
        <v>12.634120883227094</v>
      </c>
      <c r="E494" s="60"/>
      <c r="F494" s="149"/>
      <c r="G494" s="150"/>
      <c r="H494" s="165"/>
      <c r="I494" s="166"/>
      <c r="J494" s="53"/>
      <c r="K494">
        <f t="shared" si="42"/>
        <v>0</v>
      </c>
      <c r="L494">
        <f t="shared" si="43"/>
        <v>0</v>
      </c>
      <c r="M494">
        <f t="shared" si="44"/>
        <v>0</v>
      </c>
      <c r="N494">
        <f t="shared" si="45"/>
        <v>0</v>
      </c>
    </row>
    <row r="495" spans="1:14" ht="12.95" customHeight="1">
      <c r="A495" s="62"/>
      <c r="B495" s="111" t="s">
        <v>559</v>
      </c>
      <c r="C495" s="58">
        <v>0.71623460071840606</v>
      </c>
      <c r="D495" s="59">
        <f t="shared" si="46"/>
        <v>21.487038021552181</v>
      </c>
      <c r="E495" s="60"/>
      <c r="F495" s="149"/>
      <c r="G495" s="150"/>
      <c r="H495" s="165"/>
      <c r="I495" s="166"/>
      <c r="J495" s="53"/>
      <c r="K495">
        <f t="shared" si="42"/>
        <v>0</v>
      </c>
      <c r="L495">
        <f t="shared" si="43"/>
        <v>0</v>
      </c>
      <c r="M495">
        <f t="shared" si="44"/>
        <v>0</v>
      </c>
      <c r="N495">
        <f t="shared" si="45"/>
        <v>0</v>
      </c>
    </row>
    <row r="496" spans="1:14" ht="12.95" customHeight="1">
      <c r="A496" s="62"/>
      <c r="B496" s="111" t="s">
        <v>560</v>
      </c>
      <c r="C496" s="58">
        <v>0.62555199198090838</v>
      </c>
      <c r="D496" s="59">
        <f t="shared" si="46"/>
        <v>18.766559759427253</v>
      </c>
      <c r="E496" s="60"/>
      <c r="F496" s="149"/>
      <c r="G496" s="150"/>
      <c r="H496" s="165"/>
      <c r="I496" s="166"/>
      <c r="J496" s="53"/>
      <c r="K496">
        <f t="shared" si="42"/>
        <v>0</v>
      </c>
      <c r="L496">
        <f t="shared" si="43"/>
        <v>0</v>
      </c>
      <c r="M496">
        <f t="shared" si="44"/>
        <v>0</v>
      </c>
      <c r="N496">
        <f t="shared" si="45"/>
        <v>0</v>
      </c>
    </row>
    <row r="497" spans="1:14" ht="12" customHeight="1">
      <c r="A497" s="62"/>
      <c r="B497" s="111" t="s">
        <v>561</v>
      </c>
      <c r="C497" s="58">
        <v>0.43941545681512539</v>
      </c>
      <c r="D497" s="59">
        <f t="shared" si="46"/>
        <v>13.182463704453761</v>
      </c>
      <c r="E497" s="60"/>
      <c r="F497" s="149"/>
      <c r="G497" s="150"/>
      <c r="H497" s="165"/>
      <c r="I497" s="166"/>
      <c r="J497" s="53"/>
      <c r="K497">
        <f t="shared" si="42"/>
        <v>0</v>
      </c>
      <c r="L497">
        <f t="shared" si="43"/>
        <v>0</v>
      </c>
      <c r="M497">
        <f t="shared" si="44"/>
        <v>0</v>
      </c>
      <c r="N497">
        <f t="shared" si="45"/>
        <v>0</v>
      </c>
    </row>
    <row r="498" spans="1:14" ht="12" customHeight="1">
      <c r="A498" s="62"/>
      <c r="B498" s="111" t="s">
        <v>562</v>
      </c>
      <c r="C498" s="58">
        <v>0.57681024236010559</v>
      </c>
      <c r="D498" s="59">
        <f t="shared" si="46"/>
        <v>17.304307270803168</v>
      </c>
      <c r="E498" s="60"/>
      <c r="F498" s="149"/>
      <c r="G498" s="150"/>
      <c r="H498" s="165"/>
      <c r="I498" s="166"/>
      <c r="J498" s="53"/>
      <c r="K498">
        <f t="shared" si="42"/>
        <v>0</v>
      </c>
      <c r="L498">
        <f t="shared" si="43"/>
        <v>0</v>
      </c>
      <c r="M498">
        <f t="shared" si="44"/>
        <v>0</v>
      </c>
      <c r="N498">
        <f t="shared" si="45"/>
        <v>0</v>
      </c>
    </row>
    <row r="499" spans="1:14" ht="12.95" customHeight="1">
      <c r="A499" s="62"/>
      <c r="B499" s="111" t="s">
        <v>563</v>
      </c>
      <c r="C499" s="58">
        <v>0.71240841906075958</v>
      </c>
      <c r="D499" s="59">
        <f t="shared" si="46"/>
        <v>21.372252571822788</v>
      </c>
      <c r="E499" s="60"/>
      <c r="F499" s="149"/>
      <c r="G499" s="150"/>
      <c r="H499" s="165"/>
      <c r="I499" s="166"/>
      <c r="J499" s="53"/>
      <c r="K499">
        <f t="shared" si="42"/>
        <v>0</v>
      </c>
      <c r="L499">
        <f t="shared" si="43"/>
        <v>0</v>
      </c>
      <c r="M499">
        <f t="shared" si="44"/>
        <v>0</v>
      </c>
      <c r="N499">
        <f t="shared" si="45"/>
        <v>0</v>
      </c>
    </row>
    <row r="500" spans="1:14" ht="12.95" customHeight="1">
      <c r="A500" s="62"/>
      <c r="B500" s="111"/>
      <c r="C500" s="64"/>
      <c r="D500" s="59"/>
      <c r="E500" s="60"/>
      <c r="F500" s="149"/>
      <c r="G500" s="150"/>
      <c r="H500" s="165"/>
      <c r="I500" s="166"/>
      <c r="J500" s="53"/>
      <c r="K500">
        <f t="shared" si="42"/>
        <v>0</v>
      </c>
      <c r="L500">
        <f t="shared" si="43"/>
        <v>0</v>
      </c>
      <c r="M500">
        <f t="shared" si="44"/>
        <v>0</v>
      </c>
      <c r="N500">
        <f t="shared" si="45"/>
        <v>0</v>
      </c>
    </row>
    <row r="501" spans="1:14" ht="12.95" customHeight="1">
      <c r="A501" s="62"/>
      <c r="B501" s="111" t="s">
        <v>11</v>
      </c>
      <c r="C501" s="944">
        <v>110</v>
      </c>
      <c r="D501" s="945"/>
      <c r="E501" s="60"/>
      <c r="F501" s="149"/>
      <c r="G501" s="150"/>
      <c r="H501" s="165"/>
      <c r="I501" s="166"/>
      <c r="J501" s="53"/>
      <c r="K501">
        <f t="shared" si="42"/>
        <v>0</v>
      </c>
      <c r="L501">
        <f t="shared" si="43"/>
        <v>0</v>
      </c>
      <c r="M501">
        <f t="shared" si="44"/>
        <v>0</v>
      </c>
      <c r="N501">
        <f t="shared" si="45"/>
        <v>0</v>
      </c>
    </row>
    <row r="502" spans="1:14" ht="12.95" customHeight="1">
      <c r="A502" s="62"/>
      <c r="B502" s="111" t="s">
        <v>564</v>
      </c>
      <c r="C502" s="58">
        <v>0.89799647725080645</v>
      </c>
      <c r="D502" s="59">
        <f>C502*30</f>
        <v>26.939894317524193</v>
      </c>
      <c r="E502" s="60"/>
      <c r="F502" s="149"/>
      <c r="G502" s="150"/>
      <c r="H502" s="165"/>
      <c r="I502" s="166"/>
      <c r="J502" s="53"/>
      <c r="K502">
        <f t="shared" si="42"/>
        <v>0</v>
      </c>
      <c r="L502">
        <f t="shared" si="43"/>
        <v>0</v>
      </c>
      <c r="M502">
        <f t="shared" si="44"/>
        <v>0</v>
      </c>
      <c r="N502">
        <f t="shared" si="45"/>
        <v>0</v>
      </c>
    </row>
    <row r="503" spans="1:14" ht="12.95" customHeight="1">
      <c r="A503" s="62"/>
      <c r="B503" s="111" t="s">
        <v>94</v>
      </c>
      <c r="C503" s="924">
        <v>78</v>
      </c>
      <c r="D503" s="926"/>
      <c r="E503" s="60"/>
      <c r="F503" s="913" t="s">
        <v>119</v>
      </c>
      <c r="G503" s="914"/>
      <c r="H503" s="915"/>
      <c r="J503" s="53"/>
      <c r="K503">
        <f t="shared" si="42"/>
        <v>0</v>
      </c>
      <c r="L503">
        <f t="shared" si="43"/>
        <v>0</v>
      </c>
      <c r="M503">
        <f t="shared" si="44"/>
        <v>0</v>
      </c>
      <c r="N503">
        <f t="shared" si="45"/>
        <v>0</v>
      </c>
    </row>
    <row r="504" spans="1:14" ht="12.95" customHeight="1">
      <c r="A504" s="62"/>
      <c r="B504" s="111" t="s">
        <v>12</v>
      </c>
      <c r="C504" s="924">
        <v>40</v>
      </c>
      <c r="D504" s="926"/>
      <c r="E504" s="60"/>
      <c r="F504" s="913" t="s">
        <v>120</v>
      </c>
      <c r="G504" s="914"/>
      <c r="H504" s="915"/>
      <c r="J504" s="53"/>
      <c r="K504">
        <f t="shared" si="42"/>
        <v>0</v>
      </c>
      <c r="L504">
        <f t="shared" si="43"/>
        <v>0</v>
      </c>
      <c r="M504">
        <f t="shared" si="44"/>
        <v>0</v>
      </c>
      <c r="N504">
        <f t="shared" si="45"/>
        <v>0</v>
      </c>
    </row>
    <row r="505" spans="1:14" ht="12" customHeight="1">
      <c r="A505" s="62"/>
      <c r="B505" s="111" t="s">
        <v>13</v>
      </c>
      <c r="C505" s="924">
        <v>8</v>
      </c>
      <c r="D505" s="926"/>
      <c r="E505" s="60"/>
      <c r="F505" s="913" t="s">
        <v>121</v>
      </c>
      <c r="G505" s="914"/>
      <c r="H505" s="915"/>
      <c r="J505" s="53"/>
      <c r="K505">
        <f t="shared" si="42"/>
        <v>0</v>
      </c>
      <c r="L505">
        <f t="shared" si="43"/>
        <v>0</v>
      </c>
      <c r="M505">
        <f t="shared" si="44"/>
        <v>0</v>
      </c>
      <c r="N505">
        <f t="shared" si="45"/>
        <v>0</v>
      </c>
    </row>
    <row r="506" spans="1:14" ht="12" customHeight="1">
      <c r="A506" s="290"/>
      <c r="B506" s="291" t="s">
        <v>572</v>
      </c>
      <c r="C506" s="924">
        <v>7</v>
      </c>
      <c r="D506" s="926"/>
      <c r="E506" s="155"/>
      <c r="F506" s="913" t="s">
        <v>122</v>
      </c>
      <c r="G506" s="914"/>
      <c r="H506" s="915"/>
      <c r="J506" s="53"/>
      <c r="K506">
        <f t="shared" si="42"/>
        <v>0</v>
      </c>
      <c r="L506">
        <f t="shared" si="43"/>
        <v>0</v>
      </c>
      <c r="M506">
        <f t="shared" si="44"/>
        <v>0</v>
      </c>
      <c r="N506">
        <f t="shared" si="45"/>
        <v>0</v>
      </c>
    </row>
    <row r="507" spans="1:14" ht="12.95" customHeight="1">
      <c r="A507" s="290"/>
      <c r="B507" s="257" t="s">
        <v>14</v>
      </c>
      <c r="C507" s="58">
        <v>0.60813417500316225</v>
      </c>
      <c r="D507" s="108">
        <f>C507*30</f>
        <v>18.244025250094868</v>
      </c>
      <c r="E507" s="109"/>
      <c r="F507" s="282"/>
      <c r="G507" s="282"/>
      <c r="H507" s="283"/>
      <c r="I507" s="284"/>
      <c r="J507" s="53"/>
      <c r="K507">
        <f t="shared" si="42"/>
        <v>0</v>
      </c>
      <c r="L507">
        <f t="shared" si="43"/>
        <v>0</v>
      </c>
      <c r="M507">
        <f t="shared" si="44"/>
        <v>0</v>
      </c>
      <c r="N507">
        <f t="shared" si="45"/>
        <v>0</v>
      </c>
    </row>
    <row r="508" spans="1:14" ht="12.95" customHeight="1" thickBot="1">
      <c r="A508" s="225"/>
      <c r="B508" s="226"/>
      <c r="C508" s="285"/>
      <c r="D508" s="286"/>
      <c r="E508" s="229"/>
      <c r="F508" s="228"/>
      <c r="G508" s="228"/>
      <c r="H508" s="231"/>
      <c r="I508" s="232"/>
      <c r="J508" s="53"/>
      <c r="K508">
        <f t="shared" si="42"/>
        <v>0</v>
      </c>
      <c r="L508">
        <f t="shared" si="43"/>
        <v>0</v>
      </c>
      <c r="M508">
        <f t="shared" si="44"/>
        <v>0</v>
      </c>
      <c r="N508">
        <f t="shared" si="45"/>
        <v>0</v>
      </c>
    </row>
    <row r="509" spans="1:14" ht="12.95" customHeight="1" thickTop="1">
      <c r="A509" s="940"/>
      <c r="B509" s="941" t="s">
        <v>635</v>
      </c>
      <c r="C509" s="942" t="s">
        <v>636</v>
      </c>
      <c r="D509" s="907"/>
      <c r="E509" s="943"/>
      <c r="F509" s="906" t="s">
        <v>637</v>
      </c>
      <c r="G509" s="907"/>
      <c r="H509" s="908"/>
      <c r="J509" s="53"/>
      <c r="K509">
        <f t="shared" si="42"/>
        <v>0</v>
      </c>
      <c r="L509">
        <f t="shared" si="43"/>
        <v>0</v>
      </c>
      <c r="M509">
        <f t="shared" si="44"/>
        <v>0</v>
      </c>
      <c r="N509">
        <f t="shared" si="45"/>
        <v>0</v>
      </c>
    </row>
    <row r="510" spans="1:14" ht="12.95" customHeight="1" thickBot="1">
      <c r="A510" s="889"/>
      <c r="B510" s="903"/>
      <c r="C510" s="900"/>
      <c r="D510" s="901"/>
      <c r="E510" s="902"/>
      <c r="F510" s="876"/>
      <c r="G510" s="876"/>
      <c r="H510" s="877"/>
      <c r="J510" s="53"/>
      <c r="K510">
        <f t="shared" si="42"/>
        <v>0</v>
      </c>
      <c r="L510">
        <f t="shared" si="43"/>
        <v>0</v>
      </c>
      <c r="M510">
        <f t="shared" si="44"/>
        <v>0</v>
      </c>
      <c r="N510">
        <f t="shared" si="45"/>
        <v>0</v>
      </c>
    </row>
    <row r="511" spans="1:14" ht="12.95" customHeight="1" thickBot="1">
      <c r="A511" s="890"/>
      <c r="B511" s="904"/>
      <c r="C511" s="44" t="s">
        <v>639</v>
      </c>
      <c r="D511" s="45" t="s">
        <v>640</v>
      </c>
      <c r="E511" s="126" t="s">
        <v>835</v>
      </c>
      <c r="F511" s="878"/>
      <c r="G511" s="878"/>
      <c r="H511" s="879"/>
      <c r="J511" s="53"/>
      <c r="K511">
        <f t="shared" si="42"/>
        <v>0</v>
      </c>
      <c r="L511">
        <f t="shared" si="43"/>
        <v>0</v>
      </c>
      <c r="M511">
        <f t="shared" si="44"/>
        <v>0</v>
      </c>
      <c r="N511">
        <f t="shared" si="45"/>
        <v>0</v>
      </c>
    </row>
    <row r="512" spans="1:14" ht="12.95" customHeight="1" thickTop="1">
      <c r="A512" s="51"/>
      <c r="B512" s="950" t="s">
        <v>123</v>
      </c>
      <c r="C512" s="947"/>
      <c r="D512" s="292"/>
      <c r="E512" s="293"/>
      <c r="F512" s="294"/>
      <c r="G512" s="294"/>
      <c r="H512" s="295"/>
      <c r="I512" s="294"/>
      <c r="J512" s="53"/>
      <c r="K512">
        <f t="shared" si="42"/>
        <v>0</v>
      </c>
      <c r="L512">
        <f t="shared" si="43"/>
        <v>0</v>
      </c>
      <c r="M512">
        <f t="shared" si="44"/>
        <v>0</v>
      </c>
      <c r="N512">
        <f t="shared" si="45"/>
        <v>0</v>
      </c>
    </row>
    <row r="513" spans="1:14" ht="12.95" customHeight="1">
      <c r="A513" s="51"/>
      <c r="B513" s="946"/>
      <c r="C513" s="948"/>
      <c r="D513" s="292"/>
      <c r="E513" s="293"/>
      <c r="F513" s="294"/>
      <c r="G513" s="294"/>
      <c r="H513" s="295"/>
      <c r="I513" s="294"/>
      <c r="J513" s="53"/>
      <c r="K513">
        <f t="shared" si="42"/>
        <v>0</v>
      </c>
      <c r="L513">
        <f t="shared" si="43"/>
        <v>0</v>
      </c>
      <c r="M513">
        <f t="shared" si="44"/>
        <v>0</v>
      </c>
      <c r="N513">
        <f t="shared" si="45"/>
        <v>0</v>
      </c>
    </row>
    <row r="514" spans="1:14" ht="12.95" customHeight="1">
      <c r="A514" s="70"/>
      <c r="B514" s="111" t="s">
        <v>124</v>
      </c>
      <c r="C514" s="58">
        <v>51.554445644309773</v>
      </c>
      <c r="D514" s="59">
        <f>C514*30</f>
        <v>1546.6333693292931</v>
      </c>
      <c r="E514" s="296"/>
      <c r="F514" s="297"/>
      <c r="G514" s="297"/>
      <c r="H514" s="224"/>
      <c r="I514" s="297"/>
      <c r="J514" s="53"/>
      <c r="K514">
        <f t="shared" si="42"/>
        <v>0</v>
      </c>
      <c r="L514">
        <f t="shared" si="43"/>
        <v>0</v>
      </c>
      <c r="M514">
        <f t="shared" si="44"/>
        <v>0</v>
      </c>
      <c r="N514">
        <f t="shared" si="45"/>
        <v>0</v>
      </c>
    </row>
    <row r="515" spans="1:14" ht="12.95" customHeight="1">
      <c r="A515" s="70"/>
      <c r="B515" s="111" t="s">
        <v>125</v>
      </c>
      <c r="C515" s="58">
        <v>5.6245993109145509</v>
      </c>
      <c r="D515" s="59">
        <f>C515*30</f>
        <v>168.73797932743653</v>
      </c>
      <c r="E515" s="296"/>
      <c r="F515" s="297"/>
      <c r="G515" s="297"/>
      <c r="H515" s="224"/>
      <c r="I515" s="297"/>
      <c r="J515" s="53"/>
      <c r="K515">
        <f t="shared" si="42"/>
        <v>0</v>
      </c>
      <c r="L515">
        <f t="shared" si="43"/>
        <v>0</v>
      </c>
      <c r="M515">
        <f t="shared" si="44"/>
        <v>0</v>
      </c>
      <c r="N515">
        <f t="shared" si="45"/>
        <v>0</v>
      </c>
    </row>
    <row r="516" spans="1:14" ht="12.95" customHeight="1">
      <c r="A516" s="70"/>
      <c r="B516" s="111"/>
      <c r="C516" s="281"/>
      <c r="D516" s="298"/>
      <c r="E516" s="296"/>
      <c r="F516" s="297"/>
      <c r="G516" s="297"/>
      <c r="H516" s="224"/>
      <c r="I516" s="297"/>
      <c r="J516" s="53"/>
      <c r="K516">
        <f t="shared" ref="K516:K579" si="47">IF(M516&gt;0,1,0)</f>
        <v>0</v>
      </c>
      <c r="L516">
        <f t="shared" ref="L516:L579" si="48">IF(couleur(B516)=2,L517,IF(couleur(B517)=2,0,J516+L517))</f>
        <v>0</v>
      </c>
      <c r="M516">
        <f t="shared" ref="M516:M579" si="49">IF(couleur(B516)=2,L516,J516)</f>
        <v>0</v>
      </c>
      <c r="N516">
        <f t="shared" ref="N516:N579" si="50">IF(ISNUMBER(C516),J516*C516,0)</f>
        <v>0</v>
      </c>
    </row>
    <row r="517" spans="1:14" ht="12.95" customHeight="1">
      <c r="A517" s="70"/>
      <c r="B517" s="245"/>
      <c r="C517" s="281"/>
      <c r="D517" s="298"/>
      <c r="E517" s="296"/>
      <c r="F517" s="297"/>
      <c r="G517" s="297"/>
      <c r="H517" s="224"/>
      <c r="I517" s="297"/>
      <c r="J517" s="53"/>
      <c r="K517">
        <f t="shared" si="47"/>
        <v>0</v>
      </c>
      <c r="L517">
        <f t="shared" si="48"/>
        <v>0</v>
      </c>
      <c r="M517">
        <f t="shared" si="49"/>
        <v>0</v>
      </c>
      <c r="N517">
        <f t="shared" si="50"/>
        <v>0</v>
      </c>
    </row>
    <row r="518" spans="1:14" ht="12.95" customHeight="1">
      <c r="A518" s="70"/>
      <c r="B518" s="111"/>
      <c r="C518" s="281"/>
      <c r="D518" s="298"/>
      <c r="E518" s="296"/>
      <c r="F518" s="297"/>
      <c r="G518" s="297"/>
      <c r="H518" s="224"/>
      <c r="I518" s="297"/>
      <c r="J518" s="53"/>
      <c r="K518">
        <f t="shared" si="47"/>
        <v>0</v>
      </c>
      <c r="L518">
        <f t="shared" si="48"/>
        <v>0</v>
      </c>
      <c r="M518">
        <f t="shared" si="49"/>
        <v>0</v>
      </c>
      <c r="N518">
        <f t="shared" si="50"/>
        <v>0</v>
      </c>
    </row>
    <row r="519" spans="1:14" ht="12.95" customHeight="1">
      <c r="A519" s="70"/>
      <c r="B519" s="111"/>
      <c r="C519" s="281"/>
      <c r="D519" s="298"/>
      <c r="E519" s="296"/>
      <c r="F519" s="297"/>
      <c r="G519" s="297"/>
      <c r="H519" s="224"/>
      <c r="I519" s="297"/>
      <c r="J519" s="53"/>
      <c r="K519">
        <f t="shared" si="47"/>
        <v>0</v>
      </c>
      <c r="L519">
        <f t="shared" si="48"/>
        <v>0</v>
      </c>
      <c r="M519">
        <f t="shared" si="49"/>
        <v>0</v>
      </c>
      <c r="N519">
        <f t="shared" si="50"/>
        <v>0</v>
      </c>
    </row>
    <row r="520" spans="1:14" ht="12.95" customHeight="1">
      <c r="A520" s="299"/>
      <c r="B520" s="870" t="s">
        <v>429</v>
      </c>
      <c r="C520" s="898"/>
      <c r="D520" s="292"/>
      <c r="E520" s="293"/>
      <c r="F520" s="294"/>
      <c r="G520" s="294"/>
      <c r="H520" s="295"/>
      <c r="I520" s="294"/>
      <c r="J520" s="53"/>
      <c r="K520">
        <f t="shared" si="47"/>
        <v>0</v>
      </c>
      <c r="L520">
        <f t="shared" si="48"/>
        <v>0</v>
      </c>
      <c r="M520">
        <f t="shared" si="49"/>
        <v>0</v>
      </c>
      <c r="N520">
        <f t="shared" si="50"/>
        <v>0</v>
      </c>
    </row>
    <row r="521" spans="1:14" ht="12.95" customHeight="1">
      <c r="A521" s="51"/>
      <c r="B521" s="946"/>
      <c r="C521" s="898"/>
      <c r="D521" s="292"/>
      <c r="E521" s="293"/>
      <c r="F521" s="294"/>
      <c r="G521" s="294"/>
      <c r="H521" s="295"/>
      <c r="I521" s="294"/>
      <c r="J521" s="53"/>
      <c r="K521">
        <f t="shared" si="47"/>
        <v>0</v>
      </c>
      <c r="L521">
        <f t="shared" si="48"/>
        <v>0</v>
      </c>
      <c r="M521">
        <f t="shared" si="49"/>
        <v>0</v>
      </c>
      <c r="N521">
        <f t="shared" si="50"/>
        <v>0</v>
      </c>
    </row>
    <row r="522" spans="1:14" ht="12.95" customHeight="1">
      <c r="A522" s="70"/>
      <c r="B522" s="111" t="s">
        <v>126</v>
      </c>
      <c r="C522" s="58">
        <v>23.132210584142832</v>
      </c>
      <c r="D522" s="59">
        <f>C522*30</f>
        <v>693.96631752428493</v>
      </c>
      <c r="E522" s="296"/>
      <c r="F522" s="297"/>
      <c r="G522" s="297"/>
      <c r="H522" s="224"/>
      <c r="I522" s="297"/>
      <c r="J522" s="53"/>
      <c r="K522">
        <f t="shared" si="47"/>
        <v>0</v>
      </c>
      <c r="L522">
        <f t="shared" si="48"/>
        <v>0</v>
      </c>
      <c r="M522">
        <f t="shared" si="49"/>
        <v>0</v>
      </c>
      <c r="N522">
        <f t="shared" si="50"/>
        <v>0</v>
      </c>
    </row>
    <row r="523" spans="1:14" ht="12.95" customHeight="1">
      <c r="A523" s="70"/>
      <c r="B523" s="111" t="s">
        <v>127</v>
      </c>
      <c r="C523" s="58">
        <v>31.129820888301595</v>
      </c>
      <c r="D523" s="59">
        <f>C523*30</f>
        <v>933.89462664904784</v>
      </c>
      <c r="E523" s="296"/>
      <c r="F523" s="297"/>
      <c r="G523" s="297"/>
      <c r="H523" s="224"/>
      <c r="I523" s="297"/>
      <c r="J523" s="53"/>
      <c r="K523">
        <f t="shared" si="47"/>
        <v>0</v>
      </c>
      <c r="L523">
        <f t="shared" si="48"/>
        <v>0</v>
      </c>
      <c r="M523">
        <f t="shared" si="49"/>
        <v>0</v>
      </c>
      <c r="N523">
        <f t="shared" si="50"/>
        <v>0</v>
      </c>
    </row>
    <row r="524" spans="1:14" ht="12.95" customHeight="1">
      <c r="A524" s="70"/>
      <c r="B524" s="111"/>
      <c r="C524" s="281"/>
      <c r="D524" s="298"/>
      <c r="E524" s="296"/>
      <c r="F524" s="297"/>
      <c r="G524" s="297"/>
      <c r="H524" s="224"/>
      <c r="I524" s="297"/>
      <c r="J524" s="53"/>
      <c r="K524">
        <f t="shared" si="47"/>
        <v>0</v>
      </c>
      <c r="L524">
        <f t="shared" si="48"/>
        <v>0</v>
      </c>
      <c r="M524">
        <f t="shared" si="49"/>
        <v>0</v>
      </c>
      <c r="N524">
        <f t="shared" si="50"/>
        <v>0</v>
      </c>
    </row>
    <row r="525" spans="1:14" ht="12.95" customHeight="1">
      <c r="A525" s="70"/>
      <c r="B525" s="245"/>
      <c r="C525" s="281"/>
      <c r="D525" s="298"/>
      <c r="E525" s="296"/>
      <c r="F525" s="297"/>
      <c r="G525" s="297"/>
      <c r="H525" s="224"/>
      <c r="I525" s="297"/>
      <c r="J525" s="53"/>
      <c r="K525">
        <f t="shared" si="47"/>
        <v>0</v>
      </c>
      <c r="L525">
        <f t="shared" si="48"/>
        <v>0</v>
      </c>
      <c r="M525">
        <f t="shared" si="49"/>
        <v>0</v>
      </c>
      <c r="N525">
        <f t="shared" si="50"/>
        <v>0</v>
      </c>
    </row>
    <row r="526" spans="1:14" ht="12.95" customHeight="1">
      <c r="A526" s="70"/>
      <c r="B526" s="111"/>
      <c r="C526" s="281"/>
      <c r="D526" s="298"/>
      <c r="E526" s="296"/>
      <c r="F526" s="297"/>
      <c r="G526" s="297"/>
      <c r="H526" s="224"/>
      <c r="I526" s="297"/>
      <c r="J526" s="53"/>
      <c r="K526">
        <f t="shared" si="47"/>
        <v>0</v>
      </c>
      <c r="L526">
        <f t="shared" si="48"/>
        <v>0</v>
      </c>
      <c r="M526">
        <f t="shared" si="49"/>
        <v>0</v>
      </c>
      <c r="N526">
        <f t="shared" si="50"/>
        <v>0</v>
      </c>
    </row>
    <row r="527" spans="1:14" ht="12.95" customHeight="1">
      <c r="A527" s="70"/>
      <c r="B527" s="111"/>
      <c r="C527" s="281"/>
      <c r="D527" s="298"/>
      <c r="E527" s="296"/>
      <c r="F527" s="297"/>
      <c r="G527" s="297"/>
      <c r="H527" s="224"/>
      <c r="I527" s="297"/>
      <c r="J527" s="53"/>
      <c r="K527">
        <f t="shared" si="47"/>
        <v>0</v>
      </c>
      <c r="L527">
        <f t="shared" si="48"/>
        <v>0</v>
      </c>
      <c r="M527">
        <f t="shared" si="49"/>
        <v>0</v>
      </c>
      <c r="N527">
        <f t="shared" si="50"/>
        <v>0</v>
      </c>
    </row>
    <row r="528" spans="1:14" ht="12.95" customHeight="1">
      <c r="A528" s="952"/>
      <c r="B528" s="870" t="s">
        <v>128</v>
      </c>
      <c r="C528" s="939"/>
      <c r="D528" s="292"/>
      <c r="E528" s="293"/>
      <c r="F528" s="294"/>
      <c r="G528" s="294"/>
      <c r="H528" s="295"/>
      <c r="I528" s="294"/>
      <c r="J528" s="53"/>
      <c r="K528">
        <f t="shared" si="47"/>
        <v>0</v>
      </c>
      <c r="L528">
        <f t="shared" si="48"/>
        <v>0</v>
      </c>
      <c r="M528">
        <f t="shared" si="49"/>
        <v>0</v>
      </c>
      <c r="N528">
        <f t="shared" si="50"/>
        <v>0</v>
      </c>
    </row>
    <row r="529" spans="1:14" ht="12.95" customHeight="1">
      <c r="A529" s="952"/>
      <c r="B529" s="946"/>
      <c r="C529" s="939"/>
      <c r="D529" s="292"/>
      <c r="E529" s="293"/>
      <c r="F529" s="294"/>
      <c r="G529" s="294"/>
      <c r="H529" s="295"/>
      <c r="I529" s="294"/>
      <c r="J529" s="53"/>
      <c r="K529">
        <f t="shared" si="47"/>
        <v>0</v>
      </c>
      <c r="L529">
        <f t="shared" si="48"/>
        <v>0</v>
      </c>
      <c r="M529">
        <f t="shared" si="49"/>
        <v>0</v>
      </c>
      <c r="N529">
        <f t="shared" si="50"/>
        <v>0</v>
      </c>
    </row>
    <row r="530" spans="1:14" ht="12.95" customHeight="1">
      <c r="A530" s="70"/>
      <c r="B530" s="111" t="s">
        <v>129</v>
      </c>
      <c r="C530" s="58">
        <v>1.6034459601958917</v>
      </c>
      <c r="D530" s="59">
        <f>C530*30</f>
        <v>48.103378805876751</v>
      </c>
      <c r="E530" s="296"/>
      <c r="F530" s="297"/>
      <c r="G530" s="297"/>
      <c r="H530" s="224"/>
      <c r="I530" s="297"/>
      <c r="J530" s="53"/>
      <c r="K530">
        <f t="shared" si="47"/>
        <v>0</v>
      </c>
      <c r="L530">
        <f t="shared" si="48"/>
        <v>0</v>
      </c>
      <c r="M530">
        <f t="shared" si="49"/>
        <v>0</v>
      </c>
      <c r="N530">
        <f t="shared" si="50"/>
        <v>0</v>
      </c>
    </row>
    <row r="531" spans="1:14" ht="12.95" customHeight="1">
      <c r="A531" s="123"/>
      <c r="B531" s="125"/>
      <c r="C531" s="301"/>
      <c r="D531" s="302"/>
      <c r="E531" s="303"/>
      <c r="F531" s="124"/>
      <c r="G531" s="124"/>
      <c r="H531" s="125"/>
      <c r="I531" s="124"/>
      <c r="J531" s="53"/>
      <c r="K531">
        <f t="shared" si="47"/>
        <v>0</v>
      </c>
      <c r="L531">
        <f t="shared" si="48"/>
        <v>0</v>
      </c>
      <c r="M531">
        <f t="shared" si="49"/>
        <v>0</v>
      </c>
      <c r="N531">
        <f t="shared" si="50"/>
        <v>0</v>
      </c>
    </row>
    <row r="532" spans="1:14" ht="12.95" customHeight="1">
      <c r="A532" s="70"/>
      <c r="B532" s="111"/>
      <c r="C532" s="64"/>
      <c r="D532" s="187"/>
      <c r="E532" s="60"/>
      <c r="F532" s="149"/>
      <c r="G532" s="150"/>
      <c r="H532" s="161"/>
      <c r="I532" s="162"/>
      <c r="J532" s="53"/>
      <c r="K532">
        <f t="shared" si="47"/>
        <v>0</v>
      </c>
      <c r="L532">
        <f t="shared" si="48"/>
        <v>0</v>
      </c>
      <c r="M532">
        <f t="shared" si="49"/>
        <v>0</v>
      </c>
      <c r="N532">
        <f t="shared" si="50"/>
        <v>0</v>
      </c>
    </row>
    <row r="533" spans="1:14" ht="12" customHeight="1">
      <c r="A533" s="299"/>
      <c r="B533" s="949" t="s">
        <v>130</v>
      </c>
      <c r="C533" s="948"/>
      <c r="D533" s="891"/>
      <c r="E533" s="93"/>
      <c r="F533" s="215"/>
      <c r="G533" s="216"/>
      <c r="H533" s="305"/>
      <c r="I533" s="306"/>
      <c r="J533" s="53"/>
      <c r="K533">
        <f t="shared" si="47"/>
        <v>0</v>
      </c>
      <c r="L533">
        <f t="shared" si="48"/>
        <v>0</v>
      </c>
      <c r="M533">
        <f t="shared" si="49"/>
        <v>0</v>
      </c>
      <c r="N533">
        <f t="shared" si="50"/>
        <v>0</v>
      </c>
    </row>
    <row r="534" spans="1:14" ht="12" customHeight="1">
      <c r="A534" s="51"/>
      <c r="B534" s="946"/>
      <c r="C534" s="948"/>
      <c r="D534" s="891"/>
      <c r="E534" s="100"/>
      <c r="F534" s="220"/>
      <c r="G534" s="221"/>
      <c r="H534" s="222"/>
      <c r="I534" s="223"/>
      <c r="J534" s="53"/>
      <c r="K534">
        <f t="shared" si="47"/>
        <v>0</v>
      </c>
      <c r="L534">
        <f t="shared" si="48"/>
        <v>0</v>
      </c>
      <c r="M534">
        <f t="shared" si="49"/>
        <v>0</v>
      </c>
      <c r="N534">
        <f t="shared" si="50"/>
        <v>0</v>
      </c>
    </row>
    <row r="535" spans="1:14" ht="12.95" customHeight="1">
      <c r="A535" s="70"/>
      <c r="B535" s="111" t="s">
        <v>131</v>
      </c>
      <c r="C535" s="58">
        <v>3.4151522701481976</v>
      </c>
      <c r="D535" s="59">
        <f t="shared" ref="D535:D541" si="51">C535*30</f>
        <v>102.45456810444593</v>
      </c>
      <c r="E535" s="60"/>
      <c r="F535" s="149"/>
      <c r="G535" s="150"/>
      <c r="H535" s="151"/>
      <c r="I535" s="152"/>
      <c r="J535" s="53"/>
      <c r="K535">
        <f t="shared" si="47"/>
        <v>0</v>
      </c>
      <c r="L535">
        <f t="shared" si="48"/>
        <v>0</v>
      </c>
      <c r="M535">
        <f t="shared" si="49"/>
        <v>0</v>
      </c>
      <c r="N535">
        <f t="shared" si="50"/>
        <v>0</v>
      </c>
    </row>
    <row r="536" spans="1:14" ht="12.95" customHeight="1">
      <c r="A536" s="70"/>
      <c r="B536" s="111" t="s">
        <v>132</v>
      </c>
      <c r="C536" s="58">
        <v>5.0163981634039372</v>
      </c>
      <c r="D536" s="59">
        <f t="shared" si="51"/>
        <v>150.49194490211812</v>
      </c>
      <c r="E536" s="60"/>
      <c r="F536" s="149"/>
      <c r="G536" s="150"/>
      <c r="H536" s="151"/>
      <c r="I536" s="152"/>
      <c r="J536" s="53"/>
      <c r="K536">
        <f t="shared" si="47"/>
        <v>0</v>
      </c>
      <c r="L536">
        <f t="shared" si="48"/>
        <v>0</v>
      </c>
      <c r="M536">
        <f t="shared" si="49"/>
        <v>0</v>
      </c>
      <c r="N536">
        <f t="shared" si="50"/>
        <v>0</v>
      </c>
    </row>
    <row r="537" spans="1:14" ht="12.95" customHeight="1">
      <c r="A537" s="70"/>
      <c r="B537" s="111" t="s">
        <v>133</v>
      </c>
      <c r="C537" s="58">
        <v>6.5122016674316834</v>
      </c>
      <c r="D537" s="59">
        <f t="shared" si="51"/>
        <v>195.3660500229505</v>
      </c>
      <c r="E537" s="60"/>
      <c r="F537" s="149"/>
      <c r="G537" s="150"/>
      <c r="H537" s="151"/>
      <c r="I537" s="152"/>
      <c r="J537" s="53"/>
      <c r="K537">
        <f t="shared" si="47"/>
        <v>0</v>
      </c>
      <c r="L537">
        <f t="shared" si="48"/>
        <v>0</v>
      </c>
      <c r="M537">
        <f t="shared" si="49"/>
        <v>0</v>
      </c>
      <c r="N537">
        <f t="shared" si="50"/>
        <v>0</v>
      </c>
    </row>
    <row r="538" spans="1:14" ht="12.95" customHeight="1">
      <c r="A538" s="65"/>
      <c r="B538" s="111" t="s">
        <v>134</v>
      </c>
      <c r="C538" s="58">
        <v>7.558843920031455</v>
      </c>
      <c r="D538" s="59">
        <f t="shared" si="51"/>
        <v>226.76531760094366</v>
      </c>
      <c r="E538" s="60"/>
      <c r="F538" s="149"/>
      <c r="G538" s="150"/>
      <c r="H538" s="151"/>
      <c r="I538" s="152"/>
      <c r="J538" s="53"/>
      <c r="K538">
        <f t="shared" si="47"/>
        <v>0</v>
      </c>
      <c r="L538">
        <f t="shared" si="48"/>
        <v>0</v>
      </c>
      <c r="M538">
        <f t="shared" si="49"/>
        <v>0</v>
      </c>
      <c r="N538">
        <f t="shared" si="50"/>
        <v>0</v>
      </c>
    </row>
    <row r="539" spans="1:14" ht="12.95" customHeight="1">
      <c r="A539" s="70"/>
      <c r="B539" s="111" t="s">
        <v>135</v>
      </c>
      <c r="C539" s="58">
        <v>8.9290913583504761</v>
      </c>
      <c r="D539" s="59">
        <f t="shared" si="51"/>
        <v>267.87274075051425</v>
      </c>
      <c r="E539" s="60"/>
      <c r="F539" s="149"/>
      <c r="G539" s="150"/>
      <c r="H539" s="151"/>
      <c r="I539" s="152"/>
      <c r="J539" s="53"/>
      <c r="K539">
        <f t="shared" si="47"/>
        <v>0</v>
      </c>
      <c r="L539">
        <f t="shared" si="48"/>
        <v>0</v>
      </c>
      <c r="M539">
        <f t="shared" si="49"/>
        <v>0</v>
      </c>
      <c r="N539">
        <f t="shared" si="50"/>
        <v>0</v>
      </c>
    </row>
    <row r="540" spans="1:14" ht="12.95" customHeight="1">
      <c r="A540" s="70"/>
      <c r="B540" s="111" t="s">
        <v>136</v>
      </c>
      <c r="C540" s="58">
        <v>8.0213645560108038</v>
      </c>
      <c r="D540" s="59">
        <f t="shared" si="51"/>
        <v>240.6409366803241</v>
      </c>
      <c r="E540" s="60"/>
      <c r="F540" s="149"/>
      <c r="G540" s="150"/>
      <c r="H540" s="151"/>
      <c r="I540" s="152"/>
      <c r="J540" s="53"/>
      <c r="K540">
        <f t="shared" si="47"/>
        <v>0</v>
      </c>
      <c r="L540">
        <f t="shared" si="48"/>
        <v>0</v>
      </c>
      <c r="M540">
        <f t="shared" si="49"/>
        <v>0</v>
      </c>
      <c r="N540">
        <f t="shared" si="50"/>
        <v>0</v>
      </c>
    </row>
    <row r="541" spans="1:14" ht="12.95" customHeight="1">
      <c r="A541" s="70"/>
      <c r="B541" s="111" t="s">
        <v>137</v>
      </c>
      <c r="C541" s="58">
        <v>10.025861549338842</v>
      </c>
      <c r="D541" s="59">
        <f t="shared" si="51"/>
        <v>300.77584648016523</v>
      </c>
      <c r="E541" s="60"/>
      <c r="F541" s="149"/>
      <c r="G541" s="150"/>
      <c r="H541" s="165"/>
      <c r="I541" s="166"/>
      <c r="J541" s="53"/>
      <c r="K541">
        <f t="shared" si="47"/>
        <v>0</v>
      </c>
      <c r="L541">
        <f t="shared" si="48"/>
        <v>0</v>
      </c>
      <c r="M541">
        <f t="shared" si="49"/>
        <v>0</v>
      </c>
      <c r="N541">
        <f t="shared" si="50"/>
        <v>0</v>
      </c>
    </row>
    <row r="542" spans="1:14" ht="12.95" customHeight="1">
      <c r="A542" s="70"/>
      <c r="B542" s="307"/>
      <c r="C542" s="66"/>
      <c r="D542" s="187"/>
      <c r="E542" s="60"/>
      <c r="F542" s="149"/>
      <c r="G542" s="150"/>
      <c r="H542" s="165"/>
      <c r="I542" s="166"/>
      <c r="J542" s="53"/>
      <c r="K542">
        <f t="shared" si="47"/>
        <v>0</v>
      </c>
      <c r="L542">
        <f t="shared" si="48"/>
        <v>0</v>
      </c>
      <c r="M542">
        <f t="shared" si="49"/>
        <v>0</v>
      </c>
      <c r="N542">
        <f t="shared" si="50"/>
        <v>0</v>
      </c>
    </row>
    <row r="543" spans="1:14" ht="12.95" customHeight="1">
      <c r="A543" s="70"/>
      <c r="B543" s="245"/>
      <c r="C543" s="170"/>
      <c r="D543" s="238"/>
      <c r="E543" s="60"/>
      <c r="F543" s="149"/>
      <c r="G543" s="150"/>
      <c r="H543" s="165"/>
      <c r="I543" s="166"/>
      <c r="J543" s="53"/>
      <c r="K543">
        <f t="shared" si="47"/>
        <v>0</v>
      </c>
      <c r="L543">
        <f t="shared" si="48"/>
        <v>0</v>
      </c>
      <c r="M543">
        <f t="shared" si="49"/>
        <v>0</v>
      </c>
      <c r="N543">
        <f t="shared" si="50"/>
        <v>0</v>
      </c>
    </row>
    <row r="544" spans="1:14" ht="12.95" customHeight="1">
      <c r="A544" s="70"/>
      <c r="B544" s="308"/>
      <c r="C544" s="170"/>
      <c r="D544" s="238"/>
      <c r="E544" s="60"/>
      <c r="F544" s="149"/>
      <c r="G544" s="150"/>
      <c r="H544" s="165"/>
      <c r="I544" s="166"/>
      <c r="J544" s="53"/>
      <c r="K544">
        <f t="shared" si="47"/>
        <v>0</v>
      </c>
      <c r="L544">
        <f t="shared" si="48"/>
        <v>0</v>
      </c>
      <c r="M544">
        <f t="shared" si="49"/>
        <v>0</v>
      </c>
      <c r="N544">
        <f t="shared" si="50"/>
        <v>0</v>
      </c>
    </row>
    <row r="545" spans="1:14" ht="12.95" customHeight="1">
      <c r="A545" s="65"/>
      <c r="B545" s="244"/>
      <c r="C545" s="170"/>
      <c r="D545" s="238"/>
      <c r="E545" s="60"/>
      <c r="F545" s="149"/>
      <c r="G545" s="150"/>
      <c r="H545" s="165"/>
      <c r="I545" s="166"/>
      <c r="J545" s="53"/>
      <c r="K545">
        <f t="shared" si="47"/>
        <v>0</v>
      </c>
      <c r="L545">
        <f t="shared" si="48"/>
        <v>0</v>
      </c>
      <c r="M545">
        <f t="shared" si="49"/>
        <v>0</v>
      </c>
      <c r="N545">
        <f t="shared" si="50"/>
        <v>0</v>
      </c>
    </row>
    <row r="546" spans="1:14" ht="12" customHeight="1">
      <c r="A546" s="1019"/>
      <c r="B546" s="949" t="s">
        <v>138</v>
      </c>
      <c r="C546" s="948"/>
      <c r="D546" s="891"/>
      <c r="E546" s="93"/>
      <c r="F546" s="215"/>
      <c r="G546" s="216"/>
      <c r="H546" s="217"/>
      <c r="I546" s="218"/>
      <c r="J546" s="53"/>
      <c r="K546">
        <f t="shared" si="47"/>
        <v>0</v>
      </c>
      <c r="L546">
        <f t="shared" si="48"/>
        <v>0</v>
      </c>
      <c r="M546">
        <f t="shared" si="49"/>
        <v>0</v>
      </c>
      <c r="N546">
        <f t="shared" si="50"/>
        <v>0</v>
      </c>
    </row>
    <row r="547" spans="1:14" ht="12" customHeight="1">
      <c r="A547" s="1019"/>
      <c r="B547" s="946"/>
      <c r="C547" s="948"/>
      <c r="D547" s="891"/>
      <c r="E547" s="68"/>
      <c r="F547" s="188"/>
      <c r="G547" s="189"/>
      <c r="H547" s="210"/>
      <c r="I547" s="211"/>
      <c r="J547" s="53"/>
      <c r="K547">
        <f t="shared" si="47"/>
        <v>0</v>
      </c>
      <c r="L547">
        <f t="shared" si="48"/>
        <v>0</v>
      </c>
      <c r="M547">
        <f t="shared" si="49"/>
        <v>0</v>
      </c>
      <c r="N547">
        <f t="shared" si="50"/>
        <v>0</v>
      </c>
    </row>
    <row r="548" spans="1:14" ht="12" customHeight="1">
      <c r="A548" s="65"/>
      <c r="B548" s="309" t="s">
        <v>139</v>
      </c>
      <c r="C548" s="58">
        <v>1.0730160198381089</v>
      </c>
      <c r="D548" s="59">
        <f t="shared" ref="D548:D554" si="52">C548*30</f>
        <v>32.190480595143271</v>
      </c>
      <c r="E548" s="60"/>
      <c r="F548" s="149"/>
      <c r="G548" s="150"/>
      <c r="H548" s="165"/>
      <c r="I548" s="166"/>
      <c r="J548" s="53"/>
      <c r="K548">
        <f t="shared" si="47"/>
        <v>0</v>
      </c>
      <c r="L548">
        <f t="shared" si="48"/>
        <v>0</v>
      </c>
      <c r="M548">
        <f t="shared" si="49"/>
        <v>0</v>
      </c>
      <c r="N548">
        <f t="shared" si="50"/>
        <v>0</v>
      </c>
    </row>
    <row r="549" spans="1:14" ht="12" customHeight="1">
      <c r="A549" s="65"/>
      <c r="B549" s="309" t="s">
        <v>140</v>
      </c>
      <c r="C549" s="58">
        <v>4.0155987521510079</v>
      </c>
      <c r="D549" s="59">
        <f t="shared" si="52"/>
        <v>120.46796256453024</v>
      </c>
      <c r="E549" s="60"/>
      <c r="F549" s="149"/>
      <c r="G549" s="150"/>
      <c r="H549" s="165"/>
      <c r="I549" s="166"/>
      <c r="J549" s="53"/>
      <c r="K549">
        <f t="shared" si="47"/>
        <v>0</v>
      </c>
      <c r="L549">
        <f t="shared" si="48"/>
        <v>0</v>
      </c>
      <c r="M549">
        <f t="shared" si="49"/>
        <v>0</v>
      </c>
      <c r="N549">
        <f t="shared" si="50"/>
        <v>0</v>
      </c>
    </row>
    <row r="550" spans="1:14" ht="12.95" customHeight="1">
      <c r="A550" s="70"/>
      <c r="B550" s="309" t="s">
        <v>141</v>
      </c>
      <c r="C550" s="58">
        <v>12.262926841654778</v>
      </c>
      <c r="D550" s="59">
        <f t="shared" si="52"/>
        <v>367.88780524964335</v>
      </c>
      <c r="E550" s="60"/>
      <c r="F550" s="149"/>
      <c r="G550" s="150"/>
      <c r="H550" s="165"/>
      <c r="I550" s="166"/>
      <c r="J550" s="53"/>
      <c r="K550">
        <f t="shared" si="47"/>
        <v>0</v>
      </c>
      <c r="L550">
        <f t="shared" si="48"/>
        <v>0</v>
      </c>
      <c r="M550">
        <f t="shared" si="49"/>
        <v>0</v>
      </c>
      <c r="N550">
        <f t="shared" si="50"/>
        <v>0</v>
      </c>
    </row>
    <row r="551" spans="1:14" ht="12.95" customHeight="1">
      <c r="A551" s="70"/>
      <c r="B551" s="309" t="s">
        <v>142</v>
      </c>
      <c r="C551" s="58">
        <v>19.960922682101387</v>
      </c>
      <c r="D551" s="59">
        <f t="shared" si="52"/>
        <v>598.82768046304159</v>
      </c>
      <c r="E551" s="60"/>
      <c r="F551" s="149"/>
      <c r="G551" s="150"/>
      <c r="H551" s="165"/>
      <c r="I551" s="166"/>
      <c r="J551" s="53"/>
      <c r="K551">
        <f t="shared" si="47"/>
        <v>0</v>
      </c>
      <c r="L551">
        <f t="shared" si="48"/>
        <v>0</v>
      </c>
      <c r="M551">
        <f t="shared" si="49"/>
        <v>0</v>
      </c>
      <c r="N551">
        <f t="shared" si="50"/>
        <v>0</v>
      </c>
    </row>
    <row r="552" spans="1:14" ht="12.95" customHeight="1">
      <c r="A552" s="70"/>
      <c r="B552" s="309" t="s">
        <v>143</v>
      </c>
      <c r="C552" s="58">
        <v>24.510006711580189</v>
      </c>
      <c r="D552" s="59">
        <f t="shared" si="52"/>
        <v>735.30020134740562</v>
      </c>
      <c r="E552" s="60"/>
      <c r="F552" s="149"/>
      <c r="G552" s="150"/>
      <c r="H552" s="165"/>
      <c r="I552" s="166"/>
      <c r="J552" s="53"/>
      <c r="K552">
        <f t="shared" si="47"/>
        <v>0</v>
      </c>
      <c r="L552">
        <f t="shared" si="48"/>
        <v>0</v>
      </c>
      <c r="M552">
        <f t="shared" si="49"/>
        <v>0</v>
      </c>
      <c r="N552">
        <f t="shared" si="50"/>
        <v>0</v>
      </c>
    </row>
    <row r="553" spans="1:14" ht="12.95" customHeight="1">
      <c r="A553" s="70"/>
      <c r="B553" s="309" t="s">
        <v>144</v>
      </c>
      <c r="C553" s="58">
        <v>30.70872828004336</v>
      </c>
      <c r="D553" s="59">
        <f t="shared" si="52"/>
        <v>921.26184840130077</v>
      </c>
      <c r="E553" s="60"/>
      <c r="F553" s="149"/>
      <c r="G553" s="150"/>
      <c r="H553" s="165"/>
      <c r="I553" s="166"/>
      <c r="J553" s="53"/>
      <c r="K553">
        <f t="shared" si="47"/>
        <v>0</v>
      </c>
      <c r="L553">
        <f t="shared" si="48"/>
        <v>0</v>
      </c>
      <c r="M553">
        <f t="shared" si="49"/>
        <v>0</v>
      </c>
      <c r="N553">
        <f t="shared" si="50"/>
        <v>0</v>
      </c>
    </row>
    <row r="554" spans="1:14" ht="12.95" customHeight="1">
      <c r="A554" s="164"/>
      <c r="B554" s="309" t="s">
        <v>145</v>
      </c>
      <c r="C554" s="58">
        <v>43.898997223692483</v>
      </c>
      <c r="D554" s="59">
        <f t="shared" si="52"/>
        <v>1316.9699167107744</v>
      </c>
      <c r="E554" s="60"/>
      <c r="F554" s="149"/>
      <c r="G554" s="150"/>
      <c r="H554" s="151"/>
      <c r="I554" s="152"/>
      <c r="J554" s="53"/>
      <c r="K554">
        <f t="shared" si="47"/>
        <v>0</v>
      </c>
      <c r="L554">
        <f t="shared" si="48"/>
        <v>0</v>
      </c>
      <c r="M554">
        <f t="shared" si="49"/>
        <v>0</v>
      </c>
      <c r="N554">
        <f t="shared" si="50"/>
        <v>0</v>
      </c>
    </row>
    <row r="555" spans="1:14" ht="12" customHeight="1">
      <c r="A555" s="1019"/>
      <c r="B555" s="870" t="s">
        <v>146</v>
      </c>
      <c r="C555" s="1021"/>
      <c r="D555" s="1022"/>
      <c r="E555" s="93"/>
      <c r="F555" s="215"/>
      <c r="G555" s="216"/>
      <c r="H555" s="217"/>
      <c r="I555" s="218"/>
      <c r="J555" s="53"/>
      <c r="K555">
        <f t="shared" si="47"/>
        <v>0</v>
      </c>
      <c r="L555">
        <f t="shared" si="48"/>
        <v>0</v>
      </c>
      <c r="M555">
        <f t="shared" si="49"/>
        <v>0</v>
      </c>
      <c r="N555">
        <f t="shared" si="50"/>
        <v>0</v>
      </c>
    </row>
    <row r="556" spans="1:14" ht="12" customHeight="1">
      <c r="A556" s="1019"/>
      <c r="B556" s="1020"/>
      <c r="C556" s="1021"/>
      <c r="D556" s="1022"/>
      <c r="E556" s="68"/>
      <c r="F556" s="188"/>
      <c r="G556" s="189"/>
      <c r="H556" s="210"/>
      <c r="I556" s="211"/>
      <c r="J556" s="53"/>
      <c r="K556">
        <f t="shared" si="47"/>
        <v>0</v>
      </c>
      <c r="L556">
        <f t="shared" si="48"/>
        <v>0</v>
      </c>
      <c r="M556">
        <f t="shared" si="49"/>
        <v>0</v>
      </c>
      <c r="N556">
        <f t="shared" si="50"/>
        <v>0</v>
      </c>
    </row>
    <row r="557" spans="1:14" ht="12.95" customHeight="1">
      <c r="A557" s="65"/>
      <c r="B557" s="111" t="s">
        <v>147</v>
      </c>
      <c r="C557" s="58">
        <v>1.641961958933031</v>
      </c>
      <c r="D557" s="59">
        <f t="shared" ref="D557:D568" si="53">C557*30</f>
        <v>49.25885876799093</v>
      </c>
      <c r="E557" s="60"/>
      <c r="F557" s="149"/>
      <c r="G557" s="150"/>
      <c r="H557" s="165"/>
      <c r="I557" s="166"/>
      <c r="J557" s="53"/>
      <c r="K557">
        <f t="shared" si="47"/>
        <v>0</v>
      </c>
      <c r="L557">
        <f t="shared" si="48"/>
        <v>0</v>
      </c>
      <c r="M557">
        <f t="shared" si="49"/>
        <v>0</v>
      </c>
      <c r="N557">
        <f t="shared" si="50"/>
        <v>0</v>
      </c>
    </row>
    <row r="558" spans="1:14" ht="12.95" customHeight="1">
      <c r="A558" s="65"/>
      <c r="B558" s="310" t="s">
        <v>565</v>
      </c>
      <c r="C558" s="58">
        <v>1.5795384311084728</v>
      </c>
      <c r="D558" s="59">
        <f t="shared" si="53"/>
        <v>47.386152933254181</v>
      </c>
      <c r="E558" s="60"/>
      <c r="F558" s="149"/>
      <c r="G558" s="150"/>
      <c r="H558" s="165"/>
      <c r="I558" s="166"/>
      <c r="J558" s="53"/>
      <c r="K558">
        <f t="shared" si="47"/>
        <v>0</v>
      </c>
      <c r="L558">
        <f t="shared" si="48"/>
        <v>0</v>
      </c>
      <c r="M558">
        <f t="shared" si="49"/>
        <v>0</v>
      </c>
      <c r="N558">
        <f t="shared" si="50"/>
        <v>0</v>
      </c>
    </row>
    <row r="559" spans="1:14" ht="12.95" customHeight="1">
      <c r="A559" s="65"/>
      <c r="B559" s="310" t="s">
        <v>566</v>
      </c>
      <c r="C559" s="58">
        <v>1.7605342898138963</v>
      </c>
      <c r="D559" s="59">
        <f t="shared" si="53"/>
        <v>52.816028694416886</v>
      </c>
      <c r="E559" s="60"/>
      <c r="F559" s="149"/>
      <c r="G559" s="150"/>
      <c r="H559" s="165"/>
      <c r="I559" s="166"/>
      <c r="J559" s="53"/>
      <c r="K559">
        <f t="shared" si="47"/>
        <v>0</v>
      </c>
      <c r="L559">
        <f t="shared" si="48"/>
        <v>0</v>
      </c>
      <c r="M559">
        <f t="shared" si="49"/>
        <v>0</v>
      </c>
      <c r="N559">
        <f t="shared" si="50"/>
        <v>0</v>
      </c>
    </row>
    <row r="560" spans="1:14" ht="12.95" customHeight="1">
      <c r="A560" s="65"/>
      <c r="B560" s="310" t="s">
        <v>148</v>
      </c>
      <c r="C560" s="58">
        <v>2.1292196146902174</v>
      </c>
      <c r="D560" s="59">
        <f t="shared" si="53"/>
        <v>63.87658844070652</v>
      </c>
      <c r="E560" s="60"/>
      <c r="F560" s="149"/>
      <c r="G560" s="150"/>
      <c r="H560" s="165"/>
      <c r="I560" s="166"/>
      <c r="J560" s="53"/>
      <c r="K560">
        <f t="shared" si="47"/>
        <v>0</v>
      </c>
      <c r="L560">
        <f t="shared" si="48"/>
        <v>0</v>
      </c>
      <c r="M560">
        <f t="shared" si="49"/>
        <v>0</v>
      </c>
      <c r="N560">
        <f t="shared" si="50"/>
        <v>0</v>
      </c>
    </row>
    <row r="561" spans="1:14" ht="12.95" customHeight="1">
      <c r="A561" s="65"/>
      <c r="B561" s="310" t="s">
        <v>149</v>
      </c>
      <c r="C561" s="58">
        <v>2.4215733739321932</v>
      </c>
      <c r="D561" s="59">
        <f t="shared" si="53"/>
        <v>72.647201217965801</v>
      </c>
      <c r="E561" s="60"/>
      <c r="F561" s="149"/>
      <c r="G561" s="150"/>
      <c r="H561" s="165"/>
      <c r="I561" s="166"/>
      <c r="J561" s="53"/>
      <c r="K561">
        <f t="shared" si="47"/>
        <v>0</v>
      </c>
      <c r="L561">
        <f t="shared" si="48"/>
        <v>0</v>
      </c>
      <c r="M561">
        <f t="shared" si="49"/>
        <v>0</v>
      </c>
      <c r="N561">
        <f t="shared" si="50"/>
        <v>0</v>
      </c>
    </row>
    <row r="562" spans="1:14" ht="12.95" customHeight="1">
      <c r="A562" s="65"/>
      <c r="B562" s="310" t="s">
        <v>150</v>
      </c>
      <c r="C562" s="58">
        <v>2.7804643849278921</v>
      </c>
      <c r="D562" s="59">
        <f t="shared" si="53"/>
        <v>83.413931547836768</v>
      </c>
      <c r="E562" s="60"/>
      <c r="F562" s="149"/>
      <c r="G562" s="150"/>
      <c r="H562" s="165"/>
      <c r="I562" s="166"/>
      <c r="J562" s="53"/>
      <c r="K562">
        <f t="shared" si="47"/>
        <v>0</v>
      </c>
      <c r="L562">
        <f t="shared" si="48"/>
        <v>0</v>
      </c>
      <c r="M562">
        <f t="shared" si="49"/>
        <v>0</v>
      </c>
      <c r="N562">
        <f t="shared" si="50"/>
        <v>0</v>
      </c>
    </row>
    <row r="563" spans="1:14" ht="12.95" customHeight="1">
      <c r="A563" s="65"/>
      <c r="B563" s="310" t="s">
        <v>151</v>
      </c>
      <c r="C563" s="58">
        <v>3.4241730306016156</v>
      </c>
      <c r="D563" s="59">
        <f t="shared" si="53"/>
        <v>102.72519091804847</v>
      </c>
      <c r="E563" s="60"/>
      <c r="F563" s="149"/>
      <c r="G563" s="150"/>
      <c r="H563" s="165"/>
      <c r="I563" s="166"/>
      <c r="J563" s="53"/>
      <c r="K563">
        <f t="shared" si="47"/>
        <v>0</v>
      </c>
      <c r="L563">
        <f t="shared" si="48"/>
        <v>0</v>
      </c>
      <c r="M563">
        <f t="shared" si="49"/>
        <v>0</v>
      </c>
      <c r="N563">
        <f t="shared" si="50"/>
        <v>0</v>
      </c>
    </row>
    <row r="564" spans="1:14" ht="12.95" customHeight="1">
      <c r="A564" s="65"/>
      <c r="B564" s="310" t="s">
        <v>152</v>
      </c>
      <c r="C564" s="58">
        <v>4.1289424542855233</v>
      </c>
      <c r="D564" s="59">
        <f t="shared" si="53"/>
        <v>123.8682736285657</v>
      </c>
      <c r="E564" s="60"/>
      <c r="F564" s="149"/>
      <c r="G564" s="150"/>
      <c r="H564" s="165"/>
      <c r="I564" s="166"/>
      <c r="J564" s="53"/>
      <c r="K564">
        <f t="shared" si="47"/>
        <v>0</v>
      </c>
      <c r="L564">
        <f t="shared" si="48"/>
        <v>0</v>
      </c>
      <c r="M564">
        <f t="shared" si="49"/>
        <v>0</v>
      </c>
      <c r="N564">
        <f t="shared" si="50"/>
        <v>0</v>
      </c>
    </row>
    <row r="565" spans="1:14" ht="12.95" customHeight="1">
      <c r="A565" s="65"/>
      <c r="B565" s="310" t="s">
        <v>153</v>
      </c>
      <c r="C565" s="58">
        <v>0.86519336654608359</v>
      </c>
      <c r="D565" s="59">
        <f t="shared" si="53"/>
        <v>25.955800996382507</v>
      </c>
      <c r="E565" s="60"/>
      <c r="F565" s="149"/>
      <c r="G565" s="150"/>
      <c r="H565" s="165"/>
      <c r="I565" s="166"/>
      <c r="J565" s="53"/>
      <c r="K565">
        <f t="shared" si="47"/>
        <v>0</v>
      </c>
      <c r="L565">
        <f t="shared" si="48"/>
        <v>0</v>
      </c>
      <c r="M565">
        <f t="shared" si="49"/>
        <v>0</v>
      </c>
      <c r="N565">
        <f t="shared" si="50"/>
        <v>0</v>
      </c>
    </row>
    <row r="566" spans="1:14" ht="12.95" customHeight="1">
      <c r="A566" s="65"/>
      <c r="B566" s="310" t="s">
        <v>154</v>
      </c>
      <c r="C566" s="58">
        <v>0.8972017889560665</v>
      </c>
      <c r="D566" s="59">
        <f t="shared" si="53"/>
        <v>26.916053668681997</v>
      </c>
      <c r="E566" s="60"/>
      <c r="F566" s="149"/>
      <c r="G566" s="150"/>
      <c r="H566" s="165"/>
      <c r="I566" s="166"/>
      <c r="J566" s="53"/>
      <c r="K566">
        <f t="shared" si="47"/>
        <v>0</v>
      </c>
      <c r="L566">
        <f t="shared" si="48"/>
        <v>0</v>
      </c>
      <c r="M566">
        <f t="shared" si="49"/>
        <v>0</v>
      </c>
      <c r="N566">
        <f t="shared" si="50"/>
        <v>0</v>
      </c>
    </row>
    <row r="567" spans="1:14" ht="12.95" customHeight="1">
      <c r="A567" s="65"/>
      <c r="B567" s="310" t="s">
        <v>155</v>
      </c>
      <c r="C567" s="58">
        <v>1.0894094224951956</v>
      </c>
      <c r="D567" s="59">
        <f t="shared" si="53"/>
        <v>32.68228267485587</v>
      </c>
      <c r="E567" s="60"/>
      <c r="F567" s="149"/>
      <c r="G567" s="150"/>
      <c r="H567" s="165"/>
      <c r="I567" s="166"/>
      <c r="J567" s="53"/>
      <c r="K567">
        <f t="shared" si="47"/>
        <v>0</v>
      </c>
      <c r="L567">
        <f t="shared" si="48"/>
        <v>0</v>
      </c>
      <c r="M567">
        <f t="shared" si="49"/>
        <v>0</v>
      </c>
      <c r="N567">
        <f t="shared" si="50"/>
        <v>0</v>
      </c>
    </row>
    <row r="568" spans="1:14" ht="12.95" customHeight="1">
      <c r="A568" s="65"/>
      <c r="B568" s="310" t="s">
        <v>156</v>
      </c>
      <c r="C568" s="58">
        <v>1.394336350354249</v>
      </c>
      <c r="D568" s="59">
        <f t="shared" si="53"/>
        <v>41.830090510627471</v>
      </c>
      <c r="E568" s="60"/>
      <c r="F568" s="149"/>
      <c r="G568" s="150"/>
      <c r="H568" s="165"/>
      <c r="I568" s="166"/>
      <c r="J568" s="53"/>
      <c r="K568">
        <f t="shared" si="47"/>
        <v>0</v>
      </c>
      <c r="L568">
        <f t="shared" si="48"/>
        <v>0</v>
      </c>
      <c r="M568">
        <f t="shared" si="49"/>
        <v>0</v>
      </c>
      <c r="N568">
        <f t="shared" si="50"/>
        <v>0</v>
      </c>
    </row>
    <row r="569" spans="1:14" ht="12.95" customHeight="1">
      <c r="A569" s="65"/>
      <c r="B569" s="111"/>
      <c r="C569" s="106"/>
      <c r="D569" s="59"/>
      <c r="E569" s="60"/>
      <c r="F569" s="149"/>
      <c r="G569" s="150"/>
      <c r="H569" s="165"/>
      <c r="I569" s="166"/>
      <c r="J569" s="53"/>
      <c r="K569">
        <f t="shared" si="47"/>
        <v>0</v>
      </c>
      <c r="L569">
        <f t="shared" si="48"/>
        <v>0</v>
      </c>
      <c r="M569">
        <f t="shared" si="49"/>
        <v>0</v>
      </c>
      <c r="N569">
        <f t="shared" si="50"/>
        <v>0</v>
      </c>
    </row>
    <row r="570" spans="1:14" ht="12.95" customHeight="1">
      <c r="A570" s="65"/>
      <c r="B570" s="311" t="s">
        <v>567</v>
      </c>
      <c r="C570" s="58">
        <v>3.1260158366579009</v>
      </c>
      <c r="D570" s="59">
        <f>C570*30</f>
        <v>93.780475099737032</v>
      </c>
      <c r="E570" s="60"/>
      <c r="F570" s="149"/>
      <c r="G570" s="150"/>
      <c r="H570" s="165"/>
      <c r="I570" s="166"/>
      <c r="J570" s="53"/>
      <c r="K570">
        <f t="shared" si="47"/>
        <v>0</v>
      </c>
      <c r="L570">
        <f t="shared" si="48"/>
        <v>0</v>
      </c>
      <c r="M570">
        <f t="shared" si="49"/>
        <v>0</v>
      </c>
      <c r="N570">
        <f t="shared" si="50"/>
        <v>0</v>
      </c>
    </row>
    <row r="571" spans="1:14" ht="12.95" customHeight="1">
      <c r="A571" s="65"/>
      <c r="B571" s="311" t="s">
        <v>157</v>
      </c>
      <c r="C571" s="58">
        <v>3.5283280172487008</v>
      </c>
      <c r="D571" s="59">
        <f>C571*30</f>
        <v>105.84984051746102</v>
      </c>
      <c r="E571" s="60"/>
      <c r="F571" s="149"/>
      <c r="G571" s="150"/>
      <c r="H571" s="165"/>
      <c r="I571" s="166"/>
      <c r="J571" s="53"/>
      <c r="K571">
        <f t="shared" si="47"/>
        <v>0</v>
      </c>
      <c r="L571">
        <f t="shared" si="48"/>
        <v>0</v>
      </c>
      <c r="M571">
        <f t="shared" si="49"/>
        <v>0</v>
      </c>
      <c r="N571">
        <f t="shared" si="50"/>
        <v>0</v>
      </c>
    </row>
    <row r="572" spans="1:14" ht="12.95" customHeight="1">
      <c r="A572" s="65"/>
      <c r="B572" s="244"/>
      <c r="C572" s="170"/>
      <c r="D572" s="238"/>
      <c r="E572" s="60"/>
      <c r="F572" s="149"/>
      <c r="G572" s="150"/>
      <c r="H572" s="165"/>
      <c r="I572" s="166"/>
      <c r="J572" s="53"/>
      <c r="K572">
        <f t="shared" si="47"/>
        <v>0</v>
      </c>
      <c r="L572">
        <f t="shared" si="48"/>
        <v>0</v>
      </c>
      <c r="M572">
        <f t="shared" si="49"/>
        <v>0</v>
      </c>
      <c r="N572">
        <f t="shared" si="50"/>
        <v>0</v>
      </c>
    </row>
    <row r="573" spans="1:14" ht="12.95" customHeight="1" thickBot="1">
      <c r="A573" s="312"/>
      <c r="B573" s="265"/>
      <c r="C573" s="313"/>
      <c r="D573" s="314"/>
      <c r="E573" s="315"/>
      <c r="F573" s="316"/>
      <c r="G573" s="314"/>
      <c r="H573" s="317"/>
      <c r="I573" s="318"/>
      <c r="J573" s="53"/>
      <c r="K573">
        <f t="shared" si="47"/>
        <v>0</v>
      </c>
      <c r="L573">
        <f t="shared" si="48"/>
        <v>0</v>
      </c>
      <c r="M573">
        <f t="shared" si="49"/>
        <v>0</v>
      </c>
      <c r="N573">
        <f t="shared" si="50"/>
        <v>0</v>
      </c>
    </row>
    <row r="574" spans="1:14" ht="12" customHeight="1" thickTop="1">
      <c r="A574" s="940"/>
      <c r="B574" s="941" t="s">
        <v>635</v>
      </c>
      <c r="C574" s="942" t="s">
        <v>636</v>
      </c>
      <c r="D574" s="907"/>
      <c r="E574" s="943"/>
      <c r="F574" s="906" t="s">
        <v>637</v>
      </c>
      <c r="G574" s="907"/>
      <c r="H574" s="908"/>
      <c r="J574" s="53"/>
      <c r="K574">
        <f t="shared" si="47"/>
        <v>0</v>
      </c>
      <c r="L574">
        <f t="shared" si="48"/>
        <v>0</v>
      </c>
      <c r="M574">
        <f t="shared" si="49"/>
        <v>0</v>
      </c>
      <c r="N574">
        <f t="shared" si="50"/>
        <v>0</v>
      </c>
    </row>
    <row r="575" spans="1:14" ht="12" customHeight="1" thickBot="1">
      <c r="A575" s="889"/>
      <c r="B575" s="903"/>
      <c r="C575" s="900"/>
      <c r="D575" s="901"/>
      <c r="E575" s="902"/>
      <c r="F575" s="876"/>
      <c r="G575" s="876"/>
      <c r="H575" s="877"/>
      <c r="J575" s="53"/>
      <c r="K575">
        <f t="shared" si="47"/>
        <v>0</v>
      </c>
      <c r="L575">
        <f t="shared" si="48"/>
        <v>0</v>
      </c>
      <c r="M575">
        <f t="shared" si="49"/>
        <v>0</v>
      </c>
      <c r="N575">
        <f t="shared" si="50"/>
        <v>0</v>
      </c>
    </row>
    <row r="576" spans="1:14" ht="12" customHeight="1" thickBot="1">
      <c r="A576" s="890"/>
      <c r="B576" s="904"/>
      <c r="C576" s="44" t="s">
        <v>639</v>
      </c>
      <c r="D576" s="45" t="s">
        <v>640</v>
      </c>
      <c r="E576" s="126"/>
      <c r="F576" s="878"/>
      <c r="G576" s="878"/>
      <c r="H576" s="879"/>
      <c r="J576" s="53"/>
      <c r="K576">
        <f t="shared" si="47"/>
        <v>0</v>
      </c>
      <c r="L576">
        <f t="shared" si="48"/>
        <v>0</v>
      </c>
      <c r="M576">
        <f t="shared" si="49"/>
        <v>0</v>
      </c>
      <c r="N576">
        <f t="shared" si="50"/>
        <v>0</v>
      </c>
    </row>
    <row r="577" spans="1:14" ht="12" customHeight="1" thickTop="1">
      <c r="A577" s="1017"/>
      <c r="B577" s="950" t="s">
        <v>158</v>
      </c>
      <c r="C577" s="247"/>
      <c r="D577" s="319"/>
      <c r="E577" s="320"/>
      <c r="F577" s="321"/>
      <c r="G577" s="322"/>
      <c r="H577" s="323"/>
      <c r="I577" s="322"/>
      <c r="J577" s="53"/>
      <c r="K577">
        <f t="shared" si="47"/>
        <v>0</v>
      </c>
      <c r="L577">
        <f t="shared" si="48"/>
        <v>0</v>
      </c>
      <c r="M577">
        <f t="shared" si="49"/>
        <v>0</v>
      </c>
      <c r="N577">
        <f t="shared" si="50"/>
        <v>0</v>
      </c>
    </row>
    <row r="578" spans="1:14" ht="12" customHeight="1">
      <c r="A578" s="1018"/>
      <c r="B578" s="1018"/>
      <c r="C578" s="324"/>
      <c r="D578" s="325"/>
      <c r="E578" s="138"/>
      <c r="F578" s="326"/>
      <c r="G578" s="327"/>
      <c r="H578" s="328"/>
      <c r="I578" s="327"/>
      <c r="J578" s="53"/>
      <c r="K578">
        <f t="shared" si="47"/>
        <v>0</v>
      </c>
      <c r="L578">
        <f t="shared" si="48"/>
        <v>0</v>
      </c>
      <c r="M578">
        <f t="shared" si="49"/>
        <v>0</v>
      </c>
      <c r="N578">
        <f t="shared" si="50"/>
        <v>0</v>
      </c>
    </row>
    <row r="579" spans="1:14" ht="12.95" customHeight="1">
      <c r="A579" s="329"/>
      <c r="B579" s="111" t="s">
        <v>159</v>
      </c>
      <c r="C579" s="58">
        <v>2.5145102786732472</v>
      </c>
      <c r="D579" s="59">
        <f>C579*30</f>
        <v>75.435308360197411</v>
      </c>
      <c r="E579" s="330"/>
      <c r="F579" s="331"/>
      <c r="G579" s="332"/>
      <c r="H579" s="333"/>
      <c r="I579" s="332"/>
      <c r="J579" s="53"/>
      <c r="K579">
        <f t="shared" si="47"/>
        <v>0</v>
      </c>
      <c r="L579">
        <f t="shared" si="48"/>
        <v>0</v>
      </c>
      <c r="M579">
        <f t="shared" si="49"/>
        <v>0</v>
      </c>
      <c r="N579">
        <f t="shared" si="50"/>
        <v>0</v>
      </c>
    </row>
    <row r="580" spans="1:14" ht="12.95" customHeight="1">
      <c r="A580" s="329"/>
      <c r="B580" s="310" t="s">
        <v>568</v>
      </c>
      <c r="C580" s="58">
        <v>2.7832118306488844</v>
      </c>
      <c r="D580" s="59">
        <f>C580*30</f>
        <v>83.49635491946654</v>
      </c>
      <c r="E580" s="330"/>
      <c r="F580" s="331"/>
      <c r="G580" s="332"/>
      <c r="H580" s="333"/>
      <c r="I580" s="332"/>
      <c r="J580" s="53"/>
      <c r="K580">
        <f t="shared" ref="K580:K644" si="54">IF(M580&gt;0,1,0)</f>
        <v>0</v>
      </c>
      <c r="L580">
        <f t="shared" ref="L580:L644" si="55">IF(couleur(B580)=2,L581,IF(couleur(B581)=2,0,J580+L581))</f>
        <v>0</v>
      </c>
      <c r="M580">
        <f t="shared" ref="M580:M644" si="56">IF(couleur(B580)=2,L580,J580)</f>
        <v>0</v>
      </c>
      <c r="N580">
        <f t="shared" ref="N580:N644" si="57">IF(ISNUMBER(C580),J580*C580,0)</f>
        <v>0</v>
      </c>
    </row>
    <row r="581" spans="1:14" ht="12.95" customHeight="1">
      <c r="A581" s="184"/>
      <c r="B581" s="111" t="s">
        <v>160</v>
      </c>
      <c r="C581" s="58">
        <v>3.9825072515185935</v>
      </c>
      <c r="D581" s="71">
        <f>C581*30</f>
        <v>119.47521754555781</v>
      </c>
      <c r="E581" s="330"/>
      <c r="F581" s="331"/>
      <c r="G581" s="332"/>
      <c r="H581" s="333"/>
      <c r="I581" s="332"/>
      <c r="J581" s="53"/>
      <c r="K581">
        <f t="shared" si="54"/>
        <v>0</v>
      </c>
      <c r="L581">
        <f t="shared" si="55"/>
        <v>0</v>
      </c>
      <c r="M581">
        <f t="shared" si="56"/>
        <v>0</v>
      </c>
      <c r="N581">
        <f t="shared" si="57"/>
        <v>0</v>
      </c>
    </row>
    <row r="582" spans="1:14" ht="12.95" customHeight="1">
      <c r="A582" s="184"/>
      <c r="B582" s="111"/>
      <c r="C582" s="58"/>
      <c r="D582" s="59"/>
      <c r="E582" s="330"/>
      <c r="F582" s="331"/>
      <c r="G582" s="332"/>
      <c r="H582" s="333"/>
      <c r="I582" s="332"/>
      <c r="J582" s="53"/>
      <c r="K582">
        <f t="shared" si="54"/>
        <v>0</v>
      </c>
      <c r="L582">
        <f t="shared" si="55"/>
        <v>0</v>
      </c>
      <c r="M582">
        <f t="shared" si="56"/>
        <v>0</v>
      </c>
      <c r="N582">
        <f t="shared" si="57"/>
        <v>0</v>
      </c>
    </row>
    <row r="583" spans="1:14" ht="12.95" customHeight="1">
      <c r="A583" s="184"/>
      <c r="B583" s="111"/>
      <c r="C583" s="64"/>
      <c r="D583" s="187"/>
      <c r="E583" s="330"/>
      <c r="F583" s="331"/>
      <c r="G583" s="332"/>
      <c r="H583" s="333"/>
      <c r="I583" s="332"/>
      <c r="J583" s="53"/>
      <c r="K583">
        <f t="shared" si="54"/>
        <v>0</v>
      </c>
      <c r="L583">
        <f t="shared" si="55"/>
        <v>0</v>
      </c>
      <c r="M583">
        <f t="shared" si="56"/>
        <v>0</v>
      </c>
      <c r="N583">
        <f t="shared" si="57"/>
        <v>0</v>
      </c>
    </row>
    <row r="584" spans="1:14" ht="12" customHeight="1">
      <c r="A584" s="1100"/>
      <c r="B584" s="870" t="s">
        <v>161</v>
      </c>
      <c r="C584" s="334"/>
      <c r="D584" s="891"/>
      <c r="E584" s="892"/>
      <c r="F584" s="321"/>
      <c r="G584" s="322"/>
      <c r="H584" s="323"/>
      <c r="I584" s="322"/>
      <c r="J584" s="53"/>
      <c r="K584">
        <f t="shared" si="54"/>
        <v>0</v>
      </c>
      <c r="L584">
        <f t="shared" si="55"/>
        <v>0</v>
      </c>
      <c r="M584">
        <f t="shared" si="56"/>
        <v>0</v>
      </c>
      <c r="N584">
        <f t="shared" si="57"/>
        <v>0</v>
      </c>
    </row>
    <row r="585" spans="1:14" ht="12" customHeight="1">
      <c r="A585" s="871"/>
      <c r="B585" s="871"/>
      <c r="C585" s="336"/>
      <c r="D585" s="932"/>
      <c r="E585" s="928"/>
      <c r="F585" s="326"/>
      <c r="G585" s="327"/>
      <c r="H585" s="328"/>
      <c r="I585" s="327"/>
      <c r="J585" s="53"/>
      <c r="K585">
        <f t="shared" si="54"/>
        <v>0</v>
      </c>
      <c r="L585">
        <f t="shared" si="55"/>
        <v>0</v>
      </c>
      <c r="M585">
        <f t="shared" si="56"/>
        <v>0</v>
      </c>
      <c r="N585">
        <f t="shared" si="57"/>
        <v>0</v>
      </c>
    </row>
    <row r="586" spans="1:14" ht="12.95" customHeight="1">
      <c r="A586" s="56"/>
      <c r="B586" s="111" t="s">
        <v>162</v>
      </c>
      <c r="C586" s="66"/>
      <c r="D586" s="238"/>
      <c r="E586" s="330"/>
      <c r="F586" s="331"/>
      <c r="G586" s="332"/>
      <c r="H586" s="333"/>
      <c r="I586" s="332"/>
      <c r="J586" s="53"/>
      <c r="K586">
        <f t="shared" si="54"/>
        <v>0</v>
      </c>
      <c r="L586">
        <f t="shared" si="55"/>
        <v>0</v>
      </c>
      <c r="M586">
        <f t="shared" si="56"/>
        <v>0</v>
      </c>
      <c r="N586">
        <f t="shared" si="57"/>
        <v>0</v>
      </c>
    </row>
    <row r="587" spans="1:14" ht="12" customHeight="1">
      <c r="A587" s="951"/>
      <c r="B587" s="870" t="s">
        <v>163</v>
      </c>
      <c r="C587" s="948"/>
      <c r="D587" s="891"/>
      <c r="E587" s="892"/>
      <c r="F587" s="321"/>
      <c r="G587" s="322"/>
      <c r="H587" s="323"/>
      <c r="I587" s="322"/>
      <c r="J587" s="53"/>
      <c r="K587">
        <f t="shared" si="54"/>
        <v>0</v>
      </c>
      <c r="L587">
        <f t="shared" si="55"/>
        <v>0</v>
      </c>
      <c r="M587">
        <f t="shared" si="56"/>
        <v>0</v>
      </c>
      <c r="N587">
        <f t="shared" si="57"/>
        <v>0</v>
      </c>
    </row>
    <row r="588" spans="1:14" ht="12" customHeight="1">
      <c r="A588" s="903"/>
      <c r="B588" s="871"/>
      <c r="C588" s="948"/>
      <c r="D588" s="891"/>
      <c r="E588" s="892"/>
      <c r="F588" s="321"/>
      <c r="G588" s="322"/>
      <c r="H588" s="323"/>
      <c r="I588" s="322"/>
      <c r="J588" s="53"/>
      <c r="K588">
        <f t="shared" si="54"/>
        <v>0</v>
      </c>
      <c r="L588">
        <f>IF(couleur(B588)=2,L590,IF(couleur(B590)=2,0,J588+L590))</f>
        <v>0</v>
      </c>
      <c r="M588">
        <f t="shared" si="56"/>
        <v>0</v>
      </c>
      <c r="N588">
        <f t="shared" si="57"/>
        <v>0</v>
      </c>
    </row>
    <row r="589" spans="1:14" ht="12.95" customHeight="1">
      <c r="A589" s="337"/>
      <c r="B589" s="57" t="s">
        <v>451</v>
      </c>
      <c r="C589" s="58">
        <v>2.6230803486260843</v>
      </c>
      <c r="D589" s="280">
        <f t="shared" ref="D589:D595" si="58">C589*30</f>
        <v>78.692410458782533</v>
      </c>
      <c r="E589" s="330"/>
      <c r="F589" s="331"/>
      <c r="G589" s="332"/>
      <c r="H589" s="333"/>
      <c r="I589" s="332"/>
      <c r="J589" s="53"/>
      <c r="K589">
        <f>IF(M589&gt;0,1,0)</f>
        <v>0</v>
      </c>
      <c r="L589">
        <f>IF(couleur(B589)=2,L590,IF(couleur(B590)=2,0,J589+L590))</f>
        <v>0</v>
      </c>
      <c r="M589">
        <f>IF(couleur(B589)=2,L589,J589)</f>
        <v>0</v>
      </c>
      <c r="N589">
        <f>IF(ISNUMBER(C589),J589*C589,0)</f>
        <v>0</v>
      </c>
    </row>
    <row r="590" spans="1:14" ht="12.95" customHeight="1">
      <c r="A590" s="337"/>
      <c r="B590" s="57" t="s">
        <v>164</v>
      </c>
      <c r="C590" s="58">
        <v>4.94168915734907</v>
      </c>
      <c r="D590" s="280">
        <f t="shared" si="58"/>
        <v>148.25067472047209</v>
      </c>
      <c r="E590" s="330"/>
      <c r="F590" s="331"/>
      <c r="G590" s="332"/>
      <c r="H590" s="333"/>
      <c r="I590" s="332"/>
      <c r="J590" s="53"/>
      <c r="K590">
        <f t="shared" si="54"/>
        <v>0</v>
      </c>
      <c r="L590">
        <f t="shared" si="55"/>
        <v>0</v>
      </c>
      <c r="M590">
        <f t="shared" si="56"/>
        <v>0</v>
      </c>
      <c r="N590">
        <f t="shared" si="57"/>
        <v>0</v>
      </c>
    </row>
    <row r="591" spans="1:14" ht="12.95" customHeight="1">
      <c r="A591" s="337"/>
      <c r="B591" s="57" t="s">
        <v>165</v>
      </c>
      <c r="C591" s="58">
        <v>4.3778836972255171</v>
      </c>
      <c r="D591" s="280">
        <f t="shared" si="58"/>
        <v>131.33651091676552</v>
      </c>
      <c r="E591" s="330"/>
      <c r="F591" s="331"/>
      <c r="G591" s="332"/>
      <c r="H591" s="333"/>
      <c r="I591" s="332"/>
      <c r="J591" s="53"/>
      <c r="K591">
        <f t="shared" si="54"/>
        <v>0</v>
      </c>
      <c r="L591">
        <f t="shared" si="55"/>
        <v>0</v>
      </c>
      <c r="M591">
        <f t="shared" si="56"/>
        <v>0</v>
      </c>
      <c r="N591">
        <f t="shared" si="57"/>
        <v>0</v>
      </c>
    </row>
    <row r="592" spans="1:14" ht="12.95" customHeight="1">
      <c r="A592" s="337"/>
      <c r="B592" s="57" t="s">
        <v>569</v>
      </c>
      <c r="C592" s="58">
        <v>4.9084598238115662</v>
      </c>
      <c r="D592" s="280">
        <f t="shared" si="58"/>
        <v>147.25379471434698</v>
      </c>
      <c r="E592" s="330"/>
      <c r="F592" s="331"/>
      <c r="G592" s="332"/>
      <c r="H592" s="333"/>
      <c r="I592" s="332"/>
      <c r="J592" s="53"/>
      <c r="K592">
        <f t="shared" si="54"/>
        <v>0</v>
      </c>
      <c r="L592">
        <f t="shared" si="55"/>
        <v>0</v>
      </c>
      <c r="M592">
        <f t="shared" si="56"/>
        <v>0</v>
      </c>
      <c r="N592">
        <f t="shared" si="57"/>
        <v>0</v>
      </c>
    </row>
    <row r="593" spans="1:14" ht="12.95" customHeight="1">
      <c r="A593" s="62"/>
      <c r="B593" s="157" t="s">
        <v>166</v>
      </c>
      <c r="C593" s="58">
        <v>8.4550031059546011</v>
      </c>
      <c r="D593" s="280">
        <f t="shared" si="58"/>
        <v>253.65009317863803</v>
      </c>
      <c r="E593" s="330"/>
      <c r="F593" s="331"/>
      <c r="G593" s="332"/>
      <c r="H593" s="333"/>
      <c r="I593" s="332"/>
      <c r="J593" s="53"/>
      <c r="K593">
        <f t="shared" si="54"/>
        <v>0</v>
      </c>
      <c r="L593">
        <f t="shared" si="55"/>
        <v>0</v>
      </c>
      <c r="M593">
        <f t="shared" si="56"/>
        <v>0</v>
      </c>
      <c r="N593">
        <f t="shared" si="57"/>
        <v>0</v>
      </c>
    </row>
    <row r="594" spans="1:14" ht="12.95" customHeight="1">
      <c r="A594" s="107"/>
      <c r="B594" s="338" t="s">
        <v>167</v>
      </c>
      <c r="C594" s="58">
        <v>5.0662703495248964</v>
      </c>
      <c r="D594" s="280">
        <f t="shared" si="58"/>
        <v>151.98811048574689</v>
      </c>
      <c r="E594" s="330"/>
      <c r="F594" s="331"/>
      <c r="G594" s="332"/>
      <c r="H594" s="333"/>
      <c r="I594" s="332"/>
      <c r="J594" s="53"/>
      <c r="K594">
        <f t="shared" si="54"/>
        <v>0</v>
      </c>
      <c r="L594">
        <f t="shared" si="55"/>
        <v>0</v>
      </c>
      <c r="M594">
        <f t="shared" si="56"/>
        <v>0</v>
      </c>
      <c r="N594">
        <f t="shared" si="57"/>
        <v>0</v>
      </c>
    </row>
    <row r="595" spans="1:14" ht="12.95" customHeight="1">
      <c r="A595" s="107"/>
      <c r="B595" s="339" t="s">
        <v>570</v>
      </c>
      <c r="C595" s="58">
        <v>2.2589232713066099</v>
      </c>
      <c r="D595" s="340">
        <f t="shared" si="58"/>
        <v>67.767698139198302</v>
      </c>
      <c r="E595" s="330"/>
      <c r="F595" s="331"/>
      <c r="G595" s="332"/>
      <c r="H595" s="333"/>
      <c r="I595" s="332"/>
      <c r="J595" s="53"/>
      <c r="K595">
        <f t="shared" si="54"/>
        <v>0</v>
      </c>
      <c r="L595">
        <f t="shared" si="55"/>
        <v>0</v>
      </c>
      <c r="M595">
        <f t="shared" si="56"/>
        <v>0</v>
      </c>
      <c r="N595">
        <f t="shared" si="57"/>
        <v>0</v>
      </c>
    </row>
    <row r="596" spans="1:14" ht="12.95" customHeight="1">
      <c r="A596" s="107"/>
      <c r="B596" s="339"/>
      <c r="C596" s="281"/>
      <c r="D596" s="340"/>
      <c r="E596" s="330"/>
      <c r="F596" s="331"/>
      <c r="G596" s="332"/>
      <c r="H596" s="333"/>
      <c r="I596" s="332"/>
      <c r="J596" s="53"/>
      <c r="K596">
        <f t="shared" si="54"/>
        <v>0</v>
      </c>
      <c r="L596">
        <f t="shared" si="55"/>
        <v>0</v>
      </c>
      <c r="M596">
        <f t="shared" si="56"/>
        <v>0</v>
      </c>
      <c r="N596">
        <f t="shared" si="57"/>
        <v>0</v>
      </c>
    </row>
    <row r="597" spans="1:14" ht="12" customHeight="1">
      <c r="A597" s="1099"/>
      <c r="B597" s="870" t="s">
        <v>168</v>
      </c>
      <c r="C597" s="199"/>
      <c r="D597" s="891"/>
      <c r="E597" s="892"/>
      <c r="F597" s="321"/>
      <c r="G597" s="322"/>
      <c r="H597" s="323"/>
      <c r="I597" s="322"/>
      <c r="J597" s="53"/>
      <c r="K597">
        <f t="shared" si="54"/>
        <v>0</v>
      </c>
      <c r="L597">
        <f t="shared" si="55"/>
        <v>0</v>
      </c>
      <c r="M597">
        <f t="shared" si="56"/>
        <v>0</v>
      </c>
      <c r="N597">
        <f t="shared" si="57"/>
        <v>0</v>
      </c>
    </row>
    <row r="598" spans="1:14" ht="12" customHeight="1">
      <c r="A598" s="903"/>
      <c r="B598" s="871"/>
      <c r="C598" s="341"/>
      <c r="D598" s="891"/>
      <c r="E598" s="892"/>
      <c r="F598" s="321"/>
      <c r="G598" s="322"/>
      <c r="H598" s="323"/>
      <c r="I598" s="322"/>
      <c r="J598" s="53"/>
      <c r="K598">
        <f t="shared" si="54"/>
        <v>0</v>
      </c>
      <c r="L598">
        <f t="shared" si="55"/>
        <v>0</v>
      </c>
      <c r="M598">
        <f t="shared" si="56"/>
        <v>0</v>
      </c>
      <c r="N598">
        <f t="shared" si="57"/>
        <v>0</v>
      </c>
    </row>
    <row r="599" spans="1:14" ht="12.95" customHeight="1">
      <c r="A599" s="342"/>
      <c r="B599" s="157" t="s">
        <v>169</v>
      </c>
      <c r="C599" s="343"/>
      <c r="D599" s="344"/>
      <c r="E599" s="345"/>
      <c r="F599" s="346"/>
      <c r="G599" s="347"/>
      <c r="H599" s="348"/>
      <c r="I599" s="347"/>
      <c r="J599" s="53"/>
      <c r="K599">
        <f t="shared" si="54"/>
        <v>0</v>
      </c>
      <c r="L599">
        <f t="shared" si="55"/>
        <v>0</v>
      </c>
      <c r="M599">
        <f t="shared" si="56"/>
        <v>0</v>
      </c>
      <c r="N599">
        <f t="shared" si="57"/>
        <v>0</v>
      </c>
    </row>
    <row r="600" spans="1:14" ht="12" customHeight="1">
      <c r="A600" s="1099"/>
      <c r="B600" s="870" t="s">
        <v>170</v>
      </c>
      <c r="C600" s="948"/>
      <c r="D600" s="891"/>
      <c r="E600" s="892"/>
      <c r="F600" s="321"/>
      <c r="G600" s="322"/>
      <c r="H600" s="323"/>
      <c r="I600" s="322"/>
      <c r="J600" s="53"/>
      <c r="K600">
        <f t="shared" si="54"/>
        <v>0</v>
      </c>
      <c r="L600">
        <f t="shared" si="55"/>
        <v>0</v>
      </c>
      <c r="M600">
        <f t="shared" si="56"/>
        <v>0</v>
      </c>
      <c r="N600">
        <f t="shared" si="57"/>
        <v>0</v>
      </c>
    </row>
    <row r="601" spans="1:14" ht="12" customHeight="1">
      <c r="A601" s="903"/>
      <c r="B601" s="871"/>
      <c r="C601" s="948"/>
      <c r="D601" s="891"/>
      <c r="E601" s="892"/>
      <c r="F601" s="321"/>
      <c r="G601" s="322"/>
      <c r="H601" s="323"/>
      <c r="I601" s="322"/>
      <c r="J601" s="53"/>
      <c r="K601">
        <f t="shared" si="54"/>
        <v>0</v>
      </c>
      <c r="L601">
        <f t="shared" si="55"/>
        <v>0</v>
      </c>
      <c r="M601">
        <f t="shared" si="56"/>
        <v>0</v>
      </c>
      <c r="N601">
        <f t="shared" si="57"/>
        <v>0</v>
      </c>
    </row>
    <row r="602" spans="1:14" ht="12.95" customHeight="1">
      <c r="A602" s="337"/>
      <c r="B602" s="57" t="s">
        <v>171</v>
      </c>
      <c r="C602" s="187"/>
      <c r="D602" s="340"/>
      <c r="E602" s="349"/>
      <c r="F602" s="331"/>
      <c r="G602" s="332"/>
      <c r="H602" s="333"/>
      <c r="I602" s="332"/>
      <c r="J602" s="53"/>
      <c r="K602">
        <f t="shared" si="54"/>
        <v>0</v>
      </c>
      <c r="L602">
        <f t="shared" si="55"/>
        <v>0</v>
      </c>
      <c r="M602">
        <f t="shared" si="56"/>
        <v>0</v>
      </c>
      <c r="N602">
        <f t="shared" si="57"/>
        <v>0</v>
      </c>
    </row>
    <row r="603" spans="1:14" ht="12.95" customHeight="1">
      <c r="A603" s="62"/>
      <c r="B603" s="157" t="s">
        <v>172</v>
      </c>
      <c r="C603" s="350"/>
      <c r="D603" s="340"/>
      <c r="E603" s="349"/>
      <c r="F603" s="331"/>
      <c r="G603" s="332"/>
      <c r="H603" s="333"/>
      <c r="I603" s="332"/>
      <c r="J603" s="53"/>
      <c r="K603">
        <f t="shared" si="54"/>
        <v>0</v>
      </c>
      <c r="L603">
        <f t="shared" si="55"/>
        <v>0</v>
      </c>
      <c r="M603">
        <f t="shared" si="56"/>
        <v>0</v>
      </c>
      <c r="N603">
        <f t="shared" si="57"/>
        <v>0</v>
      </c>
    </row>
    <row r="604" spans="1:14" ht="12" customHeight="1">
      <c r="A604" s="951"/>
      <c r="B604" s="870" t="s">
        <v>173</v>
      </c>
      <c r="C604" s="199"/>
      <c r="D604" s="891"/>
      <c r="E604" s="1103"/>
      <c r="F604" s="321"/>
      <c r="G604" s="322"/>
      <c r="H604" s="323"/>
      <c r="I604" s="322"/>
      <c r="J604" s="53"/>
      <c r="K604">
        <f t="shared" si="54"/>
        <v>0</v>
      </c>
      <c r="L604">
        <f t="shared" si="55"/>
        <v>0</v>
      </c>
      <c r="M604">
        <f t="shared" si="56"/>
        <v>0</v>
      </c>
      <c r="N604">
        <f t="shared" si="57"/>
        <v>0</v>
      </c>
    </row>
    <row r="605" spans="1:14" ht="12" customHeight="1">
      <c r="A605" s="903"/>
      <c r="B605" s="871"/>
      <c r="C605" s="341"/>
      <c r="D605" s="891"/>
      <c r="E605" s="1103"/>
      <c r="F605" s="321"/>
      <c r="G605" s="322"/>
      <c r="H605" s="323"/>
      <c r="I605" s="322"/>
      <c r="J605" s="53"/>
      <c r="K605">
        <f t="shared" si="54"/>
        <v>0</v>
      </c>
      <c r="L605">
        <f t="shared" si="55"/>
        <v>0</v>
      </c>
      <c r="M605">
        <f t="shared" si="56"/>
        <v>0</v>
      </c>
      <c r="N605">
        <f t="shared" si="57"/>
        <v>0</v>
      </c>
    </row>
    <row r="606" spans="1:14" ht="12.95" customHeight="1">
      <c r="A606" s="337"/>
      <c r="B606" s="57" t="s">
        <v>174</v>
      </c>
      <c r="C606" s="187"/>
      <c r="D606" s="351"/>
      <c r="E606" s="330"/>
      <c r="F606" s="331"/>
      <c r="G606" s="332"/>
      <c r="H606" s="333"/>
      <c r="I606" s="332"/>
      <c r="J606" s="53"/>
      <c r="K606">
        <f t="shared" si="54"/>
        <v>0</v>
      </c>
      <c r="L606">
        <f t="shared" si="55"/>
        <v>0</v>
      </c>
      <c r="M606">
        <f t="shared" si="56"/>
        <v>0</v>
      </c>
      <c r="N606">
        <f t="shared" si="57"/>
        <v>0</v>
      </c>
    </row>
    <row r="607" spans="1:14" ht="12.95" customHeight="1">
      <c r="A607" s="337"/>
      <c r="B607" s="57"/>
      <c r="C607" s="187"/>
      <c r="D607" s="351"/>
      <c r="E607" s="330"/>
      <c r="F607" s="331"/>
      <c r="G607" s="332"/>
      <c r="H607" s="333"/>
      <c r="I607" s="332"/>
      <c r="J607" s="53"/>
      <c r="K607">
        <f t="shared" si="54"/>
        <v>0</v>
      </c>
      <c r="L607">
        <f t="shared" si="55"/>
        <v>0</v>
      </c>
      <c r="M607">
        <f t="shared" si="56"/>
        <v>0</v>
      </c>
      <c r="N607">
        <f t="shared" si="57"/>
        <v>0</v>
      </c>
    </row>
    <row r="608" spans="1:14" ht="12" customHeight="1">
      <c r="A608" s="1099"/>
      <c r="B608" s="870" t="s">
        <v>175</v>
      </c>
      <c r="C608" s="199"/>
      <c r="D608" s="304"/>
      <c r="E608" s="352"/>
      <c r="F608" s="321"/>
      <c r="G608" s="322"/>
      <c r="H608" s="323"/>
      <c r="I608" s="322"/>
      <c r="J608" s="53"/>
      <c r="K608">
        <f t="shared" si="54"/>
        <v>0</v>
      </c>
      <c r="L608">
        <f t="shared" si="55"/>
        <v>0</v>
      </c>
      <c r="M608">
        <f t="shared" si="56"/>
        <v>0</v>
      </c>
      <c r="N608">
        <f t="shared" si="57"/>
        <v>0</v>
      </c>
    </row>
    <row r="609" spans="1:14" ht="12" customHeight="1">
      <c r="A609" s="903"/>
      <c r="B609" s="871"/>
      <c r="C609" s="199"/>
      <c r="D609" s="304"/>
      <c r="E609" s="352"/>
      <c r="F609" s="321"/>
      <c r="G609" s="322"/>
      <c r="H609" s="323"/>
      <c r="I609" s="322"/>
      <c r="J609" s="53"/>
      <c r="K609">
        <f t="shared" si="54"/>
        <v>0</v>
      </c>
      <c r="L609">
        <f t="shared" si="55"/>
        <v>0</v>
      </c>
      <c r="M609">
        <f t="shared" si="56"/>
        <v>0</v>
      </c>
      <c r="N609">
        <f t="shared" si="57"/>
        <v>0</v>
      </c>
    </row>
    <row r="610" spans="1:14" ht="12.95" customHeight="1">
      <c r="A610" s="62"/>
      <c r="B610" s="57" t="s">
        <v>176</v>
      </c>
      <c r="C610" s="1106" t="s">
        <v>177</v>
      </c>
      <c r="D610" s="1107"/>
      <c r="E610" s="1108"/>
      <c r="F610" s="331"/>
      <c r="G610" s="332"/>
      <c r="H610" s="333"/>
      <c r="I610" s="332"/>
      <c r="J610" s="53"/>
      <c r="K610">
        <f t="shared" si="54"/>
        <v>0</v>
      </c>
      <c r="L610">
        <f t="shared" si="55"/>
        <v>0</v>
      </c>
      <c r="M610">
        <f t="shared" si="56"/>
        <v>0</v>
      </c>
      <c r="N610">
        <f t="shared" si="57"/>
        <v>0</v>
      </c>
    </row>
    <row r="611" spans="1:14" ht="12.95" customHeight="1">
      <c r="A611" s="62"/>
      <c r="B611" s="57"/>
      <c r="C611" s="355"/>
      <c r="D611" s="238"/>
      <c r="E611" s="151"/>
      <c r="F611" s="331"/>
      <c r="G611" s="332"/>
      <c r="H611" s="333"/>
      <c r="I611" s="332"/>
      <c r="J611" s="53"/>
      <c r="K611">
        <f t="shared" si="54"/>
        <v>0</v>
      </c>
      <c r="L611">
        <f t="shared" si="55"/>
        <v>0</v>
      </c>
      <c r="M611">
        <f t="shared" si="56"/>
        <v>0</v>
      </c>
      <c r="N611">
        <f t="shared" si="57"/>
        <v>0</v>
      </c>
    </row>
    <row r="612" spans="1:14" ht="12.95" customHeight="1">
      <c r="A612" s="337"/>
      <c r="B612" s="57" t="s">
        <v>178</v>
      </c>
      <c r="C612" s="1106" t="s">
        <v>177</v>
      </c>
      <c r="D612" s="1107"/>
      <c r="E612" s="1108"/>
      <c r="F612" s="331"/>
      <c r="G612" s="332"/>
      <c r="H612" s="333"/>
      <c r="I612" s="332"/>
      <c r="J612" s="53"/>
      <c r="K612">
        <f t="shared" si="54"/>
        <v>0</v>
      </c>
      <c r="L612">
        <f t="shared" si="55"/>
        <v>0</v>
      </c>
      <c r="M612">
        <f t="shared" si="56"/>
        <v>0</v>
      </c>
      <c r="N612">
        <f t="shared" si="57"/>
        <v>0</v>
      </c>
    </row>
    <row r="613" spans="1:14" ht="12.95" customHeight="1">
      <c r="A613" s="337"/>
      <c r="B613" s="57"/>
      <c r="C613" s="356"/>
      <c r="D613" s="353"/>
      <c r="E613" s="354"/>
      <c r="F613" s="331"/>
      <c r="G613" s="332"/>
      <c r="H613" s="333"/>
      <c r="I613" s="332"/>
      <c r="J613" s="53"/>
      <c r="K613">
        <f t="shared" si="54"/>
        <v>0</v>
      </c>
      <c r="L613">
        <f t="shared" si="55"/>
        <v>0</v>
      </c>
      <c r="M613">
        <f t="shared" si="56"/>
        <v>0</v>
      </c>
      <c r="N613">
        <f t="shared" si="57"/>
        <v>0</v>
      </c>
    </row>
    <row r="614" spans="1:14" ht="12.95" customHeight="1">
      <c r="A614" s="337"/>
      <c r="B614" s="163" t="s">
        <v>179</v>
      </c>
      <c r="C614" s="58">
        <v>2.0363334968535582</v>
      </c>
      <c r="D614" s="340">
        <f t="shared" ref="D614:D620" si="59">C614*30</f>
        <v>61.090004905606747</v>
      </c>
      <c r="E614" s="330"/>
      <c r="F614" s="935" t="s">
        <v>180</v>
      </c>
      <c r="G614" s="936"/>
      <c r="H614" s="937"/>
      <c r="J614" s="53"/>
      <c r="K614">
        <f t="shared" si="54"/>
        <v>0</v>
      </c>
      <c r="L614">
        <f t="shared" si="55"/>
        <v>0</v>
      </c>
      <c r="M614">
        <f t="shared" si="56"/>
        <v>0</v>
      </c>
      <c r="N614">
        <f t="shared" si="57"/>
        <v>0</v>
      </c>
    </row>
    <row r="615" spans="1:14" ht="12.95" customHeight="1">
      <c r="A615" s="337"/>
      <c r="B615" s="57" t="s">
        <v>181</v>
      </c>
      <c r="C615" s="58">
        <v>0.24647754726652191</v>
      </c>
      <c r="D615" s="340">
        <f t="shared" si="59"/>
        <v>7.3943264179956572</v>
      </c>
      <c r="E615" s="330"/>
      <c r="F615" s="331"/>
      <c r="G615" s="332"/>
      <c r="H615" s="333"/>
      <c r="I615" s="332"/>
      <c r="J615" s="53"/>
      <c r="K615">
        <f t="shared" si="54"/>
        <v>0</v>
      </c>
      <c r="L615">
        <f t="shared" si="55"/>
        <v>0</v>
      </c>
      <c r="M615">
        <f t="shared" si="56"/>
        <v>0</v>
      </c>
      <c r="N615">
        <f t="shared" si="57"/>
        <v>0</v>
      </c>
    </row>
    <row r="616" spans="1:14" ht="12.95" customHeight="1">
      <c r="A616" s="337"/>
      <c r="B616" s="57" t="s">
        <v>182</v>
      </c>
      <c r="C616" s="58">
        <v>0.11755592310082318</v>
      </c>
      <c r="D616" s="340">
        <f t="shared" si="59"/>
        <v>3.5266776930246952</v>
      </c>
      <c r="E616" s="330"/>
      <c r="F616" s="331"/>
      <c r="G616" s="332"/>
      <c r="H616" s="333"/>
      <c r="I616" s="332"/>
      <c r="J616" s="53"/>
      <c r="K616">
        <f t="shared" si="54"/>
        <v>0</v>
      </c>
      <c r="L616">
        <f t="shared" si="55"/>
        <v>0</v>
      </c>
      <c r="M616">
        <f t="shared" si="56"/>
        <v>0</v>
      </c>
      <c r="N616">
        <f t="shared" si="57"/>
        <v>0</v>
      </c>
    </row>
    <row r="617" spans="1:14" ht="12.95" customHeight="1">
      <c r="A617" s="337"/>
      <c r="B617" s="57" t="s">
        <v>183</v>
      </c>
      <c r="C617" s="58">
        <v>6.0568387910623196E-2</v>
      </c>
      <c r="D617" s="340">
        <f t="shared" si="59"/>
        <v>1.8170516373186958</v>
      </c>
      <c r="E617" s="330"/>
      <c r="F617" s="331"/>
      <c r="G617" s="332"/>
      <c r="H617" s="333"/>
      <c r="I617" s="332"/>
      <c r="J617" s="53"/>
      <c r="K617">
        <f t="shared" si="54"/>
        <v>0</v>
      </c>
      <c r="L617">
        <f t="shared" si="55"/>
        <v>0</v>
      </c>
      <c r="M617">
        <f t="shared" si="56"/>
        <v>0</v>
      </c>
      <c r="N617">
        <f t="shared" si="57"/>
        <v>0</v>
      </c>
    </row>
    <row r="618" spans="1:14" ht="12.95" customHeight="1">
      <c r="A618" s="337"/>
      <c r="B618" s="57" t="s">
        <v>184</v>
      </c>
      <c r="C618" s="58">
        <v>0.10778932371737455</v>
      </c>
      <c r="D618" s="340">
        <f t="shared" si="59"/>
        <v>3.2336797115212366</v>
      </c>
      <c r="E618" s="330"/>
      <c r="F618" s="331"/>
      <c r="G618" s="332"/>
      <c r="H618" s="333"/>
      <c r="I618" s="332"/>
      <c r="J618" s="53"/>
      <c r="K618">
        <f t="shared" si="54"/>
        <v>0</v>
      </c>
      <c r="L618">
        <f t="shared" si="55"/>
        <v>0</v>
      </c>
      <c r="M618">
        <f t="shared" si="56"/>
        <v>0</v>
      </c>
      <c r="N618">
        <f t="shared" si="57"/>
        <v>0</v>
      </c>
    </row>
    <row r="619" spans="1:14" ht="12.95" customHeight="1">
      <c r="A619" s="337"/>
      <c r="B619" s="57" t="s">
        <v>185</v>
      </c>
      <c r="C619" s="58">
        <v>0.10317476833542268</v>
      </c>
      <c r="D619" s="340">
        <f t="shared" si="59"/>
        <v>3.0952430500626802</v>
      </c>
      <c r="E619" s="330"/>
      <c r="F619" s="331"/>
      <c r="G619" s="332"/>
      <c r="H619" s="333"/>
      <c r="I619" s="332"/>
      <c r="J619" s="53"/>
      <c r="K619">
        <f t="shared" si="54"/>
        <v>0</v>
      </c>
      <c r="L619">
        <f t="shared" si="55"/>
        <v>0</v>
      </c>
      <c r="M619">
        <f t="shared" si="56"/>
        <v>0</v>
      </c>
      <c r="N619">
        <f t="shared" si="57"/>
        <v>0</v>
      </c>
    </row>
    <row r="620" spans="1:14" ht="12.95" customHeight="1">
      <c r="A620" s="337"/>
      <c r="B620" s="57" t="s">
        <v>186</v>
      </c>
      <c r="C620" s="58">
        <v>12.393712917448946</v>
      </c>
      <c r="D620" s="340">
        <f t="shared" si="59"/>
        <v>371.8113875234684</v>
      </c>
      <c r="E620" s="330"/>
      <c r="F620" s="331"/>
      <c r="G620" s="332"/>
      <c r="H620" s="333"/>
      <c r="I620" s="332"/>
      <c r="J620" s="53"/>
      <c r="K620">
        <f t="shared" si="54"/>
        <v>0</v>
      </c>
      <c r="L620">
        <f t="shared" si="55"/>
        <v>0</v>
      </c>
      <c r="M620">
        <f t="shared" si="56"/>
        <v>0</v>
      </c>
      <c r="N620">
        <f t="shared" si="57"/>
        <v>0</v>
      </c>
    </row>
    <row r="621" spans="1:14" s="197" customFormat="1" ht="12" customHeight="1">
      <c r="A621" s="1104"/>
      <c r="B621" s="870" t="s">
        <v>187</v>
      </c>
      <c r="C621" s="357"/>
      <c r="D621" s="909"/>
      <c r="E621" s="1101"/>
      <c r="F621" s="359"/>
      <c r="G621" s="360"/>
      <c r="H621" s="361"/>
      <c r="I621" s="360"/>
      <c r="J621" s="53"/>
      <c r="K621">
        <f t="shared" si="54"/>
        <v>0</v>
      </c>
      <c r="L621">
        <f t="shared" si="55"/>
        <v>0</v>
      </c>
      <c r="M621">
        <f t="shared" si="56"/>
        <v>0</v>
      </c>
      <c r="N621">
        <f t="shared" si="57"/>
        <v>0</v>
      </c>
    </row>
    <row r="622" spans="1:14" s="197" customFormat="1" ht="12" customHeight="1">
      <c r="A622" s="1105"/>
      <c r="B622" s="871"/>
      <c r="C622" s="362" t="s">
        <v>188</v>
      </c>
      <c r="D622" s="910"/>
      <c r="E622" s="1102"/>
      <c r="F622" s="364"/>
      <c r="G622" s="365"/>
      <c r="H622" s="366"/>
      <c r="I622" s="365"/>
      <c r="J622" s="53"/>
      <c r="K622">
        <f t="shared" si="54"/>
        <v>0</v>
      </c>
      <c r="L622">
        <f t="shared" si="55"/>
        <v>0</v>
      </c>
      <c r="M622">
        <f t="shared" si="56"/>
        <v>0</v>
      </c>
      <c r="N622">
        <f t="shared" si="57"/>
        <v>0</v>
      </c>
    </row>
    <row r="623" spans="1:14" ht="12.95" customHeight="1">
      <c r="A623" s="367"/>
      <c r="B623" s="57" t="s">
        <v>189</v>
      </c>
      <c r="C623" s="58">
        <v>1.4405124939388629</v>
      </c>
      <c r="D623" s="340">
        <f>C623*30</f>
        <v>43.215374818165891</v>
      </c>
      <c r="E623" s="330"/>
      <c r="F623" s="331"/>
      <c r="G623" s="332"/>
      <c r="H623" s="333"/>
      <c r="I623" s="332"/>
      <c r="J623" s="53"/>
      <c r="K623">
        <f t="shared" si="54"/>
        <v>0</v>
      </c>
      <c r="L623">
        <f t="shared" si="55"/>
        <v>0</v>
      </c>
      <c r="M623">
        <f t="shared" si="56"/>
        <v>0</v>
      </c>
      <c r="N623">
        <f t="shared" si="57"/>
        <v>0</v>
      </c>
    </row>
    <row r="624" spans="1:14" ht="12.95" customHeight="1">
      <c r="A624" s="337"/>
      <c r="B624" s="163" t="s">
        <v>190</v>
      </c>
      <c r="C624" s="58">
        <v>2.146879272540605</v>
      </c>
      <c r="D624" s="340">
        <f>C624*30</f>
        <v>64.406378176218155</v>
      </c>
      <c r="E624" s="330"/>
      <c r="F624" s="331"/>
      <c r="G624" s="332"/>
      <c r="H624" s="333"/>
      <c r="I624" s="332"/>
      <c r="J624" s="53"/>
      <c r="K624">
        <f t="shared" si="54"/>
        <v>0</v>
      </c>
      <c r="L624">
        <f t="shared" si="55"/>
        <v>0</v>
      </c>
      <c r="M624">
        <f t="shared" si="56"/>
        <v>0</v>
      </c>
      <c r="N624">
        <f t="shared" si="57"/>
        <v>0</v>
      </c>
    </row>
    <row r="625" spans="1:14" ht="12.95" customHeight="1">
      <c r="A625" s="337"/>
      <c r="B625" s="62"/>
      <c r="C625" s="368"/>
      <c r="D625" s="369"/>
      <c r="E625" s="330"/>
      <c r="F625" s="331"/>
      <c r="G625" s="332"/>
      <c r="H625" s="333"/>
      <c r="I625" s="332"/>
      <c r="J625" s="53"/>
      <c r="K625">
        <f t="shared" si="54"/>
        <v>0</v>
      </c>
      <c r="L625">
        <f t="shared" si="55"/>
        <v>0</v>
      </c>
      <c r="M625">
        <f t="shared" si="56"/>
        <v>0</v>
      </c>
      <c r="N625">
        <f t="shared" si="57"/>
        <v>0</v>
      </c>
    </row>
    <row r="626" spans="1:14" ht="12.95" customHeight="1">
      <c r="A626" s="337"/>
      <c r="B626" s="163" t="s">
        <v>191</v>
      </c>
      <c r="C626" s="58">
        <v>12.44030436808935</v>
      </c>
      <c r="D626" s="340">
        <f>C626*30</f>
        <v>373.2091310426805</v>
      </c>
      <c r="E626" s="330"/>
      <c r="F626" s="331"/>
      <c r="G626" s="332"/>
      <c r="H626" s="333"/>
      <c r="I626" s="332"/>
      <c r="J626" s="53"/>
      <c r="K626">
        <f t="shared" si="54"/>
        <v>0</v>
      </c>
      <c r="L626">
        <f t="shared" si="55"/>
        <v>0</v>
      </c>
      <c r="M626">
        <f t="shared" si="56"/>
        <v>0</v>
      </c>
      <c r="N626">
        <f t="shared" si="57"/>
        <v>0</v>
      </c>
    </row>
    <row r="627" spans="1:14" ht="12.95" customHeight="1">
      <c r="A627" s="337"/>
      <c r="B627" s="163" t="s">
        <v>192</v>
      </c>
      <c r="C627" s="58">
        <v>31.915825861661126</v>
      </c>
      <c r="D627" s="340">
        <f>C627*30</f>
        <v>957.4747758498338</v>
      </c>
      <c r="E627" s="330"/>
      <c r="F627" s="331"/>
      <c r="G627" s="332"/>
      <c r="H627" s="333"/>
      <c r="I627" s="332"/>
      <c r="J627" s="53"/>
      <c r="K627">
        <f t="shared" si="54"/>
        <v>0</v>
      </c>
      <c r="L627">
        <f t="shared" si="55"/>
        <v>0</v>
      </c>
      <c r="M627">
        <f t="shared" si="56"/>
        <v>0</v>
      </c>
      <c r="N627">
        <f t="shared" si="57"/>
        <v>0</v>
      </c>
    </row>
    <row r="628" spans="1:14" ht="12.95" customHeight="1">
      <c r="A628" s="337"/>
      <c r="B628" s="163" t="s">
        <v>193</v>
      </c>
      <c r="C628" s="58">
        <v>14.6692737504051</v>
      </c>
      <c r="D628" s="340">
        <f>C628*30</f>
        <v>440.07821251215302</v>
      </c>
      <c r="E628" s="330"/>
      <c r="F628" s="331"/>
      <c r="G628" s="332"/>
      <c r="H628" s="333"/>
      <c r="I628" s="332"/>
      <c r="J628" s="53"/>
      <c r="K628">
        <f t="shared" si="54"/>
        <v>0</v>
      </c>
      <c r="L628">
        <f t="shared" si="55"/>
        <v>0</v>
      </c>
      <c r="M628">
        <f t="shared" si="56"/>
        <v>0</v>
      </c>
      <c r="N628">
        <f t="shared" si="57"/>
        <v>0</v>
      </c>
    </row>
    <row r="629" spans="1:14" ht="12.95" customHeight="1">
      <c r="A629" s="337"/>
      <c r="B629" s="370"/>
      <c r="C629" s="371"/>
      <c r="D629" s="372"/>
      <c r="E629" s="330"/>
      <c r="F629" s="331"/>
      <c r="G629" s="332"/>
      <c r="H629" s="333"/>
      <c r="I629" s="332"/>
      <c r="J629" s="53"/>
      <c r="K629">
        <f t="shared" si="54"/>
        <v>0</v>
      </c>
      <c r="L629">
        <f t="shared" si="55"/>
        <v>0</v>
      </c>
      <c r="M629">
        <f t="shared" si="56"/>
        <v>0</v>
      </c>
      <c r="N629">
        <f t="shared" si="57"/>
        <v>0</v>
      </c>
    </row>
    <row r="630" spans="1:14" s="197" customFormat="1" ht="12.95" customHeight="1">
      <c r="A630" s="239"/>
      <c r="B630" s="870" t="s">
        <v>194</v>
      </c>
      <c r="C630" s="373"/>
      <c r="D630" s="374"/>
      <c r="E630" s="358"/>
      <c r="F630" s="359"/>
      <c r="G630" s="360"/>
      <c r="H630" s="361"/>
      <c r="I630" s="360"/>
      <c r="J630" s="53"/>
      <c r="K630">
        <f t="shared" si="54"/>
        <v>0</v>
      </c>
      <c r="L630">
        <f t="shared" si="55"/>
        <v>0</v>
      </c>
      <c r="M630">
        <f t="shared" si="56"/>
        <v>0</v>
      </c>
      <c r="N630">
        <f t="shared" si="57"/>
        <v>0</v>
      </c>
    </row>
    <row r="631" spans="1:14" s="197" customFormat="1" ht="12.95" customHeight="1">
      <c r="A631" s="240"/>
      <c r="B631" s="871"/>
      <c r="C631" s="375"/>
      <c r="D631" s="376"/>
      <c r="E631" s="363"/>
      <c r="F631" s="364"/>
      <c r="G631" s="365"/>
      <c r="H631" s="366"/>
      <c r="I631" s="365"/>
      <c r="J631" s="53"/>
      <c r="K631">
        <f t="shared" si="54"/>
        <v>0</v>
      </c>
      <c r="L631">
        <f t="shared" si="55"/>
        <v>0</v>
      </c>
      <c r="M631">
        <f t="shared" si="56"/>
        <v>0</v>
      </c>
      <c r="N631">
        <f t="shared" si="57"/>
        <v>0</v>
      </c>
    </row>
    <row r="632" spans="1:14" ht="12.95" customHeight="1">
      <c r="A632" s="337"/>
      <c r="B632" s="377" t="s">
        <v>195</v>
      </c>
      <c r="C632" s="371"/>
      <c r="D632" s="372"/>
      <c r="E632" s="330"/>
      <c r="F632" s="331"/>
      <c r="G632" s="332"/>
      <c r="H632" s="333"/>
      <c r="I632" s="332"/>
      <c r="J632" s="53"/>
      <c r="K632">
        <f t="shared" si="54"/>
        <v>0</v>
      </c>
      <c r="L632">
        <f t="shared" si="55"/>
        <v>0</v>
      </c>
      <c r="M632">
        <f t="shared" si="56"/>
        <v>0</v>
      </c>
      <c r="N632">
        <f t="shared" si="57"/>
        <v>0</v>
      </c>
    </row>
    <row r="633" spans="1:14" ht="12.95" customHeight="1">
      <c r="A633" s="337"/>
      <c r="B633" s="163" t="s">
        <v>196</v>
      </c>
      <c r="C633" s="371"/>
      <c r="D633" s="372"/>
      <c r="E633" s="330"/>
      <c r="F633" s="331"/>
      <c r="G633" s="332"/>
      <c r="H633" s="333"/>
      <c r="I633" s="332"/>
      <c r="J633" s="53"/>
      <c r="K633">
        <f t="shared" si="54"/>
        <v>0</v>
      </c>
      <c r="L633">
        <f t="shared" si="55"/>
        <v>0</v>
      </c>
      <c r="M633">
        <f t="shared" si="56"/>
        <v>0</v>
      </c>
      <c r="N633">
        <f t="shared" si="57"/>
        <v>0</v>
      </c>
    </row>
    <row r="634" spans="1:14" ht="12.95" customHeight="1">
      <c r="A634" s="337"/>
      <c r="B634" s="163" t="s">
        <v>197</v>
      </c>
      <c r="C634" s="238"/>
      <c r="D634" s="351"/>
      <c r="E634" s="330"/>
      <c r="F634" s="331"/>
      <c r="G634" s="332"/>
      <c r="H634" s="333"/>
      <c r="I634" s="332"/>
      <c r="J634" s="53"/>
      <c r="K634">
        <f t="shared" si="54"/>
        <v>0</v>
      </c>
      <c r="L634">
        <f t="shared" si="55"/>
        <v>0</v>
      </c>
      <c r="M634">
        <f t="shared" si="56"/>
        <v>0</v>
      </c>
      <c r="N634">
        <f t="shared" si="57"/>
        <v>0</v>
      </c>
    </row>
    <row r="635" spans="1:14" ht="12.95" customHeight="1" thickBot="1">
      <c r="A635" s="378"/>
      <c r="B635" s="379"/>
      <c r="C635" s="380"/>
      <c r="D635" s="381"/>
      <c r="E635" s="382"/>
      <c r="F635" s="383"/>
      <c r="G635" s="384"/>
      <c r="H635" s="385"/>
      <c r="I635" s="384"/>
      <c r="J635" s="53"/>
      <c r="K635">
        <f t="shared" si="54"/>
        <v>0</v>
      </c>
      <c r="L635">
        <f t="shared" si="55"/>
        <v>0</v>
      </c>
      <c r="M635">
        <f t="shared" si="56"/>
        <v>0</v>
      </c>
      <c r="N635">
        <f t="shared" si="57"/>
        <v>0</v>
      </c>
    </row>
    <row r="636" spans="1:14" ht="12" customHeight="1" thickTop="1">
      <c r="A636" s="940"/>
      <c r="B636" s="941" t="s">
        <v>635</v>
      </c>
      <c r="C636" s="942" t="s">
        <v>636</v>
      </c>
      <c r="D636" s="907"/>
      <c r="E636" s="943"/>
      <c r="F636" s="906" t="s">
        <v>637</v>
      </c>
      <c r="G636" s="907"/>
      <c r="H636" s="908"/>
      <c r="J636" s="53"/>
      <c r="K636">
        <f t="shared" si="54"/>
        <v>0</v>
      </c>
      <c r="L636">
        <f t="shared" si="55"/>
        <v>0</v>
      </c>
      <c r="M636">
        <f t="shared" si="56"/>
        <v>0</v>
      </c>
      <c r="N636">
        <f t="shared" si="57"/>
        <v>0</v>
      </c>
    </row>
    <row r="637" spans="1:14" ht="12" customHeight="1" thickBot="1">
      <c r="A637" s="889"/>
      <c r="B637" s="903"/>
      <c r="C637" s="900"/>
      <c r="D637" s="901"/>
      <c r="E637" s="902"/>
      <c r="F637" s="876"/>
      <c r="G637" s="876"/>
      <c r="H637" s="877"/>
      <c r="J637" s="53"/>
      <c r="K637">
        <f t="shared" si="54"/>
        <v>0</v>
      </c>
      <c r="L637">
        <f t="shared" si="55"/>
        <v>0</v>
      </c>
      <c r="M637">
        <f t="shared" si="56"/>
        <v>0</v>
      </c>
      <c r="N637">
        <f t="shared" si="57"/>
        <v>0</v>
      </c>
    </row>
    <row r="638" spans="1:14" ht="12" customHeight="1" thickBot="1">
      <c r="A638" s="890"/>
      <c r="B638" s="904"/>
      <c r="C638" s="44" t="s">
        <v>639</v>
      </c>
      <c r="D638" s="45" t="s">
        <v>640</v>
      </c>
      <c r="E638" s="126"/>
      <c r="F638" s="878"/>
      <c r="G638" s="878"/>
      <c r="H638" s="879"/>
      <c r="J638" s="53"/>
      <c r="K638">
        <f t="shared" si="54"/>
        <v>0</v>
      </c>
      <c r="L638">
        <f t="shared" si="55"/>
        <v>0</v>
      </c>
      <c r="M638">
        <f t="shared" si="56"/>
        <v>0</v>
      </c>
      <c r="N638">
        <f t="shared" si="57"/>
        <v>0</v>
      </c>
    </row>
    <row r="639" spans="1:14" ht="12" customHeight="1" thickTop="1">
      <c r="A639" s="938"/>
      <c r="B639" s="870" t="s">
        <v>198</v>
      </c>
      <c r="C639" s="898"/>
      <c r="D639" s="891"/>
      <c r="E639" s="892"/>
      <c r="F639" s="321"/>
      <c r="G639" s="322"/>
      <c r="H639" s="323"/>
      <c r="I639" s="322"/>
      <c r="J639" s="53"/>
      <c r="K639">
        <f t="shared" si="54"/>
        <v>0</v>
      </c>
      <c r="L639">
        <f t="shared" si="55"/>
        <v>0</v>
      </c>
      <c r="M639">
        <f t="shared" si="56"/>
        <v>0</v>
      </c>
      <c r="N639">
        <f t="shared" si="57"/>
        <v>0</v>
      </c>
    </row>
    <row r="640" spans="1:14" ht="12" customHeight="1">
      <c r="A640" s="938"/>
      <c r="B640" s="871"/>
      <c r="C640" s="898"/>
      <c r="D640" s="891"/>
      <c r="E640" s="892"/>
      <c r="F640" s="321"/>
      <c r="G640" s="322"/>
      <c r="H640" s="323"/>
      <c r="I640" s="322"/>
      <c r="J640" s="53"/>
      <c r="K640">
        <f t="shared" si="54"/>
        <v>0</v>
      </c>
      <c r="L640">
        <f t="shared" si="55"/>
        <v>0</v>
      </c>
      <c r="M640">
        <f t="shared" si="56"/>
        <v>0</v>
      </c>
      <c r="N640">
        <f t="shared" si="57"/>
        <v>0</v>
      </c>
    </row>
    <row r="641" spans="1:14" ht="12.95" customHeight="1">
      <c r="A641" s="367"/>
      <c r="B641" s="57" t="s">
        <v>199</v>
      </c>
      <c r="C641" s="58">
        <v>2.2120809134349146</v>
      </c>
      <c r="D641" s="340">
        <f>C641*30</f>
        <v>66.362427403047434</v>
      </c>
      <c r="E641" s="330"/>
      <c r="F641" s="331"/>
      <c r="G641" s="332"/>
      <c r="H641" s="333"/>
      <c r="I641" s="332"/>
      <c r="J641" s="53"/>
      <c r="K641">
        <f t="shared" si="54"/>
        <v>0</v>
      </c>
      <c r="L641">
        <f t="shared" si="55"/>
        <v>0</v>
      </c>
      <c r="M641">
        <f t="shared" si="56"/>
        <v>0</v>
      </c>
      <c r="N641">
        <f t="shared" si="57"/>
        <v>0</v>
      </c>
    </row>
    <row r="642" spans="1:14" ht="12.95" customHeight="1">
      <c r="A642" s="367"/>
      <c r="B642" s="57" t="s">
        <v>200</v>
      </c>
      <c r="C642" s="58">
        <v>5.461674567507961</v>
      </c>
      <c r="D642" s="340">
        <f>C642*30</f>
        <v>163.85023702523884</v>
      </c>
      <c r="E642" s="330"/>
      <c r="F642" s="331"/>
      <c r="G642" s="332"/>
      <c r="H642" s="333"/>
      <c r="I642" s="332"/>
      <c r="J642" s="53"/>
      <c r="K642">
        <f t="shared" si="54"/>
        <v>0</v>
      </c>
      <c r="L642">
        <f t="shared" si="55"/>
        <v>0</v>
      </c>
      <c r="M642">
        <f t="shared" si="56"/>
        <v>0</v>
      </c>
      <c r="N642">
        <f t="shared" si="57"/>
        <v>0</v>
      </c>
    </row>
    <row r="643" spans="1:14" ht="12.95" customHeight="1">
      <c r="A643" s="367"/>
      <c r="B643" s="57" t="s">
        <v>201</v>
      </c>
      <c r="C643" s="58">
        <v>15.951763487079084</v>
      </c>
      <c r="D643" s="340">
        <f>C643*30</f>
        <v>478.55290461237252</v>
      </c>
      <c r="E643" s="330"/>
      <c r="F643" s="331"/>
      <c r="G643" s="332"/>
      <c r="H643" s="333"/>
      <c r="I643" s="332"/>
      <c r="J643" s="53"/>
      <c r="K643">
        <f t="shared" si="54"/>
        <v>0</v>
      </c>
      <c r="L643">
        <f t="shared" si="55"/>
        <v>0</v>
      </c>
      <c r="M643">
        <f t="shared" si="56"/>
        <v>0</v>
      </c>
      <c r="N643">
        <f t="shared" si="57"/>
        <v>0</v>
      </c>
    </row>
    <row r="644" spans="1:14" ht="12.95" customHeight="1">
      <c r="A644" s="367"/>
      <c r="B644" s="168"/>
      <c r="C644" s="386"/>
      <c r="D644" s="351"/>
      <c r="E644" s="330"/>
      <c r="F644" s="331"/>
      <c r="G644" s="332"/>
      <c r="H644" s="333"/>
      <c r="I644" s="332"/>
      <c r="J644" s="53"/>
      <c r="K644">
        <f t="shared" si="54"/>
        <v>0</v>
      </c>
      <c r="L644">
        <f t="shared" si="55"/>
        <v>0</v>
      </c>
      <c r="M644">
        <f t="shared" si="56"/>
        <v>0</v>
      </c>
      <c r="N644">
        <f t="shared" si="57"/>
        <v>0</v>
      </c>
    </row>
    <row r="645" spans="1:14" ht="12" customHeight="1">
      <c r="A645" s="938"/>
      <c r="B645" s="870" t="s">
        <v>202</v>
      </c>
      <c r="C645" s="898"/>
      <c r="D645" s="891"/>
      <c r="E645" s="892"/>
      <c r="F645" s="321"/>
      <c r="G645" s="322"/>
      <c r="H645" s="323"/>
      <c r="I645" s="322"/>
      <c r="J645" s="53"/>
      <c r="K645">
        <f t="shared" ref="K645:K708" si="60">IF(M645&gt;0,1,0)</f>
        <v>0</v>
      </c>
      <c r="L645">
        <f t="shared" ref="L645:L708" si="61">IF(couleur(B645)=2,L646,IF(couleur(B646)=2,0,J645+L646))</f>
        <v>0</v>
      </c>
      <c r="M645">
        <f t="shared" ref="M645:M708" si="62">IF(couleur(B645)=2,L645,J645)</f>
        <v>0</v>
      </c>
      <c r="N645">
        <f t="shared" ref="N645:N708" si="63">IF(ISNUMBER(C645),J645*C645,0)</f>
        <v>0</v>
      </c>
    </row>
    <row r="646" spans="1:14" ht="12" customHeight="1">
      <c r="A646" s="938"/>
      <c r="B646" s="871"/>
      <c r="C646" s="898"/>
      <c r="D646" s="891"/>
      <c r="E646" s="892"/>
      <c r="F646" s="321"/>
      <c r="G646" s="322"/>
      <c r="H646" s="323"/>
      <c r="I646" s="322"/>
      <c r="J646" s="53"/>
      <c r="K646">
        <f t="shared" si="60"/>
        <v>0</v>
      </c>
      <c r="L646">
        <f t="shared" si="61"/>
        <v>0</v>
      </c>
      <c r="M646">
        <f t="shared" si="62"/>
        <v>0</v>
      </c>
      <c r="N646">
        <f t="shared" si="63"/>
        <v>0</v>
      </c>
    </row>
    <row r="647" spans="1:14" ht="12.95" customHeight="1">
      <c r="A647" s="65"/>
      <c r="B647" s="157" t="s">
        <v>203</v>
      </c>
      <c r="C647" s="58">
        <v>6.7697352926716361</v>
      </c>
      <c r="D647" s="340">
        <f>C647*30</f>
        <v>203.09205878014907</v>
      </c>
      <c r="E647" s="330"/>
      <c r="F647" s="331"/>
      <c r="G647" s="332"/>
      <c r="H647" s="333"/>
      <c r="I647" s="332"/>
      <c r="J647" s="53"/>
      <c r="K647">
        <f t="shared" si="60"/>
        <v>0</v>
      </c>
      <c r="L647">
        <f t="shared" si="61"/>
        <v>0</v>
      </c>
      <c r="M647">
        <f t="shared" si="62"/>
        <v>0</v>
      </c>
      <c r="N647">
        <f t="shared" si="63"/>
        <v>0</v>
      </c>
    </row>
    <row r="648" spans="1:14" ht="12.95" customHeight="1">
      <c r="A648" s="367"/>
      <c r="B648" s="163" t="s">
        <v>204</v>
      </c>
      <c r="C648" s="58">
        <v>36.937856503438233</v>
      </c>
      <c r="D648" s="340">
        <f>C648*30</f>
        <v>1108.1356951031471</v>
      </c>
      <c r="E648" s="330"/>
      <c r="F648" s="331"/>
      <c r="G648" s="332"/>
      <c r="H648" s="333"/>
      <c r="I648" s="332"/>
      <c r="J648" s="53"/>
      <c r="K648">
        <f t="shared" si="60"/>
        <v>0</v>
      </c>
      <c r="L648">
        <f t="shared" si="61"/>
        <v>0</v>
      </c>
      <c r="M648">
        <f t="shared" si="62"/>
        <v>0</v>
      </c>
      <c r="N648">
        <f t="shared" si="63"/>
        <v>0</v>
      </c>
    </row>
    <row r="649" spans="1:14" ht="12.95" customHeight="1">
      <c r="A649" s="367"/>
      <c r="B649" s="163"/>
      <c r="C649" s="59"/>
      <c r="D649" s="340"/>
      <c r="E649" s="330"/>
      <c r="F649" s="331"/>
      <c r="G649" s="332"/>
      <c r="H649" s="333"/>
      <c r="I649" s="332"/>
      <c r="J649" s="53"/>
      <c r="K649">
        <f t="shared" si="60"/>
        <v>0</v>
      </c>
      <c r="L649">
        <f t="shared" si="61"/>
        <v>0</v>
      </c>
      <c r="M649">
        <f t="shared" si="62"/>
        <v>0</v>
      </c>
      <c r="N649">
        <f t="shared" si="63"/>
        <v>0</v>
      </c>
    </row>
    <row r="650" spans="1:14" ht="12.95" customHeight="1">
      <c r="A650" s="367"/>
      <c r="B650" s="163"/>
      <c r="C650" s="59"/>
      <c r="D650" s="340"/>
      <c r="E650" s="330"/>
      <c r="F650" s="331"/>
      <c r="G650" s="332"/>
      <c r="H650" s="333"/>
      <c r="I650" s="332"/>
      <c r="J650" s="53"/>
      <c r="K650">
        <f t="shared" si="60"/>
        <v>0</v>
      </c>
      <c r="L650">
        <f t="shared" si="61"/>
        <v>0</v>
      </c>
      <c r="M650">
        <f t="shared" si="62"/>
        <v>0</v>
      </c>
      <c r="N650">
        <f t="shared" si="63"/>
        <v>0</v>
      </c>
    </row>
    <row r="651" spans="1:14" ht="12" customHeight="1">
      <c r="A651" s="938"/>
      <c r="B651" s="870" t="s">
        <v>205</v>
      </c>
      <c r="C651" s="898"/>
      <c r="D651" s="891"/>
      <c r="E651" s="892"/>
      <c r="F651" s="321"/>
      <c r="G651" s="322"/>
      <c r="H651" s="323"/>
      <c r="I651" s="322"/>
      <c r="J651" s="53"/>
      <c r="K651">
        <f t="shared" si="60"/>
        <v>0</v>
      </c>
      <c r="L651">
        <f t="shared" si="61"/>
        <v>0</v>
      </c>
      <c r="M651">
        <f t="shared" si="62"/>
        <v>0</v>
      </c>
      <c r="N651">
        <f t="shared" si="63"/>
        <v>0</v>
      </c>
    </row>
    <row r="652" spans="1:14" ht="12" customHeight="1">
      <c r="A652" s="938"/>
      <c r="B652" s="871"/>
      <c r="C652" s="898"/>
      <c r="D652" s="891"/>
      <c r="E652" s="892"/>
      <c r="F652" s="321"/>
      <c r="G652" s="322"/>
      <c r="H652" s="323"/>
      <c r="I652" s="322"/>
      <c r="J652" s="53"/>
      <c r="K652">
        <f t="shared" si="60"/>
        <v>0</v>
      </c>
      <c r="L652">
        <f t="shared" si="61"/>
        <v>0</v>
      </c>
      <c r="M652">
        <f t="shared" si="62"/>
        <v>0</v>
      </c>
      <c r="N652">
        <f t="shared" si="63"/>
        <v>0</v>
      </c>
    </row>
    <row r="653" spans="1:14" ht="12.95" customHeight="1">
      <c r="A653" s="367"/>
      <c r="B653" s="57"/>
      <c r="C653" s="59"/>
      <c r="D653" s="340"/>
      <c r="E653" s="330"/>
      <c r="F653" s="331"/>
      <c r="G653" s="332"/>
      <c r="H653" s="333"/>
      <c r="I653" s="332"/>
      <c r="J653" s="53"/>
      <c r="K653">
        <f t="shared" si="60"/>
        <v>0</v>
      </c>
      <c r="L653">
        <f t="shared" si="61"/>
        <v>0</v>
      </c>
      <c r="M653">
        <f t="shared" si="62"/>
        <v>0</v>
      </c>
      <c r="N653">
        <f t="shared" si="63"/>
        <v>0</v>
      </c>
    </row>
    <row r="654" spans="1:14" ht="12.95" customHeight="1">
      <c r="A654" s="367"/>
      <c r="B654" s="168"/>
      <c r="C654" s="386"/>
      <c r="D654" s="351"/>
      <c r="E654" s="330"/>
      <c r="F654" s="331"/>
      <c r="G654" s="332"/>
      <c r="H654" s="333"/>
      <c r="I654" s="332"/>
      <c r="J654" s="53"/>
      <c r="K654">
        <f t="shared" si="60"/>
        <v>0</v>
      </c>
      <c r="L654">
        <f t="shared" si="61"/>
        <v>0</v>
      </c>
      <c r="M654">
        <f t="shared" si="62"/>
        <v>0</v>
      </c>
      <c r="N654">
        <f t="shared" si="63"/>
        <v>0</v>
      </c>
    </row>
    <row r="655" spans="1:14" ht="12" customHeight="1">
      <c r="A655" s="938"/>
      <c r="B655" s="870" t="s">
        <v>206</v>
      </c>
      <c r="C655" s="898"/>
      <c r="D655" s="891"/>
      <c r="E655" s="892"/>
      <c r="F655" s="321"/>
      <c r="G655" s="322"/>
      <c r="H655" s="323"/>
      <c r="I655" s="322"/>
      <c r="J655" s="53"/>
      <c r="K655">
        <f t="shared" si="60"/>
        <v>0</v>
      </c>
      <c r="L655">
        <f t="shared" si="61"/>
        <v>0</v>
      </c>
      <c r="M655">
        <f t="shared" si="62"/>
        <v>0</v>
      </c>
      <c r="N655">
        <f t="shared" si="63"/>
        <v>0</v>
      </c>
    </row>
    <row r="656" spans="1:14" ht="12" customHeight="1">
      <c r="A656" s="938"/>
      <c r="B656" s="871"/>
      <c r="C656" s="898"/>
      <c r="D656" s="891"/>
      <c r="E656" s="892"/>
      <c r="F656" s="321"/>
      <c r="G656" s="322"/>
      <c r="H656" s="323"/>
      <c r="I656" s="322"/>
      <c r="J656" s="53"/>
      <c r="K656">
        <f t="shared" si="60"/>
        <v>0</v>
      </c>
      <c r="L656">
        <f t="shared" si="61"/>
        <v>0</v>
      </c>
      <c r="M656">
        <f t="shared" si="62"/>
        <v>0</v>
      </c>
      <c r="N656">
        <f t="shared" si="63"/>
        <v>0</v>
      </c>
    </row>
    <row r="657" spans="1:14" ht="12.95" customHeight="1">
      <c r="A657" s="367"/>
      <c r="B657" s="57" t="s">
        <v>207</v>
      </c>
      <c r="C657" s="58">
        <v>4.9498619034434119</v>
      </c>
      <c r="D657" s="340">
        <f>C657*30</f>
        <v>148.49585710330237</v>
      </c>
      <c r="E657" s="349"/>
      <c r="F657" s="331"/>
      <c r="G657" s="332"/>
      <c r="H657" s="333"/>
      <c r="I657" s="332"/>
      <c r="J657" s="53"/>
      <c r="K657">
        <f t="shared" si="60"/>
        <v>0</v>
      </c>
      <c r="L657">
        <f t="shared" si="61"/>
        <v>0</v>
      </c>
      <c r="M657">
        <f t="shared" si="62"/>
        <v>0</v>
      </c>
      <c r="N657">
        <f t="shared" si="63"/>
        <v>0</v>
      </c>
    </row>
    <row r="658" spans="1:14" ht="12.95" customHeight="1">
      <c r="A658" s="367"/>
      <c r="B658" s="57" t="s">
        <v>208</v>
      </c>
      <c r="C658" s="58">
        <v>12.033614818963388</v>
      </c>
      <c r="D658" s="340">
        <f>C658*30</f>
        <v>361.00844456890161</v>
      </c>
      <c r="E658" s="349"/>
      <c r="F658" s="331"/>
      <c r="G658" s="332"/>
      <c r="H658" s="333"/>
      <c r="I658" s="332"/>
      <c r="J658" s="53"/>
      <c r="K658">
        <f t="shared" si="60"/>
        <v>0</v>
      </c>
      <c r="L658">
        <f t="shared" si="61"/>
        <v>0</v>
      </c>
      <c r="M658">
        <f t="shared" si="62"/>
        <v>0</v>
      </c>
      <c r="N658">
        <f t="shared" si="63"/>
        <v>0</v>
      </c>
    </row>
    <row r="659" spans="1:14" ht="12.95" customHeight="1">
      <c r="A659" s="367"/>
      <c r="B659" s="57" t="s">
        <v>209</v>
      </c>
      <c r="C659" s="58">
        <v>8.1051134960674158</v>
      </c>
      <c r="D659" s="340">
        <f>C659*30</f>
        <v>243.15340488202247</v>
      </c>
      <c r="E659" s="349"/>
      <c r="F659" s="331"/>
      <c r="G659" s="332"/>
      <c r="H659" s="333"/>
      <c r="I659" s="332"/>
      <c r="J659" s="53"/>
      <c r="K659">
        <f t="shared" si="60"/>
        <v>0</v>
      </c>
      <c r="L659">
        <f t="shared" si="61"/>
        <v>0</v>
      </c>
      <c r="M659">
        <f t="shared" si="62"/>
        <v>0</v>
      </c>
      <c r="N659">
        <f t="shared" si="63"/>
        <v>0</v>
      </c>
    </row>
    <row r="660" spans="1:14" ht="12.95" customHeight="1">
      <c r="A660" s="367"/>
      <c r="B660" s="57"/>
      <c r="C660" s="59"/>
      <c r="D660" s="340"/>
      <c r="E660" s="349"/>
      <c r="F660" s="331"/>
      <c r="G660" s="332"/>
      <c r="H660" s="333"/>
      <c r="I660" s="332"/>
      <c r="J660" s="53"/>
      <c r="K660">
        <f t="shared" si="60"/>
        <v>0</v>
      </c>
      <c r="L660">
        <f t="shared" si="61"/>
        <v>0</v>
      </c>
      <c r="M660">
        <f t="shared" si="62"/>
        <v>0</v>
      </c>
      <c r="N660">
        <f t="shared" si="63"/>
        <v>0</v>
      </c>
    </row>
    <row r="661" spans="1:14" ht="12.95" customHeight="1">
      <c r="A661" s="938"/>
      <c r="B661" s="870" t="s">
        <v>210</v>
      </c>
      <c r="C661" s="898"/>
      <c r="D661" s="891"/>
      <c r="E661" s="892"/>
      <c r="F661" s="321"/>
      <c r="G661" s="322"/>
      <c r="H661" s="323"/>
      <c r="I661" s="322"/>
      <c r="J661" s="53"/>
      <c r="K661">
        <f t="shared" si="60"/>
        <v>0</v>
      </c>
      <c r="L661">
        <f t="shared" si="61"/>
        <v>0</v>
      </c>
      <c r="M661">
        <f t="shared" si="62"/>
        <v>0</v>
      </c>
      <c r="N661">
        <f t="shared" si="63"/>
        <v>0</v>
      </c>
    </row>
    <row r="662" spans="1:14" ht="12.95" customHeight="1">
      <c r="A662" s="938"/>
      <c r="B662" s="871"/>
      <c r="C662" s="898"/>
      <c r="D662" s="891"/>
      <c r="E662" s="892"/>
      <c r="F662" s="321"/>
      <c r="G662" s="322"/>
      <c r="H662" s="323"/>
      <c r="I662" s="322"/>
      <c r="J662" s="53"/>
      <c r="K662">
        <f t="shared" si="60"/>
        <v>0</v>
      </c>
      <c r="L662">
        <f t="shared" si="61"/>
        <v>0</v>
      </c>
      <c r="M662">
        <f t="shared" si="62"/>
        <v>0</v>
      </c>
      <c r="N662">
        <f t="shared" si="63"/>
        <v>0</v>
      </c>
    </row>
    <row r="663" spans="1:14" ht="12.95" customHeight="1">
      <c r="A663" s="367"/>
      <c r="B663" s="57" t="s">
        <v>211</v>
      </c>
      <c r="C663" s="58">
        <v>5.1071694897826978</v>
      </c>
      <c r="D663" s="340">
        <f>C663*30</f>
        <v>153.21508469348095</v>
      </c>
      <c r="E663" s="349"/>
      <c r="F663" s="331"/>
      <c r="G663" s="332"/>
      <c r="H663" s="333"/>
      <c r="I663" s="332"/>
      <c r="J663" s="53"/>
      <c r="K663">
        <f t="shared" si="60"/>
        <v>0</v>
      </c>
      <c r="L663">
        <f t="shared" si="61"/>
        <v>0</v>
      </c>
      <c r="M663">
        <f t="shared" si="62"/>
        <v>0</v>
      </c>
      <c r="N663">
        <f t="shared" si="63"/>
        <v>0</v>
      </c>
    </row>
    <row r="664" spans="1:14" ht="12.95" customHeight="1">
      <c r="A664" s="367"/>
      <c r="B664" s="57" t="s">
        <v>212</v>
      </c>
      <c r="C664" s="58">
        <v>8.1722814305896634</v>
      </c>
      <c r="D664" s="340">
        <f>C664*30</f>
        <v>245.1684429176899</v>
      </c>
      <c r="E664" s="349"/>
      <c r="F664" s="331"/>
      <c r="G664" s="332"/>
      <c r="H664" s="333"/>
      <c r="I664" s="332"/>
      <c r="J664" s="53"/>
      <c r="K664">
        <f t="shared" si="60"/>
        <v>0</v>
      </c>
      <c r="L664">
        <f t="shared" si="61"/>
        <v>0</v>
      </c>
      <c r="M664">
        <f t="shared" si="62"/>
        <v>0</v>
      </c>
      <c r="N664">
        <f t="shared" si="63"/>
        <v>0</v>
      </c>
    </row>
    <row r="665" spans="1:14" ht="12.95" customHeight="1">
      <c r="A665" s="367"/>
      <c r="B665" s="57" t="s">
        <v>213</v>
      </c>
      <c r="C665" s="58">
        <v>5.4265082401237148</v>
      </c>
      <c r="D665" s="340">
        <f>C665*30</f>
        <v>162.79524720371145</v>
      </c>
      <c r="E665" s="330"/>
      <c r="F665" s="331"/>
      <c r="G665" s="332"/>
      <c r="H665" s="333"/>
      <c r="I665" s="332"/>
      <c r="J665" s="53"/>
      <c r="K665">
        <f t="shared" si="60"/>
        <v>0</v>
      </c>
      <c r="L665">
        <f t="shared" si="61"/>
        <v>0</v>
      </c>
      <c r="M665">
        <f t="shared" si="62"/>
        <v>0</v>
      </c>
      <c r="N665">
        <f t="shared" si="63"/>
        <v>0</v>
      </c>
    </row>
    <row r="666" spans="1:14" ht="12" customHeight="1">
      <c r="A666" s="387"/>
      <c r="B666" s="870" t="s">
        <v>214</v>
      </c>
      <c r="C666" s="388"/>
      <c r="D666" s="304"/>
      <c r="E666" s="335"/>
      <c r="F666" s="321"/>
      <c r="G666" s="322"/>
      <c r="H666" s="323"/>
      <c r="I666" s="322"/>
      <c r="J666" s="53"/>
      <c r="K666">
        <f t="shared" si="60"/>
        <v>0</v>
      </c>
      <c r="L666">
        <f t="shared" si="61"/>
        <v>0</v>
      </c>
      <c r="M666">
        <f t="shared" si="62"/>
        <v>0</v>
      </c>
      <c r="N666">
        <f t="shared" si="63"/>
        <v>0</v>
      </c>
    </row>
    <row r="667" spans="1:14" ht="12" customHeight="1">
      <c r="A667" s="387"/>
      <c r="B667" s="871"/>
      <c r="C667" s="388"/>
      <c r="D667" s="304"/>
      <c r="E667" s="335"/>
      <c r="F667" s="321"/>
      <c r="G667" s="322"/>
      <c r="H667" s="323"/>
      <c r="I667" s="322"/>
      <c r="J667" s="53"/>
      <c r="K667">
        <f t="shared" si="60"/>
        <v>0</v>
      </c>
      <c r="L667">
        <f t="shared" si="61"/>
        <v>0</v>
      </c>
      <c r="M667">
        <f t="shared" si="62"/>
        <v>0</v>
      </c>
      <c r="N667">
        <f t="shared" si="63"/>
        <v>0</v>
      </c>
    </row>
    <row r="668" spans="1:14" ht="12" customHeight="1">
      <c r="A668" s="367"/>
      <c r="B668" s="389"/>
      <c r="C668" s="390"/>
      <c r="D668" s="391"/>
      <c r="E668" s="392"/>
      <c r="F668" s="393"/>
      <c r="G668" s="394"/>
      <c r="H668" s="395"/>
      <c r="I668" s="394"/>
      <c r="J668" s="53"/>
      <c r="K668">
        <f t="shared" si="60"/>
        <v>0</v>
      </c>
      <c r="L668">
        <f t="shared" si="61"/>
        <v>0</v>
      </c>
      <c r="M668">
        <f t="shared" si="62"/>
        <v>0</v>
      </c>
      <c r="N668">
        <f t="shared" si="63"/>
        <v>0</v>
      </c>
    </row>
    <row r="669" spans="1:14" ht="12" customHeight="1">
      <c r="A669" s="367"/>
      <c r="B669" s="389"/>
      <c r="C669" s="390"/>
      <c r="D669" s="391"/>
      <c r="E669" s="392"/>
      <c r="F669" s="393"/>
      <c r="G669" s="394"/>
      <c r="H669" s="395"/>
      <c r="I669" s="394"/>
      <c r="J669" s="53"/>
      <c r="K669">
        <f t="shared" si="60"/>
        <v>0</v>
      </c>
      <c r="L669">
        <f t="shared" si="61"/>
        <v>0</v>
      </c>
      <c r="M669">
        <f t="shared" si="62"/>
        <v>0</v>
      </c>
      <c r="N669">
        <f t="shared" si="63"/>
        <v>0</v>
      </c>
    </row>
    <row r="670" spans="1:14" ht="12" customHeight="1">
      <c r="A670" s="933"/>
      <c r="B670" s="870" t="s">
        <v>702</v>
      </c>
      <c r="C670" s="929"/>
      <c r="D670" s="931"/>
      <c r="E670" s="927"/>
      <c r="F670" s="396"/>
      <c r="G670" s="397"/>
      <c r="H670" s="398"/>
      <c r="I670" s="397"/>
      <c r="J670" s="53"/>
      <c r="K670">
        <f t="shared" si="60"/>
        <v>0</v>
      </c>
      <c r="L670">
        <f t="shared" si="61"/>
        <v>0</v>
      </c>
      <c r="M670">
        <f t="shared" si="62"/>
        <v>0</v>
      </c>
      <c r="N670">
        <f t="shared" si="63"/>
        <v>0</v>
      </c>
    </row>
    <row r="671" spans="1:14" ht="12" customHeight="1">
      <c r="A671" s="934"/>
      <c r="B671" s="871"/>
      <c r="C671" s="930"/>
      <c r="D671" s="932"/>
      <c r="E671" s="928"/>
      <c r="F671" s="326"/>
      <c r="G671" s="327"/>
      <c r="H671" s="328"/>
      <c r="I671" s="327"/>
      <c r="J671" s="53"/>
      <c r="K671">
        <f t="shared" si="60"/>
        <v>0</v>
      </c>
      <c r="L671">
        <f t="shared" si="61"/>
        <v>0</v>
      </c>
      <c r="M671">
        <f t="shared" si="62"/>
        <v>0</v>
      </c>
      <c r="N671">
        <f t="shared" si="63"/>
        <v>0</v>
      </c>
    </row>
    <row r="672" spans="1:14" ht="12.95" customHeight="1">
      <c r="A672" s="337"/>
      <c r="B672" s="57"/>
      <c r="C672" s="59"/>
      <c r="D672" s="399"/>
      <c r="E672" s="330"/>
      <c r="F672" s="331"/>
      <c r="G672" s="332"/>
      <c r="H672" s="333"/>
      <c r="I672" s="332"/>
      <c r="J672" s="53"/>
      <c r="K672">
        <f t="shared" si="60"/>
        <v>0</v>
      </c>
      <c r="L672">
        <f t="shared" si="61"/>
        <v>0</v>
      </c>
      <c r="M672">
        <f t="shared" si="62"/>
        <v>0</v>
      </c>
      <c r="N672">
        <f t="shared" si="63"/>
        <v>0</v>
      </c>
    </row>
    <row r="673" spans="1:14" ht="12.95" customHeight="1">
      <c r="A673" s="337"/>
      <c r="B673" s="57" t="s">
        <v>215</v>
      </c>
      <c r="C673" s="59"/>
      <c r="D673" s="399"/>
      <c r="E673" s="330"/>
      <c r="F673" s="331"/>
      <c r="G673" s="332"/>
      <c r="H673" s="333"/>
      <c r="I673" s="332"/>
      <c r="J673" s="53"/>
      <c r="K673">
        <f t="shared" si="60"/>
        <v>0</v>
      </c>
      <c r="L673">
        <f t="shared" si="61"/>
        <v>0</v>
      </c>
      <c r="M673">
        <f t="shared" si="62"/>
        <v>0</v>
      </c>
      <c r="N673">
        <f t="shared" si="63"/>
        <v>0</v>
      </c>
    </row>
    <row r="674" spans="1:14" ht="12.95" customHeight="1">
      <c r="A674" s="337"/>
      <c r="B674" s="57" t="s">
        <v>216</v>
      </c>
      <c r="C674" s="59"/>
      <c r="D674" s="399"/>
      <c r="E674" s="330"/>
      <c r="F674" s="331"/>
      <c r="G674" s="332"/>
      <c r="H674" s="333"/>
      <c r="I674" s="332"/>
      <c r="J674" s="53"/>
      <c r="K674">
        <f t="shared" si="60"/>
        <v>0</v>
      </c>
      <c r="L674">
        <f t="shared" si="61"/>
        <v>0</v>
      </c>
      <c r="M674">
        <f t="shared" si="62"/>
        <v>0</v>
      </c>
      <c r="N674">
        <f t="shared" si="63"/>
        <v>0</v>
      </c>
    </row>
    <row r="675" spans="1:14" ht="12.95" customHeight="1">
      <c r="A675" s="337"/>
      <c r="B675" s="57" t="s">
        <v>217</v>
      </c>
      <c r="C675" s="59"/>
      <c r="D675" s="399"/>
      <c r="E675" s="349"/>
      <c r="F675" s="331"/>
      <c r="G675" s="332"/>
      <c r="H675" s="333"/>
      <c r="I675" s="332"/>
      <c r="J675" s="53"/>
      <c r="K675">
        <f t="shared" si="60"/>
        <v>0</v>
      </c>
      <c r="L675">
        <f t="shared" si="61"/>
        <v>0</v>
      </c>
      <c r="M675">
        <f t="shared" si="62"/>
        <v>0</v>
      </c>
      <c r="N675">
        <f t="shared" si="63"/>
        <v>0</v>
      </c>
    </row>
    <row r="676" spans="1:14" ht="12.95" customHeight="1">
      <c r="A676" s="400"/>
      <c r="B676" s="168"/>
      <c r="C676" s="386"/>
      <c r="D676" s="351"/>
      <c r="E676" s="330"/>
      <c r="F676" s="331"/>
      <c r="G676" s="332"/>
      <c r="H676" s="333"/>
      <c r="I676" s="332"/>
      <c r="J676" s="53"/>
      <c r="K676">
        <f t="shared" si="60"/>
        <v>0</v>
      </c>
      <c r="L676">
        <f t="shared" si="61"/>
        <v>0</v>
      </c>
      <c r="M676">
        <f t="shared" si="62"/>
        <v>0</v>
      </c>
      <c r="N676">
        <f t="shared" si="63"/>
        <v>0</v>
      </c>
    </row>
    <row r="677" spans="1:14" ht="12.95" customHeight="1">
      <c r="A677" s="184"/>
      <c r="B677" s="401"/>
      <c r="C677" s="402"/>
      <c r="D677" s="351"/>
      <c r="E677" s="330"/>
      <c r="F677" s="331"/>
      <c r="G677" s="332"/>
      <c r="H677" s="333"/>
      <c r="I677" s="332"/>
      <c r="J677" s="53"/>
      <c r="K677">
        <f t="shared" si="60"/>
        <v>0</v>
      </c>
      <c r="L677">
        <f t="shared" si="61"/>
        <v>0</v>
      </c>
      <c r="M677">
        <f t="shared" si="62"/>
        <v>0</v>
      </c>
      <c r="N677">
        <f t="shared" si="63"/>
        <v>0</v>
      </c>
    </row>
    <row r="678" spans="1:14" ht="12" customHeight="1">
      <c r="A678" s="905"/>
      <c r="B678" s="870" t="s">
        <v>218</v>
      </c>
      <c r="C678" s="300"/>
      <c r="D678" s="304"/>
      <c r="E678" s="335"/>
      <c r="F678" s="321"/>
      <c r="G678" s="322"/>
      <c r="H678" s="323"/>
      <c r="I678" s="322"/>
      <c r="J678" s="53"/>
      <c r="K678">
        <f t="shared" si="60"/>
        <v>0</v>
      </c>
      <c r="L678">
        <f t="shared" si="61"/>
        <v>0</v>
      </c>
      <c r="M678">
        <f t="shared" si="62"/>
        <v>0</v>
      </c>
      <c r="N678">
        <f t="shared" si="63"/>
        <v>0</v>
      </c>
    </row>
    <row r="679" spans="1:14" ht="12" customHeight="1">
      <c r="A679" s="903"/>
      <c r="B679" s="871"/>
      <c r="C679" s="300"/>
      <c r="D679" s="304"/>
      <c r="E679" s="335"/>
      <c r="F679" s="321"/>
      <c r="G679" s="322"/>
      <c r="H679" s="323"/>
      <c r="I679" s="322"/>
      <c r="J679" s="53"/>
      <c r="K679">
        <f t="shared" si="60"/>
        <v>0</v>
      </c>
      <c r="L679">
        <f t="shared" si="61"/>
        <v>0</v>
      </c>
      <c r="M679">
        <f t="shared" si="62"/>
        <v>0</v>
      </c>
      <c r="N679">
        <f t="shared" si="63"/>
        <v>0</v>
      </c>
    </row>
    <row r="680" spans="1:14" ht="12.95" customHeight="1">
      <c r="A680" s="400"/>
      <c r="B680" s="57" t="s">
        <v>219</v>
      </c>
      <c r="C680" s="58">
        <v>2.9693696396349849</v>
      </c>
      <c r="D680" s="340">
        <f t="shared" ref="D680:D685" si="64">C680*30</f>
        <v>89.08108918904955</v>
      </c>
      <c r="E680" s="330"/>
      <c r="F680" s="331"/>
      <c r="G680" s="332"/>
      <c r="H680" s="333"/>
      <c r="I680" s="332"/>
      <c r="J680" s="53"/>
      <c r="K680">
        <f t="shared" si="60"/>
        <v>0</v>
      </c>
      <c r="L680">
        <f t="shared" si="61"/>
        <v>0</v>
      </c>
      <c r="M680">
        <f t="shared" si="62"/>
        <v>0</v>
      </c>
      <c r="N680">
        <f t="shared" si="63"/>
        <v>0</v>
      </c>
    </row>
    <row r="681" spans="1:14" ht="12.95" customHeight="1">
      <c r="A681" s="400"/>
      <c r="B681" s="57" t="s">
        <v>220</v>
      </c>
      <c r="C681" s="58">
        <v>3.1190816778103629</v>
      </c>
      <c r="D681" s="340">
        <f t="shared" si="64"/>
        <v>93.572450334310886</v>
      </c>
      <c r="E681" s="330"/>
      <c r="F681" s="331"/>
      <c r="G681" s="332"/>
      <c r="H681" s="333"/>
      <c r="I681" s="332"/>
      <c r="J681" s="53"/>
      <c r="K681">
        <f t="shared" si="60"/>
        <v>0</v>
      </c>
      <c r="L681">
        <f t="shared" si="61"/>
        <v>0</v>
      </c>
      <c r="M681">
        <f t="shared" si="62"/>
        <v>0</v>
      </c>
      <c r="N681">
        <f t="shared" si="63"/>
        <v>0</v>
      </c>
    </row>
    <row r="682" spans="1:14" ht="12.95" customHeight="1">
      <c r="A682" s="400"/>
      <c r="B682" s="57" t="s">
        <v>571</v>
      </c>
      <c r="C682" s="58">
        <v>3.0637509595436652</v>
      </c>
      <c r="D682" s="340">
        <f t="shared" si="64"/>
        <v>91.912528786309949</v>
      </c>
      <c r="E682" s="330"/>
      <c r="F682" s="331"/>
      <c r="G682" s="332"/>
      <c r="H682" s="333"/>
      <c r="I682" s="332"/>
      <c r="J682" s="53"/>
      <c r="K682">
        <f t="shared" si="60"/>
        <v>0</v>
      </c>
      <c r="L682">
        <f t="shared" si="61"/>
        <v>0</v>
      </c>
      <c r="M682">
        <f t="shared" si="62"/>
        <v>0</v>
      </c>
      <c r="N682">
        <f t="shared" si="63"/>
        <v>0</v>
      </c>
    </row>
    <row r="683" spans="1:14" ht="12.95" customHeight="1">
      <c r="A683" s="400"/>
      <c r="B683" s="57" t="s">
        <v>221</v>
      </c>
      <c r="C683" s="58">
        <v>3.9957981913945622</v>
      </c>
      <c r="D683" s="340">
        <f t="shared" si="64"/>
        <v>119.87394574183686</v>
      </c>
      <c r="E683" s="330"/>
      <c r="F683" s="331"/>
      <c r="G683" s="332"/>
      <c r="H683" s="333"/>
      <c r="I683" s="332"/>
      <c r="J683" s="53"/>
      <c r="K683">
        <f t="shared" si="60"/>
        <v>0</v>
      </c>
      <c r="L683">
        <f t="shared" si="61"/>
        <v>0</v>
      </c>
      <c r="M683">
        <f t="shared" si="62"/>
        <v>0</v>
      </c>
      <c r="N683">
        <f t="shared" si="63"/>
        <v>0</v>
      </c>
    </row>
    <row r="684" spans="1:14" ht="12.95" customHeight="1">
      <c r="A684" s="400"/>
      <c r="B684" s="57" t="s">
        <v>222</v>
      </c>
      <c r="C684" s="58">
        <v>1.2623885437699289</v>
      </c>
      <c r="D684" s="340">
        <f t="shared" si="64"/>
        <v>37.871656313097866</v>
      </c>
      <c r="E684" s="330"/>
      <c r="F684" s="331"/>
      <c r="G684" s="332"/>
      <c r="H684" s="333"/>
      <c r="I684" s="332"/>
      <c r="J684" s="53"/>
      <c r="K684">
        <f t="shared" si="60"/>
        <v>0</v>
      </c>
      <c r="L684">
        <f t="shared" si="61"/>
        <v>0</v>
      </c>
      <c r="M684">
        <f t="shared" si="62"/>
        <v>0</v>
      </c>
      <c r="N684">
        <f t="shared" si="63"/>
        <v>0</v>
      </c>
    </row>
    <row r="685" spans="1:14" ht="12.95" customHeight="1">
      <c r="A685" s="400"/>
      <c r="B685" s="57" t="s">
        <v>223</v>
      </c>
      <c r="C685" s="58">
        <v>0.72835399260973632</v>
      </c>
      <c r="D685" s="340">
        <f t="shared" si="64"/>
        <v>21.850619778292089</v>
      </c>
      <c r="E685" s="330"/>
      <c r="F685" s="331"/>
      <c r="G685" s="332"/>
      <c r="H685" s="333"/>
      <c r="I685" s="332"/>
      <c r="J685" s="53"/>
      <c r="K685">
        <f t="shared" si="60"/>
        <v>0</v>
      </c>
      <c r="L685">
        <f t="shared" si="61"/>
        <v>0</v>
      </c>
      <c r="M685">
        <f t="shared" si="62"/>
        <v>0</v>
      </c>
      <c r="N685">
        <f t="shared" si="63"/>
        <v>0</v>
      </c>
    </row>
    <row r="686" spans="1:14" ht="12.95" customHeight="1">
      <c r="A686" s="400"/>
      <c r="B686" s="168"/>
      <c r="C686" s="386"/>
      <c r="D686" s="351"/>
      <c r="E686" s="330"/>
      <c r="F686" s="331"/>
      <c r="G686" s="332"/>
      <c r="H686" s="333"/>
      <c r="I686" s="332"/>
      <c r="J686" s="53"/>
      <c r="K686">
        <f t="shared" si="60"/>
        <v>0</v>
      </c>
      <c r="L686">
        <f t="shared" si="61"/>
        <v>0</v>
      </c>
      <c r="M686">
        <f t="shared" si="62"/>
        <v>0</v>
      </c>
      <c r="N686">
        <f t="shared" si="63"/>
        <v>0</v>
      </c>
    </row>
    <row r="687" spans="1:14" ht="12.95" customHeight="1" thickBot="1">
      <c r="A687" s="378"/>
      <c r="B687" s="403"/>
      <c r="C687" s="380"/>
      <c r="D687" s="381"/>
      <c r="E687" s="404"/>
      <c r="F687" s="383"/>
      <c r="G687" s="384"/>
      <c r="H687" s="385"/>
      <c r="I687" s="384"/>
      <c r="J687" s="53"/>
      <c r="K687">
        <f t="shared" si="60"/>
        <v>0</v>
      </c>
      <c r="L687">
        <f t="shared" si="61"/>
        <v>0</v>
      </c>
      <c r="M687">
        <f t="shared" si="62"/>
        <v>0</v>
      </c>
      <c r="N687">
        <f t="shared" si="63"/>
        <v>0</v>
      </c>
    </row>
    <row r="688" spans="1:14" ht="12" customHeight="1" thickTop="1">
      <c r="A688" s="888"/>
      <c r="B688" s="885" t="s">
        <v>430</v>
      </c>
      <c r="C688" s="893" t="s">
        <v>636</v>
      </c>
      <c r="D688" s="874"/>
      <c r="E688" s="899"/>
      <c r="F688" s="873" t="s">
        <v>532</v>
      </c>
      <c r="G688" s="874"/>
      <c r="H688" s="875"/>
      <c r="J688" s="53"/>
      <c r="K688">
        <f t="shared" si="60"/>
        <v>0</v>
      </c>
      <c r="L688">
        <f t="shared" si="61"/>
        <v>0</v>
      </c>
      <c r="M688">
        <f t="shared" si="62"/>
        <v>0</v>
      </c>
      <c r="N688">
        <f t="shared" si="63"/>
        <v>0</v>
      </c>
    </row>
    <row r="689" spans="1:14" ht="12" customHeight="1" thickBot="1">
      <c r="A689" s="889"/>
      <c r="B689" s="903"/>
      <c r="C689" s="900"/>
      <c r="D689" s="901"/>
      <c r="E689" s="902"/>
      <c r="F689" s="876"/>
      <c r="G689" s="876"/>
      <c r="H689" s="877"/>
      <c r="J689" s="53"/>
      <c r="K689">
        <f t="shared" si="60"/>
        <v>0</v>
      </c>
      <c r="L689">
        <f t="shared" si="61"/>
        <v>0</v>
      </c>
      <c r="M689">
        <f t="shared" si="62"/>
        <v>0</v>
      </c>
      <c r="N689">
        <f t="shared" si="63"/>
        <v>0</v>
      </c>
    </row>
    <row r="690" spans="1:14" ht="12" customHeight="1" thickBot="1">
      <c r="A690" s="890"/>
      <c r="B690" s="904"/>
      <c r="C690" s="44" t="s">
        <v>639</v>
      </c>
      <c r="D690" s="45" t="s">
        <v>640</v>
      </c>
      <c r="E690" s="126"/>
      <c r="F690" s="878"/>
      <c r="G690" s="878"/>
      <c r="H690" s="879"/>
      <c r="J690" s="53"/>
      <c r="K690">
        <f t="shared" si="60"/>
        <v>0</v>
      </c>
      <c r="L690">
        <f t="shared" si="61"/>
        <v>0</v>
      </c>
      <c r="M690">
        <f t="shared" si="62"/>
        <v>0</v>
      </c>
      <c r="N690">
        <f t="shared" si="63"/>
        <v>0</v>
      </c>
    </row>
    <row r="691" spans="1:14" ht="13.5" thickTop="1">
      <c r="A691" s="405"/>
      <c r="B691" s="870" t="s">
        <v>224</v>
      </c>
      <c r="C691" s="898"/>
      <c r="D691" s="891"/>
      <c r="E691" s="892"/>
      <c r="F691" s="321"/>
      <c r="G691" s="322"/>
      <c r="H691" s="323"/>
      <c r="I691" s="322"/>
      <c r="J691" s="53"/>
      <c r="K691">
        <f t="shared" si="60"/>
        <v>0</v>
      </c>
      <c r="L691">
        <f t="shared" si="61"/>
        <v>0</v>
      </c>
      <c r="M691">
        <f t="shared" si="62"/>
        <v>0</v>
      </c>
      <c r="N691">
        <f t="shared" si="63"/>
        <v>0</v>
      </c>
    </row>
    <row r="692" spans="1:14">
      <c r="A692" s="405"/>
      <c r="B692" s="871"/>
      <c r="C692" s="898"/>
      <c r="D692" s="891"/>
      <c r="E692" s="892"/>
      <c r="F692" s="321"/>
      <c r="G692" s="322"/>
      <c r="H692" s="323"/>
      <c r="I692" s="322"/>
      <c r="J692" s="53"/>
      <c r="K692">
        <f t="shared" si="60"/>
        <v>0</v>
      </c>
      <c r="L692">
        <f t="shared" si="61"/>
        <v>0</v>
      </c>
      <c r="M692">
        <f t="shared" si="62"/>
        <v>0</v>
      </c>
      <c r="N692">
        <f t="shared" si="63"/>
        <v>0</v>
      </c>
    </row>
    <row r="693" spans="1:14">
      <c r="A693" s="405"/>
      <c r="B693" s="57" t="s">
        <v>225</v>
      </c>
      <c r="C693" s="58">
        <v>37.93351462654514</v>
      </c>
      <c r="D693" s="340">
        <f t="shared" ref="D693:D710" si="65">C693*30</f>
        <v>1138.0054387963542</v>
      </c>
      <c r="E693" s="330"/>
      <c r="F693" s="331"/>
      <c r="G693" s="332"/>
      <c r="H693" s="333"/>
      <c r="I693" s="332"/>
      <c r="J693" s="53"/>
      <c r="K693">
        <f t="shared" si="60"/>
        <v>0</v>
      </c>
      <c r="L693">
        <f t="shared" si="61"/>
        <v>0</v>
      </c>
      <c r="M693">
        <f t="shared" si="62"/>
        <v>0</v>
      </c>
      <c r="N693">
        <f t="shared" si="63"/>
        <v>0</v>
      </c>
    </row>
    <row r="694" spans="1:14">
      <c r="A694" s="405"/>
      <c r="B694" s="57" t="s">
        <v>226</v>
      </c>
      <c r="C694" s="58">
        <v>7.7951053282853007</v>
      </c>
      <c r="D694" s="340">
        <f t="shared" si="65"/>
        <v>233.85315984855902</v>
      </c>
      <c r="E694" s="330"/>
      <c r="F694" s="331"/>
      <c r="G694" s="332"/>
      <c r="H694" s="333"/>
      <c r="I694" s="332"/>
      <c r="J694" s="53"/>
      <c r="K694">
        <f t="shared" si="60"/>
        <v>0</v>
      </c>
      <c r="L694">
        <f t="shared" si="61"/>
        <v>0</v>
      </c>
      <c r="M694">
        <f t="shared" si="62"/>
        <v>0</v>
      </c>
      <c r="N694">
        <f t="shared" si="63"/>
        <v>0</v>
      </c>
    </row>
    <row r="695" spans="1:14">
      <c r="A695" s="405"/>
      <c r="B695" s="57" t="s">
        <v>227</v>
      </c>
      <c r="C695" s="58">
        <v>7.6231127679362958</v>
      </c>
      <c r="D695" s="340">
        <f t="shared" si="65"/>
        <v>228.69338303808888</v>
      </c>
      <c r="E695" s="330"/>
      <c r="F695" s="331"/>
      <c r="G695" s="332"/>
      <c r="H695" s="333"/>
      <c r="I695" s="332"/>
      <c r="J695" s="53"/>
      <c r="K695">
        <f t="shared" si="60"/>
        <v>0</v>
      </c>
      <c r="L695">
        <f t="shared" si="61"/>
        <v>0</v>
      </c>
      <c r="M695">
        <f t="shared" si="62"/>
        <v>0</v>
      </c>
      <c r="N695">
        <f t="shared" si="63"/>
        <v>0</v>
      </c>
    </row>
    <row r="696" spans="1:14">
      <c r="A696" s="405"/>
      <c r="B696" s="57" t="s">
        <v>228</v>
      </c>
      <c r="C696" s="58">
        <v>3.7365456747103698</v>
      </c>
      <c r="D696" s="340">
        <f t="shared" si="65"/>
        <v>112.09637024131109</v>
      </c>
      <c r="E696" s="330"/>
      <c r="F696" s="331"/>
      <c r="G696" s="332"/>
      <c r="H696" s="333"/>
      <c r="I696" s="332"/>
      <c r="J696" s="53"/>
      <c r="K696">
        <f t="shared" si="60"/>
        <v>0</v>
      </c>
      <c r="L696">
        <f t="shared" si="61"/>
        <v>0</v>
      </c>
      <c r="M696">
        <f t="shared" si="62"/>
        <v>0</v>
      </c>
      <c r="N696">
        <f t="shared" si="63"/>
        <v>0</v>
      </c>
    </row>
    <row r="697" spans="1:14">
      <c r="A697" s="405"/>
      <c r="B697" s="57" t="s">
        <v>229</v>
      </c>
      <c r="C697" s="58">
        <v>3.5798455385438497</v>
      </c>
      <c r="D697" s="340">
        <f t="shared" si="65"/>
        <v>107.39536615631549</v>
      </c>
      <c r="E697" s="330"/>
      <c r="F697" s="331"/>
      <c r="G697" s="332"/>
      <c r="H697" s="333"/>
      <c r="I697" s="332"/>
      <c r="J697" s="53"/>
      <c r="K697">
        <f t="shared" si="60"/>
        <v>0</v>
      </c>
      <c r="L697">
        <f t="shared" si="61"/>
        <v>0</v>
      </c>
      <c r="M697">
        <f t="shared" si="62"/>
        <v>0</v>
      </c>
      <c r="N697">
        <f t="shared" si="63"/>
        <v>0</v>
      </c>
    </row>
    <row r="698" spans="1:14">
      <c r="A698" s="405"/>
      <c r="B698" s="57" t="s">
        <v>230</v>
      </c>
      <c r="C698" s="58">
        <v>11.831614818687106</v>
      </c>
      <c r="D698" s="340">
        <f t="shared" si="65"/>
        <v>354.94844456061315</v>
      </c>
      <c r="E698" s="330"/>
      <c r="F698" s="331"/>
      <c r="G698" s="332"/>
      <c r="H698" s="333"/>
      <c r="I698" s="332"/>
      <c r="J698" s="53"/>
      <c r="K698">
        <f t="shared" si="60"/>
        <v>0</v>
      </c>
      <c r="L698">
        <f t="shared" si="61"/>
        <v>0</v>
      </c>
      <c r="M698">
        <f t="shared" si="62"/>
        <v>0</v>
      </c>
      <c r="N698">
        <f t="shared" si="63"/>
        <v>0</v>
      </c>
    </row>
    <row r="699" spans="1:14">
      <c r="A699" s="405"/>
      <c r="B699" s="57" t="s">
        <v>231</v>
      </c>
      <c r="C699" s="58">
        <v>13.877948890062257</v>
      </c>
      <c r="D699" s="340">
        <f t="shared" si="65"/>
        <v>416.33846670186767</v>
      </c>
      <c r="E699" s="330"/>
      <c r="F699" s="331"/>
      <c r="G699" s="332"/>
      <c r="H699" s="333"/>
      <c r="I699" s="332"/>
      <c r="J699" s="53"/>
      <c r="K699">
        <f t="shared" si="60"/>
        <v>0</v>
      </c>
      <c r="L699">
        <f t="shared" si="61"/>
        <v>0</v>
      </c>
      <c r="M699">
        <f t="shared" si="62"/>
        <v>0</v>
      </c>
      <c r="N699">
        <f t="shared" si="63"/>
        <v>0</v>
      </c>
    </row>
    <row r="700" spans="1:14">
      <c r="A700" s="405"/>
      <c r="B700" s="57" t="s">
        <v>232</v>
      </c>
      <c r="C700" s="58">
        <v>10.742036862254965</v>
      </c>
      <c r="D700" s="340">
        <f t="shared" si="65"/>
        <v>322.26110586764895</v>
      </c>
      <c r="E700" s="330"/>
      <c r="F700" s="331"/>
      <c r="G700" s="332"/>
      <c r="H700" s="333"/>
      <c r="I700" s="332"/>
      <c r="J700" s="53"/>
      <c r="K700">
        <f t="shared" si="60"/>
        <v>0</v>
      </c>
      <c r="L700">
        <f t="shared" si="61"/>
        <v>0</v>
      </c>
      <c r="M700">
        <f t="shared" si="62"/>
        <v>0</v>
      </c>
      <c r="N700">
        <f t="shared" si="63"/>
        <v>0</v>
      </c>
    </row>
    <row r="701" spans="1:14">
      <c r="A701" s="405"/>
      <c r="B701" s="57" t="s">
        <v>233</v>
      </c>
      <c r="C701" s="58">
        <v>2.3382039121912341</v>
      </c>
      <c r="D701" s="340">
        <f t="shared" si="65"/>
        <v>70.146117365737027</v>
      </c>
      <c r="E701" s="330"/>
      <c r="F701" s="331"/>
      <c r="G701" s="332"/>
      <c r="H701" s="333"/>
      <c r="I701" s="332"/>
      <c r="J701" s="53"/>
      <c r="K701">
        <f t="shared" si="60"/>
        <v>0</v>
      </c>
      <c r="L701">
        <f t="shared" si="61"/>
        <v>0</v>
      </c>
      <c r="M701">
        <f t="shared" si="62"/>
        <v>0</v>
      </c>
      <c r="N701">
        <f t="shared" si="63"/>
        <v>0</v>
      </c>
    </row>
    <row r="702" spans="1:14">
      <c r="A702" s="405"/>
      <c r="B702" s="57" t="s">
        <v>234</v>
      </c>
      <c r="C702" s="58">
        <v>52.265894961593446</v>
      </c>
      <c r="D702" s="340">
        <f t="shared" si="65"/>
        <v>1567.9768488478035</v>
      </c>
      <c r="E702" s="330"/>
      <c r="F702" s="331"/>
      <c r="G702" s="332"/>
      <c r="H702" s="333"/>
      <c r="I702" s="332"/>
      <c r="J702" s="53"/>
      <c r="K702">
        <f t="shared" si="60"/>
        <v>0</v>
      </c>
      <c r="L702">
        <f t="shared" si="61"/>
        <v>0</v>
      </c>
      <c r="M702">
        <f t="shared" si="62"/>
        <v>0</v>
      </c>
      <c r="N702">
        <f t="shared" si="63"/>
        <v>0</v>
      </c>
    </row>
    <row r="703" spans="1:14">
      <c r="A703" s="405"/>
      <c r="B703" s="57" t="s">
        <v>235</v>
      </c>
      <c r="C703" s="58">
        <v>4.1658308899655312</v>
      </c>
      <c r="D703" s="340">
        <f t="shared" si="65"/>
        <v>124.97492669896593</v>
      </c>
      <c r="E703" s="330"/>
      <c r="F703" s="331"/>
      <c r="G703" s="332"/>
      <c r="H703" s="333"/>
      <c r="I703" s="332"/>
      <c r="J703" s="53"/>
      <c r="K703">
        <f t="shared" si="60"/>
        <v>0</v>
      </c>
      <c r="L703">
        <f t="shared" si="61"/>
        <v>0</v>
      </c>
      <c r="M703">
        <f t="shared" si="62"/>
        <v>0</v>
      </c>
      <c r="N703">
        <f t="shared" si="63"/>
        <v>0</v>
      </c>
    </row>
    <row r="704" spans="1:14">
      <c r="A704" s="405"/>
      <c r="B704" s="57" t="s">
        <v>236</v>
      </c>
      <c r="C704" s="58">
        <v>8.8330037238700267</v>
      </c>
      <c r="D704" s="340">
        <f t="shared" si="65"/>
        <v>264.99011171610078</v>
      </c>
      <c r="E704" s="330"/>
      <c r="F704" s="331"/>
      <c r="G704" s="332"/>
      <c r="H704" s="333"/>
      <c r="I704" s="332"/>
      <c r="J704" s="53"/>
      <c r="K704">
        <f t="shared" si="60"/>
        <v>0</v>
      </c>
      <c r="L704">
        <f t="shared" si="61"/>
        <v>0</v>
      </c>
      <c r="M704">
        <f t="shared" si="62"/>
        <v>0</v>
      </c>
      <c r="N704">
        <f t="shared" si="63"/>
        <v>0</v>
      </c>
    </row>
    <row r="705" spans="1:14">
      <c r="A705" s="405"/>
      <c r="B705" s="57" t="s">
        <v>237</v>
      </c>
      <c r="C705" s="58">
        <v>20.841485444009418</v>
      </c>
      <c r="D705" s="340">
        <f t="shared" si="65"/>
        <v>625.24456332028251</v>
      </c>
      <c r="E705" s="330"/>
      <c r="F705" s="331"/>
      <c r="G705" s="332"/>
      <c r="H705" s="333"/>
      <c r="I705" s="332"/>
      <c r="J705" s="53"/>
      <c r="K705">
        <f t="shared" si="60"/>
        <v>0</v>
      </c>
      <c r="L705">
        <f t="shared" si="61"/>
        <v>0</v>
      </c>
      <c r="M705">
        <f t="shared" si="62"/>
        <v>0</v>
      </c>
      <c r="N705">
        <f t="shared" si="63"/>
        <v>0</v>
      </c>
    </row>
    <row r="706" spans="1:14">
      <c r="A706" s="405"/>
      <c r="B706" s="57" t="s">
        <v>238</v>
      </c>
      <c r="C706" s="58">
        <v>8.5347606758320635E-2</v>
      </c>
      <c r="D706" s="340">
        <f t="shared" si="65"/>
        <v>2.5604282027496192</v>
      </c>
      <c r="E706" s="330"/>
      <c r="F706" s="331"/>
      <c r="G706" s="332" t="s">
        <v>239</v>
      </c>
      <c r="H706" s="333"/>
      <c r="I706" s="332"/>
      <c r="J706" s="53"/>
      <c r="K706">
        <f t="shared" si="60"/>
        <v>0</v>
      </c>
      <c r="L706">
        <f t="shared" si="61"/>
        <v>0</v>
      </c>
      <c r="M706">
        <f t="shared" si="62"/>
        <v>0</v>
      </c>
      <c r="N706">
        <f t="shared" si="63"/>
        <v>0</v>
      </c>
    </row>
    <row r="707" spans="1:14">
      <c r="A707" s="405"/>
      <c r="B707" s="57" t="s">
        <v>240</v>
      </c>
      <c r="C707" s="58">
        <v>0.11278400683354864</v>
      </c>
      <c r="D707" s="340">
        <f t="shared" si="65"/>
        <v>3.3835202050064592</v>
      </c>
      <c r="E707" s="330"/>
      <c r="F707" s="331"/>
      <c r="G707" s="332" t="s">
        <v>239</v>
      </c>
      <c r="H707" s="333"/>
      <c r="I707" s="332"/>
      <c r="J707" s="53"/>
      <c r="K707">
        <f t="shared" si="60"/>
        <v>0</v>
      </c>
      <c r="L707">
        <f t="shared" si="61"/>
        <v>0</v>
      </c>
      <c r="M707">
        <f t="shared" si="62"/>
        <v>0</v>
      </c>
      <c r="N707">
        <f t="shared" si="63"/>
        <v>0</v>
      </c>
    </row>
    <row r="708" spans="1:14">
      <c r="A708" s="405"/>
      <c r="B708" s="57" t="s">
        <v>241</v>
      </c>
      <c r="C708" s="58">
        <v>0.17393647842182422</v>
      </c>
      <c r="D708" s="340">
        <f t="shared" si="65"/>
        <v>5.2180943526547265</v>
      </c>
      <c r="E708" s="330"/>
      <c r="F708" s="331"/>
      <c r="G708" s="332" t="s">
        <v>239</v>
      </c>
      <c r="H708" s="333"/>
      <c r="I708" s="332"/>
      <c r="J708" s="53"/>
      <c r="K708">
        <f t="shared" si="60"/>
        <v>0</v>
      </c>
      <c r="L708">
        <f t="shared" si="61"/>
        <v>0</v>
      </c>
      <c r="M708">
        <f t="shared" si="62"/>
        <v>0</v>
      </c>
      <c r="N708">
        <f t="shared" si="63"/>
        <v>0</v>
      </c>
    </row>
    <row r="709" spans="1:14">
      <c r="A709" s="405"/>
      <c r="B709" s="57" t="s">
        <v>242</v>
      </c>
      <c r="C709" s="58">
        <v>0.15127791104440125</v>
      </c>
      <c r="D709" s="340">
        <f t="shared" si="65"/>
        <v>4.5383373313320376</v>
      </c>
      <c r="E709" s="330"/>
      <c r="F709" s="331"/>
      <c r="G709" s="332" t="s">
        <v>239</v>
      </c>
      <c r="H709" s="333"/>
      <c r="I709" s="332"/>
      <c r="J709" s="53"/>
      <c r="K709">
        <f t="shared" ref="K709:K772" si="66">IF(M709&gt;0,1,0)</f>
        <v>0</v>
      </c>
      <c r="L709">
        <f t="shared" ref="L709:L772" si="67">IF(couleur(B709)=2,L710,IF(couleur(B710)=2,0,J709+L710))</f>
        <v>0</v>
      </c>
      <c r="M709">
        <f t="shared" ref="M709:M772" si="68">IF(couleur(B709)=2,L709,J709)</f>
        <v>0</v>
      </c>
      <c r="N709">
        <f t="shared" ref="N709:N772" si="69">IF(ISNUMBER(C709),J709*C709,0)</f>
        <v>0</v>
      </c>
    </row>
    <row r="710" spans="1:14">
      <c r="A710" s="405"/>
      <c r="B710" s="57" t="s">
        <v>243</v>
      </c>
      <c r="C710" s="58">
        <v>6.3100489681946842E-2</v>
      </c>
      <c r="D710" s="340">
        <f t="shared" si="65"/>
        <v>1.8930146904584053</v>
      </c>
      <c r="E710" s="330"/>
      <c r="F710" s="331"/>
      <c r="G710" s="332"/>
      <c r="H710" s="333"/>
      <c r="I710" s="332"/>
      <c r="J710" s="53"/>
      <c r="K710">
        <f t="shared" si="66"/>
        <v>0</v>
      </c>
      <c r="L710">
        <f t="shared" si="67"/>
        <v>0</v>
      </c>
      <c r="M710">
        <f t="shared" si="68"/>
        <v>0</v>
      </c>
      <c r="N710">
        <f t="shared" si="69"/>
        <v>0</v>
      </c>
    </row>
    <row r="711" spans="1:14">
      <c r="A711" s="405"/>
      <c r="B711" s="57"/>
      <c r="C711" s="59"/>
      <c r="D711" s="340"/>
      <c r="E711" s="330"/>
      <c r="F711" s="331"/>
      <c r="G711" s="332"/>
      <c r="H711" s="333"/>
      <c r="I711" s="332"/>
      <c r="J711" s="53"/>
      <c r="K711">
        <f t="shared" si="66"/>
        <v>0</v>
      </c>
      <c r="L711">
        <f t="shared" si="67"/>
        <v>0</v>
      </c>
      <c r="M711">
        <f t="shared" si="68"/>
        <v>0</v>
      </c>
      <c r="N711">
        <f t="shared" si="69"/>
        <v>0</v>
      </c>
    </row>
    <row r="712" spans="1:14">
      <c r="A712" s="405"/>
      <c r="B712" s="57"/>
      <c r="C712" s="59"/>
      <c r="D712" s="340"/>
      <c r="E712" s="330"/>
      <c r="F712" s="331"/>
      <c r="G712" s="332"/>
      <c r="H712" s="333"/>
      <c r="I712" s="332"/>
      <c r="J712" s="53"/>
      <c r="K712">
        <f t="shared" si="66"/>
        <v>0</v>
      </c>
      <c r="L712">
        <f t="shared" si="67"/>
        <v>0</v>
      </c>
      <c r="M712">
        <f t="shared" si="68"/>
        <v>0</v>
      </c>
      <c r="N712">
        <f t="shared" si="69"/>
        <v>0</v>
      </c>
    </row>
    <row r="713" spans="1:14">
      <c r="A713" s="405"/>
      <c r="B713" s="870" t="s">
        <v>244</v>
      </c>
      <c r="C713" s="300"/>
      <c r="D713" s="304"/>
      <c r="E713" s="335"/>
      <c r="F713" s="321"/>
      <c r="G713" s="322"/>
      <c r="H713" s="323"/>
      <c r="I713" s="322"/>
      <c r="J713" s="53"/>
      <c r="K713">
        <f t="shared" si="66"/>
        <v>0</v>
      </c>
      <c r="L713">
        <f t="shared" si="67"/>
        <v>0</v>
      </c>
      <c r="M713">
        <f t="shared" si="68"/>
        <v>0</v>
      </c>
      <c r="N713">
        <f t="shared" si="69"/>
        <v>0</v>
      </c>
    </row>
    <row r="714" spans="1:14">
      <c r="A714" s="405"/>
      <c r="B714" s="871"/>
      <c r="C714" s="300"/>
      <c r="D714" s="304"/>
      <c r="E714" s="335"/>
      <c r="F714" s="321"/>
      <c r="G714" s="322"/>
      <c r="H714" s="323"/>
      <c r="I714" s="322"/>
      <c r="J714" s="53"/>
      <c r="K714">
        <f t="shared" si="66"/>
        <v>0</v>
      </c>
      <c r="L714">
        <f t="shared" si="67"/>
        <v>0</v>
      </c>
      <c r="M714">
        <f t="shared" si="68"/>
        <v>0</v>
      </c>
      <c r="N714">
        <f t="shared" si="69"/>
        <v>0</v>
      </c>
    </row>
    <row r="715" spans="1:14">
      <c r="A715" s="405"/>
      <c r="B715" s="57" t="s">
        <v>245</v>
      </c>
      <c r="C715" s="58">
        <v>0.92574249646437645</v>
      </c>
      <c r="D715" s="340">
        <f t="shared" ref="D715:D732" si="70">C715*30</f>
        <v>27.772274893931293</v>
      </c>
      <c r="E715" s="330"/>
      <c r="F715" s="331"/>
      <c r="G715" s="332"/>
      <c r="H715" s="333"/>
      <c r="I715" s="332"/>
      <c r="J715" s="53"/>
      <c r="K715">
        <f t="shared" si="66"/>
        <v>0</v>
      </c>
      <c r="L715">
        <f t="shared" si="67"/>
        <v>0</v>
      </c>
      <c r="M715">
        <f t="shared" si="68"/>
        <v>0</v>
      </c>
      <c r="N715">
        <f t="shared" si="69"/>
        <v>0</v>
      </c>
    </row>
    <row r="716" spans="1:14">
      <c r="A716" s="405"/>
      <c r="B716" s="57" t="s">
        <v>246</v>
      </c>
      <c r="C716" s="58">
        <v>0.33310781196488387</v>
      </c>
      <c r="D716" s="340">
        <f t="shared" si="70"/>
        <v>9.9932343589465162</v>
      </c>
      <c r="E716" s="330"/>
      <c r="F716" s="331"/>
      <c r="G716" s="332"/>
      <c r="H716" s="333"/>
      <c r="I716" s="332"/>
      <c r="J716" s="53"/>
      <c r="K716">
        <f t="shared" si="66"/>
        <v>0</v>
      </c>
      <c r="L716">
        <f t="shared" si="67"/>
        <v>0</v>
      </c>
      <c r="M716">
        <f t="shared" si="68"/>
        <v>0</v>
      </c>
      <c r="N716">
        <f t="shared" si="69"/>
        <v>0</v>
      </c>
    </row>
    <row r="717" spans="1:14">
      <c r="A717" s="405"/>
      <c r="B717" s="57" t="s">
        <v>247</v>
      </c>
      <c r="C717" s="58">
        <v>0.32475451952424056</v>
      </c>
      <c r="D717" s="340">
        <f t="shared" si="70"/>
        <v>9.742635585727216</v>
      </c>
      <c r="E717" s="330"/>
      <c r="F717" s="331"/>
      <c r="G717" s="332"/>
      <c r="H717" s="333"/>
      <c r="I717" s="332"/>
      <c r="J717" s="53"/>
      <c r="K717">
        <f t="shared" si="66"/>
        <v>0</v>
      </c>
      <c r="L717">
        <f t="shared" si="67"/>
        <v>0</v>
      </c>
      <c r="M717">
        <f t="shared" si="68"/>
        <v>0</v>
      </c>
      <c r="N717">
        <f t="shared" si="69"/>
        <v>0</v>
      </c>
    </row>
    <row r="718" spans="1:14">
      <c r="A718" s="405"/>
      <c r="B718" s="57" t="s">
        <v>248</v>
      </c>
      <c r="C718" s="58">
        <v>0.35626945996646053</v>
      </c>
      <c r="D718" s="340">
        <f t="shared" si="70"/>
        <v>10.688083798993816</v>
      </c>
      <c r="E718" s="330"/>
      <c r="F718" s="331"/>
      <c r="G718" s="332"/>
      <c r="H718" s="333"/>
      <c r="I718" s="332"/>
      <c r="J718" s="53"/>
      <c r="K718">
        <f t="shared" si="66"/>
        <v>0</v>
      </c>
      <c r="L718">
        <f t="shared" si="67"/>
        <v>0</v>
      </c>
      <c r="M718">
        <f t="shared" si="68"/>
        <v>0</v>
      </c>
      <c r="N718">
        <f t="shared" si="69"/>
        <v>0</v>
      </c>
    </row>
    <row r="719" spans="1:14">
      <c r="A719" s="405"/>
      <c r="B719" s="57" t="s">
        <v>249</v>
      </c>
      <c r="C719" s="58">
        <v>0.31489954300872891</v>
      </c>
      <c r="D719" s="340">
        <f t="shared" si="70"/>
        <v>9.4469862902618669</v>
      </c>
      <c r="E719" s="330"/>
      <c r="F719" s="331"/>
      <c r="G719" s="332"/>
      <c r="H719" s="333"/>
      <c r="I719" s="332"/>
      <c r="J719" s="53"/>
      <c r="K719">
        <f t="shared" si="66"/>
        <v>0</v>
      </c>
      <c r="L719">
        <f t="shared" si="67"/>
        <v>0</v>
      </c>
      <c r="M719">
        <f t="shared" si="68"/>
        <v>0</v>
      </c>
      <c r="N719">
        <f t="shared" si="69"/>
        <v>0</v>
      </c>
    </row>
    <row r="720" spans="1:14">
      <c r="A720" s="405"/>
      <c r="B720" s="57" t="s">
        <v>250</v>
      </c>
      <c r="C720" s="58">
        <v>0.32774510112655986</v>
      </c>
      <c r="D720" s="340">
        <f t="shared" si="70"/>
        <v>9.8323530337967959</v>
      </c>
      <c r="E720" s="330"/>
      <c r="F720" s="331"/>
      <c r="G720" s="332"/>
      <c r="H720" s="333"/>
      <c r="I720" s="332"/>
      <c r="J720" s="53"/>
      <c r="K720">
        <f t="shared" si="66"/>
        <v>0</v>
      </c>
      <c r="L720">
        <f t="shared" si="67"/>
        <v>0</v>
      </c>
      <c r="M720">
        <f t="shared" si="68"/>
        <v>0</v>
      </c>
      <c r="N720">
        <f t="shared" si="69"/>
        <v>0</v>
      </c>
    </row>
    <row r="721" spans="1:14">
      <c r="A721" s="405"/>
      <c r="B721" s="57" t="s">
        <v>251</v>
      </c>
      <c r="C721" s="58">
        <v>0.68778701244064677</v>
      </c>
      <c r="D721" s="340">
        <f t="shared" si="70"/>
        <v>20.633610373219405</v>
      </c>
      <c r="E721" s="330"/>
      <c r="F721" s="331"/>
      <c r="G721" s="332"/>
      <c r="H721" s="333"/>
      <c r="I721" s="332"/>
      <c r="J721" s="53"/>
      <c r="K721">
        <f t="shared" si="66"/>
        <v>0</v>
      </c>
      <c r="L721">
        <f t="shared" si="67"/>
        <v>0</v>
      </c>
      <c r="M721">
        <f t="shared" si="68"/>
        <v>0</v>
      </c>
      <c r="N721">
        <f t="shared" si="69"/>
        <v>0</v>
      </c>
    </row>
    <row r="722" spans="1:14">
      <c r="A722" s="405"/>
      <c r="B722" s="57" t="s">
        <v>252</v>
      </c>
      <c r="C722" s="58">
        <v>0.35782029399218368</v>
      </c>
      <c r="D722" s="340">
        <f t="shared" si="70"/>
        <v>10.73460881976551</v>
      </c>
      <c r="E722" s="330"/>
      <c r="F722" s="331"/>
      <c r="G722" s="332"/>
      <c r="H722" s="333"/>
      <c r="I722" s="332"/>
      <c r="J722" s="53"/>
      <c r="K722">
        <f t="shared" si="66"/>
        <v>0</v>
      </c>
      <c r="L722">
        <f t="shared" si="67"/>
        <v>0</v>
      </c>
      <c r="M722">
        <f t="shared" si="68"/>
        <v>0</v>
      </c>
      <c r="N722">
        <f t="shared" si="69"/>
        <v>0</v>
      </c>
    </row>
    <row r="723" spans="1:14">
      <c r="A723" s="405"/>
      <c r="B723" s="57" t="s">
        <v>253</v>
      </c>
      <c r="C723" s="58">
        <v>0.30684050963581622</v>
      </c>
      <c r="D723" s="340">
        <f t="shared" si="70"/>
        <v>9.2052152890744861</v>
      </c>
      <c r="E723" s="330"/>
      <c r="F723" s="331"/>
      <c r="G723" s="332"/>
      <c r="H723" s="333"/>
      <c r="I723" s="332"/>
      <c r="J723" s="53"/>
      <c r="K723">
        <f t="shared" si="66"/>
        <v>0</v>
      </c>
      <c r="L723">
        <f t="shared" si="67"/>
        <v>0</v>
      </c>
      <c r="M723">
        <f t="shared" si="68"/>
        <v>0</v>
      </c>
      <c r="N723">
        <f t="shared" si="69"/>
        <v>0</v>
      </c>
    </row>
    <row r="724" spans="1:14">
      <c r="A724" s="405"/>
      <c r="B724" s="57" t="s">
        <v>254</v>
      </c>
      <c r="C724" s="58">
        <v>0.3115783457506297</v>
      </c>
      <c r="D724" s="340">
        <f t="shared" si="70"/>
        <v>9.3473503725188909</v>
      </c>
      <c r="E724" s="330"/>
      <c r="F724" s="331"/>
      <c r="G724" s="332"/>
      <c r="H724" s="333"/>
      <c r="I724" s="332"/>
      <c r="J724" s="53"/>
      <c r="K724">
        <f t="shared" si="66"/>
        <v>0</v>
      </c>
      <c r="L724">
        <f t="shared" si="67"/>
        <v>0</v>
      </c>
      <c r="M724">
        <f t="shared" si="68"/>
        <v>0</v>
      </c>
      <c r="N724">
        <f t="shared" si="69"/>
        <v>0</v>
      </c>
    </row>
    <row r="725" spans="1:14">
      <c r="A725" s="405"/>
      <c r="B725" s="57" t="s">
        <v>255</v>
      </c>
      <c r="C725" s="58">
        <v>0.32986682933479311</v>
      </c>
      <c r="D725" s="340">
        <f t="shared" si="70"/>
        <v>9.8960048800437939</v>
      </c>
      <c r="E725" s="330"/>
      <c r="F725" s="331"/>
      <c r="G725" s="332"/>
      <c r="H725" s="333"/>
      <c r="I725" s="332"/>
      <c r="J725" s="53"/>
      <c r="K725">
        <f t="shared" si="66"/>
        <v>0</v>
      </c>
      <c r="L725">
        <f t="shared" si="67"/>
        <v>0</v>
      </c>
      <c r="M725">
        <f t="shared" si="68"/>
        <v>0</v>
      </c>
      <c r="N725">
        <f t="shared" si="69"/>
        <v>0</v>
      </c>
    </row>
    <row r="726" spans="1:14">
      <c r="A726" s="405"/>
      <c r="B726" s="57" t="s">
        <v>256</v>
      </c>
      <c r="C726" s="58">
        <v>0.49527925479171386</v>
      </c>
      <c r="D726" s="340">
        <f t="shared" si="70"/>
        <v>14.858377643751416</v>
      </c>
      <c r="E726" s="330"/>
      <c r="F726" s="331"/>
      <c r="G726" s="332"/>
      <c r="H726" s="333"/>
      <c r="I726" s="332"/>
      <c r="J726" s="53"/>
      <c r="K726">
        <f t="shared" si="66"/>
        <v>0</v>
      </c>
      <c r="L726">
        <f t="shared" si="67"/>
        <v>0</v>
      </c>
      <c r="M726">
        <f t="shared" si="68"/>
        <v>0</v>
      </c>
      <c r="N726">
        <f t="shared" si="69"/>
        <v>0</v>
      </c>
    </row>
    <row r="727" spans="1:14">
      <c r="A727" s="405"/>
      <c r="B727" s="57" t="s">
        <v>257</v>
      </c>
      <c r="C727" s="58">
        <v>0.53763737442231985</v>
      </c>
      <c r="D727" s="340">
        <f t="shared" si="70"/>
        <v>16.129121232669597</v>
      </c>
      <c r="E727" s="330"/>
      <c r="F727" s="331"/>
      <c r="G727" s="332"/>
      <c r="H727" s="333"/>
      <c r="I727" s="332"/>
      <c r="J727" s="53"/>
      <c r="K727">
        <f t="shared" si="66"/>
        <v>0</v>
      </c>
      <c r="L727">
        <f t="shared" si="67"/>
        <v>0</v>
      </c>
      <c r="M727">
        <f t="shared" si="68"/>
        <v>0</v>
      </c>
      <c r="N727">
        <f t="shared" si="69"/>
        <v>0</v>
      </c>
    </row>
    <row r="728" spans="1:14">
      <c r="A728" s="405"/>
      <c r="B728" s="57" t="s">
        <v>258</v>
      </c>
      <c r="C728" s="58">
        <v>0.53173026660293365</v>
      </c>
      <c r="D728" s="340">
        <f t="shared" si="70"/>
        <v>15.951907998088009</v>
      </c>
      <c r="E728" s="330"/>
      <c r="F728" s="331"/>
      <c r="G728" s="332"/>
      <c r="H728" s="333"/>
      <c r="I728" s="332"/>
      <c r="J728" s="53"/>
      <c r="K728">
        <f t="shared" si="66"/>
        <v>0</v>
      </c>
      <c r="L728">
        <f t="shared" si="67"/>
        <v>0</v>
      </c>
      <c r="M728">
        <f t="shared" si="68"/>
        <v>0</v>
      </c>
      <c r="N728">
        <f t="shared" si="69"/>
        <v>0</v>
      </c>
    </row>
    <row r="729" spans="1:14">
      <c r="A729" s="405"/>
      <c r="B729" s="57" t="s">
        <v>259</v>
      </c>
      <c r="C729" s="58">
        <v>1.1319753171642322</v>
      </c>
      <c r="D729" s="340">
        <f t="shared" si="70"/>
        <v>33.959259514926963</v>
      </c>
      <c r="E729" s="330"/>
      <c r="F729" s="331"/>
      <c r="G729" s="332"/>
      <c r="H729" s="333"/>
      <c r="I729" s="332"/>
      <c r="J729" s="53"/>
      <c r="K729">
        <f t="shared" si="66"/>
        <v>0</v>
      </c>
      <c r="L729">
        <f t="shared" si="67"/>
        <v>0</v>
      </c>
      <c r="M729">
        <f t="shared" si="68"/>
        <v>0</v>
      </c>
      <c r="N729">
        <f t="shared" si="69"/>
        <v>0</v>
      </c>
    </row>
    <row r="730" spans="1:14">
      <c r="A730" s="405"/>
      <c r="B730" s="57" t="s">
        <v>260</v>
      </c>
      <c r="C730" s="58">
        <v>0.96995332692358405</v>
      </c>
      <c r="D730" s="340">
        <f t="shared" si="70"/>
        <v>29.098599807707522</v>
      </c>
      <c r="E730" s="330"/>
      <c r="F730" s="331"/>
      <c r="G730" s="332"/>
      <c r="H730" s="333"/>
      <c r="I730" s="332"/>
      <c r="J730" s="53"/>
      <c r="K730">
        <f t="shared" si="66"/>
        <v>0</v>
      </c>
      <c r="L730">
        <f t="shared" si="67"/>
        <v>0</v>
      </c>
      <c r="M730">
        <f t="shared" si="68"/>
        <v>0</v>
      </c>
      <c r="N730">
        <f t="shared" si="69"/>
        <v>0</v>
      </c>
    </row>
    <row r="731" spans="1:14">
      <c r="A731" s="405"/>
      <c r="B731" s="57" t="s">
        <v>261</v>
      </c>
      <c r="C731" s="58">
        <v>0.97298717351944142</v>
      </c>
      <c r="D731" s="340">
        <f t="shared" si="70"/>
        <v>29.189615205583241</v>
      </c>
      <c r="E731" s="330"/>
      <c r="F731" s="331"/>
      <c r="G731" s="332"/>
      <c r="H731" s="333"/>
      <c r="I731" s="332"/>
      <c r="J731" s="53"/>
      <c r="K731">
        <f t="shared" si="66"/>
        <v>0</v>
      </c>
      <c r="L731">
        <f t="shared" si="67"/>
        <v>0</v>
      </c>
      <c r="M731">
        <f t="shared" si="68"/>
        <v>0</v>
      </c>
      <c r="N731">
        <f t="shared" si="69"/>
        <v>0</v>
      </c>
    </row>
    <row r="732" spans="1:14">
      <c r="A732" s="405"/>
      <c r="B732" s="57" t="s">
        <v>262</v>
      </c>
      <c r="C732" s="58">
        <v>2.4437141564875833</v>
      </c>
      <c r="D732" s="340">
        <f t="shared" si="70"/>
        <v>73.311424694627505</v>
      </c>
      <c r="E732" s="330"/>
      <c r="F732" s="331"/>
      <c r="G732" s="332"/>
      <c r="H732" s="333"/>
      <c r="I732" s="332"/>
      <c r="J732" s="53"/>
      <c r="K732">
        <f t="shared" si="66"/>
        <v>0</v>
      </c>
      <c r="L732">
        <f t="shared" si="67"/>
        <v>0</v>
      </c>
      <c r="M732">
        <f t="shared" si="68"/>
        <v>0</v>
      </c>
      <c r="N732">
        <f t="shared" si="69"/>
        <v>0</v>
      </c>
    </row>
    <row r="733" spans="1:14">
      <c r="A733" s="405"/>
      <c r="B733" s="57"/>
      <c r="C733" s="59"/>
      <c r="D733" s="340"/>
      <c r="E733" s="330"/>
      <c r="F733" s="331"/>
      <c r="G733" s="332"/>
      <c r="H733" s="333"/>
      <c r="I733" s="332"/>
      <c r="J733" s="53"/>
      <c r="K733">
        <f t="shared" si="66"/>
        <v>0</v>
      </c>
      <c r="L733">
        <f t="shared" si="67"/>
        <v>0</v>
      </c>
      <c r="M733">
        <f t="shared" si="68"/>
        <v>0</v>
      </c>
      <c r="N733">
        <f t="shared" si="69"/>
        <v>0</v>
      </c>
    </row>
    <row r="734" spans="1:14">
      <c r="A734" s="405"/>
      <c r="B734" s="406"/>
      <c r="C734" s="259"/>
      <c r="D734" s="407"/>
      <c r="E734" s="408"/>
      <c r="F734" s="38"/>
      <c r="G734" s="38"/>
      <c r="H734" s="409"/>
      <c r="I734" s="38"/>
      <c r="J734" s="53"/>
      <c r="K734">
        <f t="shared" si="66"/>
        <v>0</v>
      </c>
      <c r="L734">
        <f t="shared" si="67"/>
        <v>0</v>
      </c>
      <c r="M734">
        <f t="shared" si="68"/>
        <v>0</v>
      </c>
      <c r="N734">
        <f t="shared" si="69"/>
        <v>0</v>
      </c>
    </row>
    <row r="735" spans="1:14" ht="14.25" customHeight="1" thickBot="1">
      <c r="A735" s="383"/>
      <c r="B735" s="410"/>
      <c r="C735" s="267"/>
      <c r="D735" s="411"/>
      <c r="E735" s="412"/>
      <c r="F735" s="384"/>
      <c r="G735" s="384"/>
      <c r="H735" s="385"/>
      <c r="I735" s="384"/>
      <c r="J735" s="53"/>
      <c r="K735">
        <f t="shared" si="66"/>
        <v>0</v>
      </c>
      <c r="L735">
        <f t="shared" si="67"/>
        <v>0</v>
      </c>
      <c r="M735">
        <f t="shared" si="68"/>
        <v>0</v>
      </c>
      <c r="N735">
        <f t="shared" si="69"/>
        <v>0</v>
      </c>
    </row>
    <row r="736" spans="1:14" ht="12" customHeight="1" thickTop="1">
      <c r="A736" s="888"/>
      <c r="B736" s="885" t="s">
        <v>430</v>
      </c>
      <c r="C736" s="893" t="s">
        <v>636</v>
      </c>
      <c r="D736" s="874"/>
      <c r="E736" s="899"/>
      <c r="F736" s="873" t="s">
        <v>263</v>
      </c>
      <c r="G736" s="874"/>
      <c r="H736" s="875"/>
      <c r="J736" s="53"/>
      <c r="K736">
        <f t="shared" si="66"/>
        <v>0</v>
      </c>
      <c r="L736">
        <f t="shared" si="67"/>
        <v>0</v>
      </c>
      <c r="M736">
        <f t="shared" si="68"/>
        <v>0</v>
      </c>
      <c r="N736">
        <f t="shared" si="69"/>
        <v>0</v>
      </c>
    </row>
    <row r="737" spans="1:14" ht="12" customHeight="1" thickBot="1">
      <c r="A737" s="889"/>
      <c r="B737" s="903"/>
      <c r="C737" s="900"/>
      <c r="D737" s="901"/>
      <c r="E737" s="902"/>
      <c r="F737" s="876"/>
      <c r="G737" s="876"/>
      <c r="H737" s="877"/>
      <c r="J737" s="53"/>
      <c r="K737">
        <f t="shared" si="66"/>
        <v>0</v>
      </c>
      <c r="L737">
        <f t="shared" si="67"/>
        <v>0</v>
      </c>
      <c r="M737">
        <f t="shared" si="68"/>
        <v>0</v>
      </c>
      <c r="N737">
        <f t="shared" si="69"/>
        <v>0</v>
      </c>
    </row>
    <row r="738" spans="1:14" ht="12" customHeight="1" thickBot="1">
      <c r="A738" s="890"/>
      <c r="B738" s="904"/>
      <c r="C738" s="44" t="s">
        <v>639</v>
      </c>
      <c r="D738" s="45" t="s">
        <v>640</v>
      </c>
      <c r="E738" s="126"/>
      <c r="F738" s="878"/>
      <c r="G738" s="878"/>
      <c r="H738" s="879"/>
      <c r="J738" s="53"/>
      <c r="K738">
        <f t="shared" si="66"/>
        <v>0</v>
      </c>
      <c r="L738">
        <f t="shared" si="67"/>
        <v>0</v>
      </c>
      <c r="M738">
        <f t="shared" si="68"/>
        <v>0</v>
      </c>
      <c r="N738">
        <f t="shared" si="69"/>
        <v>0</v>
      </c>
    </row>
    <row r="739" spans="1:14" ht="13.5" thickTop="1">
      <c r="A739" s="405"/>
      <c r="B739" s="870" t="s">
        <v>264</v>
      </c>
      <c r="C739" s="898"/>
      <c r="D739" s="891"/>
      <c r="E739" s="892"/>
      <c r="F739" s="321"/>
      <c r="G739" s="322"/>
      <c r="H739" s="323"/>
      <c r="I739" s="322"/>
      <c r="J739" s="53"/>
      <c r="K739">
        <f t="shared" si="66"/>
        <v>0</v>
      </c>
      <c r="L739">
        <f t="shared" si="67"/>
        <v>0</v>
      </c>
      <c r="M739">
        <f t="shared" si="68"/>
        <v>0</v>
      </c>
      <c r="N739">
        <f t="shared" si="69"/>
        <v>0</v>
      </c>
    </row>
    <row r="740" spans="1:14">
      <c r="A740" s="405"/>
      <c r="B740" s="871"/>
      <c r="C740" s="898"/>
      <c r="D740" s="891"/>
      <c r="E740" s="892"/>
      <c r="F740" s="321"/>
      <c r="G740" s="322"/>
      <c r="H740" s="323"/>
      <c r="I740" s="322"/>
      <c r="J740" s="53"/>
      <c r="K740">
        <f t="shared" si="66"/>
        <v>0</v>
      </c>
      <c r="L740">
        <f t="shared" si="67"/>
        <v>0</v>
      </c>
      <c r="M740">
        <f t="shared" si="68"/>
        <v>0</v>
      </c>
      <c r="N740">
        <f t="shared" si="69"/>
        <v>0</v>
      </c>
    </row>
    <row r="741" spans="1:14">
      <c r="A741" s="405"/>
      <c r="B741" s="57" t="s">
        <v>265</v>
      </c>
      <c r="C741" s="58">
        <v>2.9437871626560934</v>
      </c>
      <c r="D741" s="340">
        <f t="shared" ref="D741:D761" si="71">C741*30</f>
        <v>88.313614879682802</v>
      </c>
      <c r="E741" s="330"/>
      <c r="F741" s="331"/>
      <c r="G741" s="332"/>
      <c r="H741" s="333"/>
      <c r="I741" s="332"/>
      <c r="J741" s="53"/>
      <c r="K741">
        <f t="shared" si="66"/>
        <v>0</v>
      </c>
      <c r="L741">
        <f t="shared" si="67"/>
        <v>0</v>
      </c>
      <c r="M741">
        <f t="shared" si="68"/>
        <v>0</v>
      </c>
      <c r="N741">
        <f t="shared" si="69"/>
        <v>0</v>
      </c>
    </row>
    <row r="742" spans="1:14">
      <c r="A742" s="405"/>
      <c r="B742" s="57" t="s">
        <v>266</v>
      </c>
      <c r="C742" s="58">
        <v>1.654001313949319</v>
      </c>
      <c r="D742" s="340">
        <f t="shared" si="71"/>
        <v>49.620039418479571</v>
      </c>
      <c r="E742" s="330"/>
      <c r="F742" s="331"/>
      <c r="G742" s="332"/>
      <c r="H742" s="333"/>
      <c r="I742" s="332"/>
      <c r="J742" s="53"/>
      <c r="K742">
        <f t="shared" si="66"/>
        <v>0</v>
      </c>
      <c r="L742">
        <f t="shared" si="67"/>
        <v>0</v>
      </c>
      <c r="M742">
        <f t="shared" si="68"/>
        <v>0</v>
      </c>
      <c r="N742">
        <f t="shared" si="69"/>
        <v>0</v>
      </c>
    </row>
    <row r="743" spans="1:14">
      <c r="A743" s="405"/>
      <c r="B743" s="57" t="s">
        <v>267</v>
      </c>
      <c r="C743" s="58">
        <v>0.75792556537177436</v>
      </c>
      <c r="D743" s="340">
        <f t="shared" si="71"/>
        <v>22.73776696115323</v>
      </c>
      <c r="E743" s="330"/>
      <c r="F743" s="331"/>
      <c r="G743" s="332"/>
      <c r="H743" s="333"/>
      <c r="I743" s="332"/>
      <c r="J743" s="53"/>
      <c r="K743">
        <f t="shared" si="66"/>
        <v>0</v>
      </c>
      <c r="L743">
        <f t="shared" si="67"/>
        <v>0</v>
      </c>
      <c r="M743">
        <f t="shared" si="68"/>
        <v>0</v>
      </c>
      <c r="N743">
        <f t="shared" si="69"/>
        <v>0</v>
      </c>
    </row>
    <row r="744" spans="1:14">
      <c r="A744" s="405"/>
      <c r="B744" s="57" t="s">
        <v>268</v>
      </c>
      <c r="C744" s="58">
        <v>6.0261152745113296E-2</v>
      </c>
      <c r="D744" s="340">
        <f t="shared" si="71"/>
        <v>1.8078345823533988</v>
      </c>
      <c r="E744" s="330"/>
      <c r="F744" s="331"/>
      <c r="G744" s="332"/>
      <c r="H744" s="333"/>
      <c r="I744" s="332"/>
      <c r="J744" s="53"/>
      <c r="K744">
        <f t="shared" si="66"/>
        <v>0</v>
      </c>
      <c r="L744">
        <f t="shared" si="67"/>
        <v>0</v>
      </c>
      <c r="M744">
        <f t="shared" si="68"/>
        <v>0</v>
      </c>
      <c r="N744">
        <f t="shared" si="69"/>
        <v>0</v>
      </c>
    </row>
    <row r="745" spans="1:14">
      <c r="A745" s="405"/>
      <c r="B745" s="57" t="s">
        <v>269</v>
      </c>
      <c r="C745" s="58">
        <v>7.1317033757649514E-2</v>
      </c>
      <c r="D745" s="340">
        <f t="shared" si="71"/>
        <v>2.1395110127294856</v>
      </c>
      <c r="E745" s="330"/>
      <c r="F745" s="331"/>
      <c r="G745" s="332"/>
      <c r="H745" s="333"/>
      <c r="I745" s="332"/>
      <c r="J745" s="53"/>
      <c r="K745">
        <f t="shared" si="66"/>
        <v>0</v>
      </c>
      <c r="L745">
        <f t="shared" si="67"/>
        <v>0</v>
      </c>
      <c r="M745">
        <f t="shared" si="68"/>
        <v>0</v>
      </c>
      <c r="N745">
        <f t="shared" si="69"/>
        <v>0</v>
      </c>
    </row>
    <row r="746" spans="1:14">
      <c r="A746" s="405"/>
      <c r="B746" s="57" t="s">
        <v>270</v>
      </c>
      <c r="C746" s="58">
        <v>0.1367696587311453</v>
      </c>
      <c r="D746" s="340">
        <f t="shared" si="71"/>
        <v>4.1030897619343589</v>
      </c>
      <c r="E746" s="330"/>
      <c r="F746" s="331"/>
      <c r="G746" s="332"/>
      <c r="H746" s="333"/>
      <c r="I746" s="332"/>
      <c r="J746" s="53"/>
      <c r="K746">
        <f t="shared" si="66"/>
        <v>0</v>
      </c>
      <c r="L746">
        <f t="shared" si="67"/>
        <v>0</v>
      </c>
      <c r="M746">
        <f t="shared" si="68"/>
        <v>0</v>
      </c>
      <c r="N746">
        <f t="shared" si="69"/>
        <v>0</v>
      </c>
    </row>
    <row r="747" spans="1:14">
      <c r="A747" s="405"/>
      <c r="B747" s="57" t="s">
        <v>271</v>
      </c>
      <c r="C747" s="58">
        <v>5.3197269453102228E-2</v>
      </c>
      <c r="D747" s="340">
        <f t="shared" si="71"/>
        <v>1.5959180835930669</v>
      </c>
      <c r="E747" s="330"/>
      <c r="F747" s="331"/>
      <c r="G747" s="332"/>
      <c r="H747" s="333"/>
      <c r="I747" s="332"/>
      <c r="J747" s="53"/>
      <c r="K747">
        <f t="shared" si="66"/>
        <v>0</v>
      </c>
      <c r="L747">
        <f t="shared" si="67"/>
        <v>0</v>
      </c>
      <c r="M747">
        <f t="shared" si="68"/>
        <v>0</v>
      </c>
      <c r="N747">
        <f t="shared" si="69"/>
        <v>0</v>
      </c>
    </row>
    <row r="748" spans="1:14">
      <c r="A748" s="405"/>
      <c r="B748" s="57" t="s">
        <v>272</v>
      </c>
      <c r="C748" s="58">
        <v>0.79794784753766468</v>
      </c>
      <c r="D748" s="340">
        <f t="shared" si="71"/>
        <v>23.938435426129942</v>
      </c>
      <c r="E748" s="330"/>
      <c r="F748" s="331"/>
      <c r="G748" s="332"/>
      <c r="H748" s="333"/>
      <c r="I748" s="332"/>
      <c r="J748" s="53"/>
      <c r="K748">
        <f t="shared" si="66"/>
        <v>0</v>
      </c>
      <c r="L748">
        <f t="shared" si="67"/>
        <v>0</v>
      </c>
      <c r="M748">
        <f t="shared" si="68"/>
        <v>0</v>
      </c>
      <c r="N748">
        <f t="shared" si="69"/>
        <v>0</v>
      </c>
    </row>
    <row r="749" spans="1:14">
      <c r="A749" s="405"/>
      <c r="B749" s="57" t="s">
        <v>273</v>
      </c>
      <c r="C749" s="58">
        <v>0.23523470762440887</v>
      </c>
      <c r="D749" s="340">
        <f t="shared" si="71"/>
        <v>7.0570412287322659</v>
      </c>
      <c r="E749" s="330"/>
      <c r="F749" s="331"/>
      <c r="G749" s="332"/>
      <c r="H749" s="333"/>
      <c r="I749" s="332"/>
      <c r="J749" s="53"/>
      <c r="K749">
        <f t="shared" si="66"/>
        <v>0</v>
      </c>
      <c r="L749">
        <f t="shared" si="67"/>
        <v>0</v>
      </c>
      <c r="M749">
        <f t="shared" si="68"/>
        <v>0</v>
      </c>
      <c r="N749">
        <f t="shared" si="69"/>
        <v>0</v>
      </c>
    </row>
    <row r="750" spans="1:14">
      <c r="A750" s="405"/>
      <c r="B750" s="57" t="s">
        <v>274</v>
      </c>
      <c r="C750" s="58">
        <v>0.27361992354951531</v>
      </c>
      <c r="D750" s="340">
        <f t="shared" si="71"/>
        <v>8.2085977064854596</v>
      </c>
      <c r="E750" s="330"/>
      <c r="F750" s="331"/>
      <c r="G750" s="332"/>
      <c r="H750" s="333"/>
      <c r="I750" s="332"/>
      <c r="J750" s="53"/>
      <c r="K750">
        <f t="shared" si="66"/>
        <v>0</v>
      </c>
      <c r="L750">
        <f t="shared" si="67"/>
        <v>0</v>
      </c>
      <c r="M750">
        <f t="shared" si="68"/>
        <v>0</v>
      </c>
      <c r="N750">
        <f t="shared" si="69"/>
        <v>0</v>
      </c>
    </row>
    <row r="751" spans="1:14">
      <c r="A751" s="405"/>
      <c r="B751" s="57" t="s">
        <v>275</v>
      </c>
      <c r="C751" s="58">
        <v>0.33176411484901808</v>
      </c>
      <c r="D751" s="340">
        <f t="shared" si="71"/>
        <v>9.9529234454705424</v>
      </c>
      <c r="E751" s="330"/>
      <c r="F751" s="331"/>
      <c r="G751" s="332"/>
      <c r="H751" s="333"/>
      <c r="I751" s="332"/>
      <c r="J751" s="53"/>
      <c r="K751">
        <f t="shared" si="66"/>
        <v>0</v>
      </c>
      <c r="L751">
        <f t="shared" si="67"/>
        <v>0</v>
      </c>
      <c r="M751">
        <f t="shared" si="68"/>
        <v>0</v>
      </c>
      <c r="N751">
        <f t="shared" si="69"/>
        <v>0</v>
      </c>
    </row>
    <row r="752" spans="1:14">
      <c r="A752" s="405"/>
      <c r="B752" s="57" t="s">
        <v>276</v>
      </c>
      <c r="C752" s="58">
        <v>8.0042562691700375E-2</v>
      </c>
      <c r="D752" s="340">
        <f t="shared" si="71"/>
        <v>2.4012768807510114</v>
      </c>
      <c r="E752" s="330"/>
      <c r="F752" s="331"/>
      <c r="G752" s="332"/>
      <c r="H752" s="333"/>
      <c r="I752" s="332"/>
      <c r="J752" s="53"/>
      <c r="K752">
        <f t="shared" si="66"/>
        <v>0</v>
      </c>
      <c r="L752">
        <f t="shared" si="67"/>
        <v>0</v>
      </c>
      <c r="M752">
        <f t="shared" si="68"/>
        <v>0</v>
      </c>
      <c r="N752">
        <f t="shared" si="69"/>
        <v>0</v>
      </c>
    </row>
    <row r="753" spans="1:14">
      <c r="A753" s="405"/>
      <c r="B753" s="57" t="s">
        <v>277</v>
      </c>
      <c r="C753" s="58">
        <v>8.1104883644839157E-2</v>
      </c>
      <c r="D753" s="340">
        <f t="shared" si="71"/>
        <v>2.4331465093451747</v>
      </c>
      <c r="E753" s="330"/>
      <c r="F753" s="331"/>
      <c r="G753" s="332"/>
      <c r="H753" s="333"/>
      <c r="I753" s="332"/>
      <c r="J753" s="53"/>
      <c r="K753">
        <f t="shared" si="66"/>
        <v>0</v>
      </c>
      <c r="L753">
        <f t="shared" si="67"/>
        <v>0</v>
      </c>
      <c r="M753">
        <f t="shared" si="68"/>
        <v>0</v>
      </c>
      <c r="N753">
        <f t="shared" si="69"/>
        <v>0</v>
      </c>
    </row>
    <row r="754" spans="1:14">
      <c r="A754" s="405"/>
      <c r="B754" s="57" t="s">
        <v>278</v>
      </c>
      <c r="C754" s="58">
        <v>4.3221753982638021E-2</v>
      </c>
      <c r="D754" s="340">
        <f t="shared" si="71"/>
        <v>1.2966526194791406</v>
      </c>
      <c r="E754" s="330"/>
      <c r="F754" s="331"/>
      <c r="G754" s="332"/>
      <c r="H754" s="333"/>
      <c r="I754" s="332"/>
      <c r="J754" s="53"/>
      <c r="K754">
        <f t="shared" si="66"/>
        <v>0</v>
      </c>
      <c r="L754">
        <f t="shared" si="67"/>
        <v>0</v>
      </c>
      <c r="M754">
        <f t="shared" si="68"/>
        <v>0</v>
      </c>
      <c r="N754">
        <f t="shared" si="69"/>
        <v>0</v>
      </c>
    </row>
    <row r="755" spans="1:14">
      <c r="A755" s="405"/>
      <c r="B755" s="57" t="s">
        <v>279</v>
      </c>
      <c r="C755" s="58">
        <v>0.10634119872002797</v>
      </c>
      <c r="D755" s="340">
        <f t="shared" si="71"/>
        <v>3.1902359616008389</v>
      </c>
      <c r="E755" s="330"/>
      <c r="F755" s="331"/>
      <c r="G755" s="332"/>
      <c r="H755" s="333"/>
      <c r="I755" s="332"/>
      <c r="J755" s="53"/>
      <c r="K755">
        <f t="shared" si="66"/>
        <v>0</v>
      </c>
      <c r="L755">
        <f t="shared" si="67"/>
        <v>0</v>
      </c>
      <c r="M755">
        <f t="shared" si="68"/>
        <v>0</v>
      </c>
      <c r="N755">
        <f t="shared" si="69"/>
        <v>0</v>
      </c>
    </row>
    <row r="756" spans="1:14">
      <c r="A756" s="405"/>
      <c r="B756" s="57" t="s">
        <v>280</v>
      </c>
      <c r="C756" s="58">
        <v>6.0683501636800467E-2</v>
      </c>
      <c r="D756" s="340">
        <f t="shared" si="71"/>
        <v>1.820505049104014</v>
      </c>
      <c r="E756" s="330"/>
      <c r="F756" s="331"/>
      <c r="G756" s="332"/>
      <c r="H756" s="333"/>
      <c r="I756" s="332"/>
      <c r="J756" s="53"/>
      <c r="K756">
        <f t="shared" si="66"/>
        <v>0</v>
      </c>
      <c r="L756">
        <f t="shared" si="67"/>
        <v>0</v>
      </c>
      <c r="M756">
        <f t="shared" si="68"/>
        <v>0</v>
      </c>
      <c r="N756">
        <f t="shared" si="69"/>
        <v>0</v>
      </c>
    </row>
    <row r="757" spans="1:14">
      <c r="A757" s="405"/>
      <c r="B757" s="57" t="s">
        <v>281</v>
      </c>
      <c r="C757" s="58">
        <v>0.13329090638464183</v>
      </c>
      <c r="D757" s="340">
        <f t="shared" si="71"/>
        <v>3.9987271915392548</v>
      </c>
      <c r="E757" s="330"/>
      <c r="F757" s="331"/>
      <c r="G757" s="332"/>
      <c r="H757" s="333"/>
      <c r="I757" s="332"/>
      <c r="J757" s="53"/>
      <c r="K757">
        <f t="shared" si="66"/>
        <v>0</v>
      </c>
      <c r="L757">
        <f t="shared" si="67"/>
        <v>0</v>
      </c>
      <c r="M757">
        <f t="shared" si="68"/>
        <v>0</v>
      </c>
      <c r="N757">
        <f t="shared" si="69"/>
        <v>0</v>
      </c>
    </row>
    <row r="758" spans="1:14">
      <c r="A758" s="405"/>
      <c r="B758" s="57" t="s">
        <v>282</v>
      </c>
      <c r="C758" s="58">
        <v>2.7621435633302702E-2</v>
      </c>
      <c r="D758" s="340">
        <f t="shared" si="71"/>
        <v>0.82864306899908102</v>
      </c>
      <c r="E758" s="330"/>
      <c r="F758" s="331"/>
      <c r="G758" s="332"/>
      <c r="H758" s="333"/>
      <c r="I758" s="332"/>
      <c r="J758" s="53"/>
      <c r="K758">
        <f t="shared" si="66"/>
        <v>0</v>
      </c>
      <c r="L758">
        <f t="shared" si="67"/>
        <v>0</v>
      </c>
      <c r="M758">
        <f t="shared" si="68"/>
        <v>0</v>
      </c>
      <c r="N758">
        <f t="shared" si="69"/>
        <v>0</v>
      </c>
    </row>
    <row r="759" spans="1:14">
      <c r="A759" s="405"/>
      <c r="B759" s="57" t="s">
        <v>283</v>
      </c>
      <c r="C759" s="58">
        <v>45.898613164416417</v>
      </c>
      <c r="D759" s="340">
        <f t="shared" si="71"/>
        <v>1376.9583949324924</v>
      </c>
      <c r="E759" s="330"/>
      <c r="F759" s="331"/>
      <c r="G759" s="332"/>
      <c r="H759" s="333"/>
      <c r="I759" s="332"/>
      <c r="J759" s="53"/>
      <c r="K759">
        <f t="shared" si="66"/>
        <v>0</v>
      </c>
      <c r="L759">
        <f t="shared" si="67"/>
        <v>0</v>
      </c>
      <c r="M759">
        <f t="shared" si="68"/>
        <v>0</v>
      </c>
      <c r="N759">
        <f t="shared" si="69"/>
        <v>0</v>
      </c>
    </row>
    <row r="760" spans="1:14">
      <c r="A760" s="405"/>
      <c r="B760" s="57" t="s">
        <v>284</v>
      </c>
      <c r="C760" s="58">
        <v>12.300921460441787</v>
      </c>
      <c r="D760" s="340">
        <f t="shared" si="71"/>
        <v>369.02764381325358</v>
      </c>
      <c r="E760" s="330"/>
      <c r="F760" s="331"/>
      <c r="G760" s="332"/>
      <c r="H760" s="333"/>
      <c r="I760" s="332"/>
      <c r="J760" s="53"/>
      <c r="K760">
        <f t="shared" si="66"/>
        <v>0</v>
      </c>
      <c r="L760">
        <f t="shared" si="67"/>
        <v>0</v>
      </c>
      <c r="M760">
        <f t="shared" si="68"/>
        <v>0</v>
      </c>
      <c r="N760">
        <f t="shared" si="69"/>
        <v>0</v>
      </c>
    </row>
    <row r="761" spans="1:14">
      <c r="A761" s="405"/>
      <c r="B761" s="57" t="s">
        <v>285</v>
      </c>
      <c r="C761" s="58">
        <v>1.2361490433396936</v>
      </c>
      <c r="D761" s="340">
        <f t="shared" si="71"/>
        <v>37.084471300190806</v>
      </c>
      <c r="E761" s="330"/>
      <c r="F761" s="331"/>
      <c r="G761" s="332"/>
      <c r="H761" s="333"/>
      <c r="I761" s="332"/>
      <c r="J761" s="53"/>
      <c r="K761">
        <f t="shared" si="66"/>
        <v>0</v>
      </c>
      <c r="L761">
        <f t="shared" si="67"/>
        <v>0</v>
      </c>
      <c r="M761">
        <f t="shared" si="68"/>
        <v>0</v>
      </c>
      <c r="N761">
        <f t="shared" si="69"/>
        <v>0</v>
      </c>
    </row>
    <row r="762" spans="1:14">
      <c r="A762" s="405"/>
      <c r="B762" s="57"/>
      <c r="C762" s="59"/>
      <c r="D762" s="340"/>
      <c r="E762" s="330"/>
      <c r="F762" s="38"/>
      <c r="G762" s="38"/>
      <c r="H762" s="409"/>
      <c r="I762" s="38"/>
      <c r="J762" s="53"/>
      <c r="K762">
        <f t="shared" si="66"/>
        <v>0</v>
      </c>
      <c r="L762">
        <f t="shared" si="67"/>
        <v>0</v>
      </c>
      <c r="M762">
        <f t="shared" si="68"/>
        <v>0</v>
      </c>
      <c r="N762">
        <f t="shared" si="69"/>
        <v>0</v>
      </c>
    </row>
    <row r="763" spans="1:14">
      <c r="A763" s="405"/>
      <c r="B763" s="57"/>
      <c r="C763" s="59"/>
      <c r="D763" s="340"/>
      <c r="E763" s="330"/>
      <c r="F763" s="38"/>
      <c r="G763" s="38"/>
      <c r="H763" s="409"/>
      <c r="I763" s="38"/>
      <c r="J763" s="53"/>
      <c r="K763">
        <f t="shared" si="66"/>
        <v>0</v>
      </c>
      <c r="L763">
        <f t="shared" si="67"/>
        <v>0</v>
      </c>
      <c r="M763">
        <f t="shared" si="68"/>
        <v>0</v>
      </c>
      <c r="N763">
        <f t="shared" si="69"/>
        <v>0</v>
      </c>
    </row>
    <row r="764" spans="1:14">
      <c r="A764" s="405"/>
      <c r="B764" s="57"/>
      <c r="C764" s="59"/>
      <c r="D764" s="340"/>
      <c r="E764" s="330"/>
      <c r="F764" s="331"/>
      <c r="G764" s="332"/>
      <c r="H764" s="333"/>
      <c r="I764" s="332"/>
      <c r="J764" s="53"/>
      <c r="K764">
        <f t="shared" si="66"/>
        <v>0</v>
      </c>
      <c r="L764">
        <f t="shared" si="67"/>
        <v>0</v>
      </c>
      <c r="M764">
        <f t="shared" si="68"/>
        <v>0</v>
      </c>
      <c r="N764">
        <f t="shared" si="69"/>
        <v>0</v>
      </c>
    </row>
    <row r="765" spans="1:14">
      <c r="A765" s="405"/>
      <c r="B765" s="870" t="s">
        <v>286</v>
      </c>
      <c r="C765" s="300"/>
      <c r="D765" s="304"/>
      <c r="E765" s="335"/>
      <c r="F765" s="321"/>
      <c r="G765" s="322"/>
      <c r="H765" s="323"/>
      <c r="I765" s="322"/>
      <c r="J765" s="53"/>
      <c r="K765">
        <f t="shared" si="66"/>
        <v>0</v>
      </c>
      <c r="L765">
        <f t="shared" si="67"/>
        <v>0</v>
      </c>
      <c r="M765">
        <f t="shared" si="68"/>
        <v>0</v>
      </c>
      <c r="N765">
        <f t="shared" si="69"/>
        <v>0</v>
      </c>
    </row>
    <row r="766" spans="1:14">
      <c r="A766" s="405"/>
      <c r="B766" s="871"/>
      <c r="C766" s="300"/>
      <c r="D766" s="304"/>
      <c r="E766" s="335"/>
      <c r="F766" s="321"/>
      <c r="G766" s="322"/>
      <c r="H766" s="323"/>
      <c r="I766" s="322"/>
      <c r="J766" s="53"/>
      <c r="K766">
        <f t="shared" si="66"/>
        <v>0</v>
      </c>
      <c r="L766">
        <f t="shared" si="67"/>
        <v>0</v>
      </c>
      <c r="M766">
        <f t="shared" si="68"/>
        <v>0</v>
      </c>
      <c r="N766">
        <f t="shared" si="69"/>
        <v>0</v>
      </c>
    </row>
    <row r="767" spans="1:14">
      <c r="A767" s="405"/>
      <c r="B767" s="57" t="s">
        <v>573</v>
      </c>
      <c r="C767" s="58">
        <v>5.1818691193426947</v>
      </c>
      <c r="D767" s="340">
        <f t="shared" ref="D767:D778" si="72">C767*30</f>
        <v>155.45607358028084</v>
      </c>
      <c r="E767" s="330"/>
      <c r="F767" s="331"/>
      <c r="G767" s="332"/>
      <c r="H767" s="333"/>
      <c r="I767" s="332"/>
      <c r="J767" s="53"/>
      <c r="K767">
        <f t="shared" si="66"/>
        <v>0</v>
      </c>
      <c r="L767">
        <f t="shared" si="67"/>
        <v>0</v>
      </c>
      <c r="M767">
        <f t="shared" si="68"/>
        <v>0</v>
      </c>
      <c r="N767">
        <f t="shared" si="69"/>
        <v>0</v>
      </c>
    </row>
    <row r="768" spans="1:14">
      <c r="A768" s="405"/>
      <c r="B768" s="57" t="s">
        <v>287</v>
      </c>
      <c r="C768" s="58">
        <v>1.9786421467940118</v>
      </c>
      <c r="D768" s="340">
        <f t="shared" si="72"/>
        <v>59.359264403820355</v>
      </c>
      <c r="E768" s="330"/>
      <c r="F768" s="331"/>
      <c r="G768" s="332"/>
      <c r="H768" s="333"/>
      <c r="I768" s="332"/>
      <c r="J768" s="53"/>
      <c r="K768">
        <f t="shared" si="66"/>
        <v>0</v>
      </c>
      <c r="L768">
        <f t="shared" si="67"/>
        <v>0</v>
      </c>
      <c r="M768">
        <f t="shared" si="68"/>
        <v>0</v>
      </c>
      <c r="N768">
        <f t="shared" si="69"/>
        <v>0</v>
      </c>
    </row>
    <row r="769" spans="1:14">
      <c r="A769" s="405"/>
      <c r="B769" s="57" t="s">
        <v>288</v>
      </c>
      <c r="C769" s="58">
        <v>0.65752393029798406</v>
      </c>
      <c r="D769" s="340">
        <f t="shared" si="72"/>
        <v>19.725717908939522</v>
      </c>
      <c r="E769" s="330"/>
      <c r="F769" s="331"/>
      <c r="G769" s="332"/>
      <c r="H769" s="333"/>
      <c r="I769" s="332"/>
      <c r="J769" s="53"/>
      <c r="K769">
        <f t="shared" si="66"/>
        <v>0</v>
      </c>
      <c r="L769">
        <f t="shared" si="67"/>
        <v>0</v>
      </c>
      <c r="M769">
        <f t="shared" si="68"/>
        <v>0</v>
      </c>
      <c r="N769">
        <f t="shared" si="69"/>
        <v>0</v>
      </c>
    </row>
    <row r="770" spans="1:14">
      <c r="A770" s="405"/>
      <c r="B770" s="57" t="s">
        <v>289</v>
      </c>
      <c r="C770" s="58">
        <v>0.17027669740388882</v>
      </c>
      <c r="D770" s="340">
        <f t="shared" si="72"/>
        <v>5.1083009221166646</v>
      </c>
      <c r="E770" s="330"/>
      <c r="F770" s="331"/>
      <c r="G770" s="332"/>
      <c r="H770" s="333"/>
      <c r="I770" s="332"/>
      <c r="J770" s="53"/>
      <c r="K770">
        <f t="shared" si="66"/>
        <v>0</v>
      </c>
      <c r="L770">
        <f t="shared" si="67"/>
        <v>0</v>
      </c>
      <c r="M770">
        <f t="shared" si="68"/>
        <v>0</v>
      </c>
      <c r="N770">
        <f t="shared" si="69"/>
        <v>0</v>
      </c>
    </row>
    <row r="771" spans="1:14">
      <c r="A771" s="405"/>
      <c r="B771" s="57" t="s">
        <v>290</v>
      </c>
      <c r="C771" s="58">
        <v>9.3491813020545406E-2</v>
      </c>
      <c r="D771" s="340">
        <f t="shared" si="72"/>
        <v>2.8047543906163623</v>
      </c>
      <c r="E771" s="330"/>
      <c r="F771" s="331"/>
      <c r="G771" s="332"/>
      <c r="H771" s="333"/>
      <c r="I771" s="332"/>
      <c r="J771" s="53"/>
      <c r="K771">
        <f t="shared" si="66"/>
        <v>0</v>
      </c>
      <c r="L771">
        <f t="shared" si="67"/>
        <v>0</v>
      </c>
      <c r="M771">
        <f t="shared" si="68"/>
        <v>0</v>
      </c>
      <c r="N771">
        <f t="shared" si="69"/>
        <v>0</v>
      </c>
    </row>
    <row r="772" spans="1:14">
      <c r="A772" s="405"/>
      <c r="B772" s="57" t="s">
        <v>574</v>
      </c>
      <c r="C772" s="58">
        <v>7.5366325048501548E-2</v>
      </c>
      <c r="D772" s="340">
        <f t="shared" si="72"/>
        <v>2.2609897514550465</v>
      </c>
      <c r="E772" s="330"/>
      <c r="F772" s="331"/>
      <c r="G772" s="332"/>
      <c r="H772" s="333"/>
      <c r="I772" s="332"/>
      <c r="J772" s="53"/>
      <c r="K772">
        <f t="shared" si="66"/>
        <v>0</v>
      </c>
      <c r="L772">
        <f t="shared" si="67"/>
        <v>0</v>
      </c>
      <c r="M772">
        <f t="shared" si="68"/>
        <v>0</v>
      </c>
      <c r="N772">
        <f t="shared" si="69"/>
        <v>0</v>
      </c>
    </row>
    <row r="773" spans="1:14">
      <c r="A773" s="405"/>
      <c r="B773" s="57" t="s">
        <v>575</v>
      </c>
      <c r="C773" s="58">
        <v>7.3948530809708146E-2</v>
      </c>
      <c r="D773" s="340">
        <f t="shared" si="72"/>
        <v>2.2184559242912445</v>
      </c>
      <c r="E773" s="330"/>
      <c r="F773" s="331"/>
      <c r="G773" s="332"/>
      <c r="H773" s="333"/>
      <c r="I773" s="332"/>
      <c r="J773" s="53"/>
      <c r="K773">
        <f t="shared" ref="K773:K839" si="73">IF(M773&gt;0,1,0)</f>
        <v>0</v>
      </c>
      <c r="L773">
        <f t="shared" ref="L773:L839" si="74">IF(couleur(B773)=2,L774,IF(couleur(B774)=2,0,J773+L774))</f>
        <v>0</v>
      </c>
      <c r="M773">
        <f t="shared" ref="M773:M839" si="75">IF(couleur(B773)=2,L773,J773)</f>
        <v>0</v>
      </c>
      <c r="N773">
        <f t="shared" ref="N773:N839" si="76">IF(ISNUMBER(C773),J773*C773,0)</f>
        <v>0</v>
      </c>
    </row>
    <row r="774" spans="1:14">
      <c r="A774" s="405"/>
      <c r="B774" s="57" t="s">
        <v>576</v>
      </c>
      <c r="C774" s="58">
        <v>2.1928717890341506E-2</v>
      </c>
      <c r="D774" s="340">
        <f t="shared" si="72"/>
        <v>0.65786153671024516</v>
      </c>
      <c r="E774" s="330"/>
      <c r="F774" s="331"/>
      <c r="G774" s="332"/>
      <c r="H774" s="333"/>
      <c r="I774" s="332"/>
      <c r="J774" s="53"/>
      <c r="K774">
        <f t="shared" si="73"/>
        <v>0</v>
      </c>
      <c r="L774">
        <f t="shared" si="74"/>
        <v>0</v>
      </c>
      <c r="M774">
        <f t="shared" si="75"/>
        <v>0</v>
      </c>
      <c r="N774">
        <f t="shared" si="76"/>
        <v>0</v>
      </c>
    </row>
    <row r="775" spans="1:14">
      <c r="A775" s="405"/>
      <c r="B775" s="57" t="s">
        <v>291</v>
      </c>
      <c r="C775" s="58">
        <v>3.9871490826879824E-2</v>
      </c>
      <c r="D775" s="340">
        <f t="shared" si="72"/>
        <v>1.1961447248063948</v>
      </c>
      <c r="E775" s="330"/>
      <c r="F775" s="331"/>
      <c r="G775" s="332"/>
      <c r="H775" s="333"/>
      <c r="I775" s="332"/>
      <c r="J775" s="53"/>
      <c r="K775">
        <f t="shared" si="73"/>
        <v>0</v>
      </c>
      <c r="L775">
        <f t="shared" si="74"/>
        <v>0</v>
      </c>
      <c r="M775">
        <f t="shared" si="75"/>
        <v>0</v>
      </c>
      <c r="N775">
        <f t="shared" si="76"/>
        <v>0</v>
      </c>
    </row>
    <row r="776" spans="1:14">
      <c r="A776" s="405"/>
      <c r="B776" s="57" t="s">
        <v>577</v>
      </c>
      <c r="C776" s="58">
        <v>4.3755882631642325E-2</v>
      </c>
      <c r="D776" s="340">
        <f t="shared" si="72"/>
        <v>1.3126764789492698</v>
      </c>
      <c r="E776" s="330"/>
      <c r="F776" s="331"/>
      <c r="G776" s="332"/>
      <c r="H776" s="333"/>
      <c r="I776" s="332"/>
      <c r="J776" s="53"/>
      <c r="K776">
        <f t="shared" si="73"/>
        <v>0</v>
      </c>
      <c r="L776">
        <f t="shared" si="74"/>
        <v>0</v>
      </c>
      <c r="M776">
        <f t="shared" si="75"/>
        <v>0</v>
      </c>
      <c r="N776">
        <f t="shared" si="76"/>
        <v>0</v>
      </c>
    </row>
    <row r="777" spans="1:14">
      <c r="A777" s="405"/>
      <c r="B777" s="57" t="s">
        <v>292</v>
      </c>
      <c r="C777" s="58">
        <v>1.8663684480309652</v>
      </c>
      <c r="D777" s="340">
        <f t="shared" si="72"/>
        <v>55.991053440928958</v>
      </c>
      <c r="E777" s="330"/>
      <c r="F777" s="331"/>
      <c r="G777" s="332"/>
      <c r="H777" s="333"/>
      <c r="I777" s="332"/>
      <c r="J777" s="53"/>
      <c r="K777">
        <f t="shared" si="73"/>
        <v>0</v>
      </c>
      <c r="L777">
        <f t="shared" si="74"/>
        <v>0</v>
      </c>
      <c r="M777">
        <f t="shared" si="75"/>
        <v>0</v>
      </c>
      <c r="N777">
        <f t="shared" si="76"/>
        <v>0</v>
      </c>
    </row>
    <row r="778" spans="1:14">
      <c r="A778" s="405"/>
      <c r="B778" s="57" t="s">
        <v>578</v>
      </c>
      <c r="C778" s="58">
        <v>5.4887066325003189E-2</v>
      </c>
      <c r="D778" s="340">
        <f t="shared" si="72"/>
        <v>1.6466119897500957</v>
      </c>
      <c r="E778" s="330"/>
      <c r="F778" s="331"/>
      <c r="G778" s="332"/>
      <c r="H778" s="333"/>
      <c r="I778" s="332"/>
      <c r="J778" s="53"/>
      <c r="K778">
        <f t="shared" si="73"/>
        <v>0</v>
      </c>
      <c r="L778">
        <f t="shared" si="74"/>
        <v>0</v>
      </c>
      <c r="M778">
        <f t="shared" si="75"/>
        <v>0</v>
      </c>
      <c r="N778">
        <f t="shared" si="76"/>
        <v>0</v>
      </c>
    </row>
    <row r="779" spans="1:14">
      <c r="A779" s="405"/>
      <c r="B779" s="57"/>
      <c r="C779" s="59"/>
      <c r="D779" s="340"/>
      <c r="E779" s="330"/>
      <c r="F779" s="331"/>
      <c r="G779" s="332"/>
      <c r="H779" s="333"/>
      <c r="I779" s="332"/>
      <c r="J779" s="53"/>
      <c r="K779">
        <f t="shared" si="73"/>
        <v>0</v>
      </c>
      <c r="L779">
        <f t="shared" si="74"/>
        <v>0</v>
      </c>
      <c r="M779">
        <f t="shared" si="75"/>
        <v>0</v>
      </c>
      <c r="N779">
        <f t="shared" si="76"/>
        <v>0</v>
      </c>
    </row>
    <row r="780" spans="1:14">
      <c r="A780" s="405"/>
      <c r="B780" s="406"/>
      <c r="C780" s="259"/>
      <c r="D780" s="407"/>
      <c r="E780" s="408"/>
      <c r="F780" s="413"/>
      <c r="G780" s="414"/>
      <c r="H780" s="415"/>
      <c r="I780" s="414"/>
      <c r="J780" s="53"/>
      <c r="K780">
        <f t="shared" si="73"/>
        <v>0</v>
      </c>
      <c r="L780">
        <f t="shared" si="74"/>
        <v>0</v>
      </c>
      <c r="M780">
        <f t="shared" si="75"/>
        <v>0</v>
      </c>
      <c r="N780">
        <f t="shared" si="76"/>
        <v>0</v>
      </c>
    </row>
    <row r="781" spans="1:14" ht="13.5" thickBot="1">
      <c r="A781" s="383"/>
      <c r="B781" s="410"/>
      <c r="C781" s="267"/>
      <c r="D781" s="411"/>
      <c r="E781" s="412"/>
      <c r="F781" s="416"/>
      <c r="G781" s="417"/>
      <c r="H781" s="418"/>
      <c r="I781" s="417"/>
      <c r="J781" s="53"/>
      <c r="K781">
        <f t="shared" si="73"/>
        <v>0</v>
      </c>
      <c r="L781">
        <f t="shared" si="74"/>
        <v>0</v>
      </c>
      <c r="M781">
        <f t="shared" si="75"/>
        <v>0</v>
      </c>
      <c r="N781">
        <f t="shared" si="76"/>
        <v>0</v>
      </c>
    </row>
    <row r="782" spans="1:14" ht="12" customHeight="1" thickTop="1">
      <c r="A782" s="888"/>
      <c r="B782" s="885" t="s">
        <v>430</v>
      </c>
      <c r="C782" s="893" t="s">
        <v>636</v>
      </c>
      <c r="D782" s="873"/>
      <c r="E782" s="894"/>
      <c r="F782" s="873" t="s">
        <v>263</v>
      </c>
      <c r="G782" s="873"/>
      <c r="H782" s="880"/>
      <c r="J782" s="53"/>
      <c r="K782">
        <f t="shared" si="73"/>
        <v>0</v>
      </c>
      <c r="L782">
        <f t="shared" si="74"/>
        <v>0</v>
      </c>
      <c r="M782">
        <f t="shared" si="75"/>
        <v>0</v>
      </c>
      <c r="N782">
        <f t="shared" si="76"/>
        <v>0</v>
      </c>
    </row>
    <row r="783" spans="1:14" ht="12" customHeight="1" thickBot="1">
      <c r="A783" s="1148"/>
      <c r="B783" s="886"/>
      <c r="C783" s="895"/>
      <c r="D783" s="896"/>
      <c r="E783" s="897"/>
      <c r="F783" s="881"/>
      <c r="G783" s="881"/>
      <c r="H783" s="882"/>
      <c r="J783" s="53"/>
      <c r="K783">
        <f t="shared" si="73"/>
        <v>0</v>
      </c>
      <c r="L783">
        <f t="shared" si="74"/>
        <v>0</v>
      </c>
      <c r="M783">
        <f t="shared" si="75"/>
        <v>0</v>
      </c>
      <c r="N783">
        <f t="shared" si="76"/>
        <v>0</v>
      </c>
    </row>
    <row r="784" spans="1:14" ht="12" customHeight="1" thickBot="1">
      <c r="A784" s="1149"/>
      <c r="B784" s="887"/>
      <c r="C784" s="44" t="s">
        <v>639</v>
      </c>
      <c r="D784" s="45" t="s">
        <v>640</v>
      </c>
      <c r="E784" s="126"/>
      <c r="F784" s="883"/>
      <c r="G784" s="883"/>
      <c r="H784" s="884"/>
      <c r="J784" s="53"/>
      <c r="K784">
        <f t="shared" si="73"/>
        <v>0</v>
      </c>
      <c r="L784">
        <f t="shared" si="74"/>
        <v>0</v>
      </c>
      <c r="M784">
        <f t="shared" si="75"/>
        <v>0</v>
      </c>
      <c r="N784">
        <f t="shared" si="76"/>
        <v>0</v>
      </c>
    </row>
    <row r="785" spans="1:14" ht="13.5" thickTop="1">
      <c r="A785" s="405"/>
      <c r="B785" s="870" t="s">
        <v>293</v>
      </c>
      <c r="C785" s="898"/>
      <c r="D785" s="891"/>
      <c r="E785" s="892"/>
      <c r="F785" s="321"/>
      <c r="G785" s="322"/>
      <c r="H785" s="323"/>
      <c r="I785" s="322"/>
      <c r="J785" s="53"/>
      <c r="K785">
        <f t="shared" si="73"/>
        <v>0</v>
      </c>
      <c r="L785">
        <f t="shared" si="74"/>
        <v>0</v>
      </c>
      <c r="M785">
        <f t="shared" si="75"/>
        <v>0</v>
      </c>
      <c r="N785">
        <f t="shared" si="76"/>
        <v>0</v>
      </c>
    </row>
    <row r="786" spans="1:14">
      <c r="A786" s="405"/>
      <c r="B786" s="871"/>
      <c r="C786" s="898"/>
      <c r="D786" s="891"/>
      <c r="E786" s="892"/>
      <c r="F786" s="321"/>
      <c r="G786" s="322"/>
      <c r="H786" s="323"/>
      <c r="I786" s="322"/>
      <c r="J786" s="53"/>
      <c r="K786">
        <f t="shared" si="73"/>
        <v>0</v>
      </c>
      <c r="L786">
        <f t="shared" si="74"/>
        <v>0</v>
      </c>
      <c r="M786">
        <f t="shared" si="75"/>
        <v>0</v>
      </c>
      <c r="N786">
        <f t="shared" si="76"/>
        <v>0</v>
      </c>
    </row>
    <row r="787" spans="1:14">
      <c r="A787" s="405"/>
      <c r="B787" s="57" t="s">
        <v>294</v>
      </c>
      <c r="C787" s="58">
        <v>0.1312650911955712</v>
      </c>
      <c r="D787" s="340">
        <f t="shared" ref="D787:D813" si="77">C787*30</f>
        <v>3.9379527358671358</v>
      </c>
      <c r="E787" s="330"/>
      <c r="F787" s="331"/>
      <c r="G787" s="332"/>
      <c r="H787" s="333"/>
      <c r="I787" s="332"/>
      <c r="J787" s="53"/>
      <c r="K787">
        <f t="shared" si="73"/>
        <v>0</v>
      </c>
      <c r="L787">
        <f t="shared" si="74"/>
        <v>0</v>
      </c>
      <c r="M787">
        <f t="shared" si="75"/>
        <v>0</v>
      </c>
      <c r="N787">
        <f t="shared" si="76"/>
        <v>0</v>
      </c>
    </row>
    <row r="788" spans="1:14">
      <c r="A788" s="405"/>
      <c r="B788" s="57" t="s">
        <v>295</v>
      </c>
      <c r="C788" s="58">
        <v>0.17251476280640191</v>
      </c>
      <c r="D788" s="340">
        <f t="shared" si="77"/>
        <v>5.1754428841920568</v>
      </c>
      <c r="E788" s="330"/>
      <c r="F788" s="331"/>
      <c r="G788" s="332"/>
      <c r="H788" s="333"/>
      <c r="I788" s="332"/>
      <c r="J788" s="53"/>
      <c r="K788">
        <f t="shared" si="73"/>
        <v>0</v>
      </c>
      <c r="L788">
        <f t="shared" si="74"/>
        <v>0</v>
      </c>
      <c r="M788">
        <f t="shared" si="75"/>
        <v>0</v>
      </c>
      <c r="N788">
        <f t="shared" si="76"/>
        <v>0</v>
      </c>
    </row>
    <row r="789" spans="1:14">
      <c r="A789" s="405"/>
      <c r="B789" s="57" t="s">
        <v>296</v>
      </c>
      <c r="C789" s="58">
        <v>4.4375429387977498E-2</v>
      </c>
      <c r="D789" s="340">
        <f t="shared" si="77"/>
        <v>1.331262881639325</v>
      </c>
      <c r="E789" s="330"/>
      <c r="F789" s="331"/>
      <c r="G789" s="332"/>
      <c r="H789" s="333"/>
      <c r="I789" s="332"/>
      <c r="J789" s="53"/>
      <c r="K789">
        <f t="shared" si="73"/>
        <v>0</v>
      </c>
      <c r="L789">
        <f t="shared" si="74"/>
        <v>0</v>
      </c>
      <c r="M789">
        <f t="shared" si="75"/>
        <v>0</v>
      </c>
      <c r="N789">
        <f t="shared" si="76"/>
        <v>0</v>
      </c>
    </row>
    <row r="790" spans="1:14">
      <c r="A790" s="405"/>
      <c r="B790" s="57" t="s">
        <v>297</v>
      </c>
      <c r="C790" s="58">
        <v>3.8122038141874183E-2</v>
      </c>
      <c r="D790" s="340">
        <f t="shared" si="77"/>
        <v>1.1436611442562254</v>
      </c>
      <c r="E790" s="330"/>
      <c r="F790" s="331"/>
      <c r="G790" s="332"/>
      <c r="H790" s="333"/>
      <c r="I790" s="332"/>
      <c r="J790" s="53"/>
      <c r="K790">
        <f t="shared" si="73"/>
        <v>0</v>
      </c>
      <c r="L790">
        <f t="shared" si="74"/>
        <v>0</v>
      </c>
      <c r="M790">
        <f t="shared" si="75"/>
        <v>0</v>
      </c>
      <c r="N790">
        <f t="shared" si="76"/>
        <v>0</v>
      </c>
    </row>
    <row r="791" spans="1:14">
      <c r="A791" s="405"/>
      <c r="B791" s="57" t="s">
        <v>298</v>
      </c>
      <c r="C791" s="58">
        <v>9.534872617288451E-3</v>
      </c>
      <c r="D791" s="340">
        <f t="shared" si="77"/>
        <v>0.28604617851865355</v>
      </c>
      <c r="E791" s="330"/>
      <c r="F791" s="331"/>
      <c r="G791" s="332"/>
      <c r="H791" s="333"/>
      <c r="I791" s="332"/>
      <c r="J791" s="53"/>
      <c r="K791">
        <f t="shared" si="73"/>
        <v>0</v>
      </c>
      <c r="L791">
        <f t="shared" si="74"/>
        <v>0</v>
      </c>
      <c r="M791">
        <f t="shared" si="75"/>
        <v>0</v>
      </c>
      <c r="N791">
        <f t="shared" si="76"/>
        <v>0</v>
      </c>
    </row>
    <row r="792" spans="1:14">
      <c r="A792" s="405"/>
      <c r="B792" s="57" t="s">
        <v>299</v>
      </c>
      <c r="C792" s="58">
        <v>1.1992884186082924E-2</v>
      </c>
      <c r="D792" s="340">
        <f t="shared" si="77"/>
        <v>0.35978652558248769</v>
      </c>
      <c r="E792" s="330"/>
      <c r="F792" s="331"/>
      <c r="G792" s="332"/>
      <c r="H792" s="333"/>
      <c r="I792" s="332"/>
      <c r="J792" s="53"/>
      <c r="K792">
        <f t="shared" si="73"/>
        <v>0</v>
      </c>
      <c r="L792">
        <f t="shared" si="74"/>
        <v>0</v>
      </c>
      <c r="M792">
        <f t="shared" si="75"/>
        <v>0</v>
      </c>
      <c r="N792">
        <f t="shared" si="76"/>
        <v>0</v>
      </c>
    </row>
    <row r="793" spans="1:14">
      <c r="A793" s="405"/>
      <c r="B793" s="57" t="s">
        <v>300</v>
      </c>
      <c r="C793" s="58">
        <v>9.4122129839557436E-2</v>
      </c>
      <c r="D793" s="340">
        <f t="shared" si="77"/>
        <v>2.8236638951867232</v>
      </c>
      <c r="E793" s="330"/>
      <c r="F793" s="331"/>
      <c r="G793" s="332"/>
      <c r="H793" s="333"/>
      <c r="I793" s="332"/>
      <c r="J793" s="53"/>
      <c r="K793">
        <f t="shared" si="73"/>
        <v>0</v>
      </c>
      <c r="L793">
        <f t="shared" si="74"/>
        <v>0</v>
      </c>
      <c r="M793">
        <f t="shared" si="75"/>
        <v>0</v>
      </c>
      <c r="N793">
        <f t="shared" si="76"/>
        <v>0</v>
      </c>
    </row>
    <row r="794" spans="1:14">
      <c r="A794" s="405"/>
      <c r="B794" s="57" t="s">
        <v>301</v>
      </c>
      <c r="C794" s="58">
        <v>2.0477579598477246E-2</v>
      </c>
      <c r="D794" s="340">
        <f t="shared" si="77"/>
        <v>0.61432738795431741</v>
      </c>
      <c r="E794" s="330"/>
      <c r="F794" s="331"/>
      <c r="G794" s="332"/>
      <c r="H794" s="333"/>
      <c r="I794" s="332"/>
      <c r="J794" s="53"/>
      <c r="K794">
        <f t="shared" si="73"/>
        <v>0</v>
      </c>
      <c r="L794">
        <f t="shared" si="74"/>
        <v>0</v>
      </c>
      <c r="M794">
        <f t="shared" si="75"/>
        <v>0</v>
      </c>
      <c r="N794">
        <f t="shared" si="76"/>
        <v>0</v>
      </c>
    </row>
    <row r="795" spans="1:14">
      <c r="A795" s="405"/>
      <c r="B795" s="57" t="s">
        <v>302</v>
      </c>
      <c r="C795" s="58">
        <v>2.4312271877275034E-2</v>
      </c>
      <c r="D795" s="340">
        <f t="shared" si="77"/>
        <v>0.72936815631825103</v>
      </c>
      <c r="E795" s="330"/>
      <c r="F795" s="331"/>
      <c r="G795" s="332"/>
      <c r="H795" s="333"/>
      <c r="I795" s="332"/>
      <c r="J795" s="53"/>
      <c r="K795">
        <f t="shared" si="73"/>
        <v>0</v>
      </c>
      <c r="L795">
        <f t="shared" si="74"/>
        <v>0</v>
      </c>
      <c r="M795">
        <f t="shared" si="75"/>
        <v>0</v>
      </c>
      <c r="N795">
        <f t="shared" si="76"/>
        <v>0</v>
      </c>
    </row>
    <row r="796" spans="1:14">
      <c r="A796" s="405"/>
      <c r="B796" s="57" t="s">
        <v>303</v>
      </c>
      <c r="C796" s="58">
        <v>2.27096801180998E-2</v>
      </c>
      <c r="D796" s="340">
        <f t="shared" si="77"/>
        <v>0.68129040354299397</v>
      </c>
      <c r="E796" s="330"/>
      <c r="F796" s="331"/>
      <c r="G796" s="332"/>
      <c r="H796" s="333"/>
      <c r="I796" s="332"/>
      <c r="J796" s="53"/>
      <c r="K796">
        <f t="shared" si="73"/>
        <v>0</v>
      </c>
      <c r="L796">
        <f t="shared" si="74"/>
        <v>0</v>
      </c>
      <c r="M796">
        <f t="shared" si="75"/>
        <v>0</v>
      </c>
      <c r="N796">
        <f t="shared" si="76"/>
        <v>0</v>
      </c>
    </row>
    <row r="797" spans="1:14">
      <c r="A797" s="405"/>
      <c r="B797" s="57" t="s">
        <v>304</v>
      </c>
      <c r="C797" s="58">
        <v>1.7045344066081557E-2</v>
      </c>
      <c r="D797" s="340">
        <f t="shared" si="77"/>
        <v>0.51136032198244674</v>
      </c>
      <c r="E797" s="330"/>
      <c r="F797" s="331"/>
      <c r="G797" s="332"/>
      <c r="H797" s="333"/>
      <c r="I797" s="332"/>
      <c r="J797" s="53"/>
      <c r="K797">
        <f t="shared" si="73"/>
        <v>0</v>
      </c>
      <c r="L797">
        <f t="shared" si="74"/>
        <v>0</v>
      </c>
      <c r="M797">
        <f t="shared" si="75"/>
        <v>0</v>
      </c>
      <c r="N797">
        <f t="shared" si="76"/>
        <v>0</v>
      </c>
    </row>
    <row r="798" spans="1:14">
      <c r="A798" s="405"/>
      <c r="B798" s="57" t="s">
        <v>305</v>
      </c>
      <c r="C798" s="58">
        <v>1.7642584786980345E-2</v>
      </c>
      <c r="D798" s="340">
        <f t="shared" si="77"/>
        <v>0.52927754360941037</v>
      </c>
      <c r="E798" s="330"/>
      <c r="F798" s="331"/>
      <c r="G798" s="332"/>
      <c r="H798" s="333"/>
      <c r="I798" s="332"/>
      <c r="J798" s="53"/>
      <c r="K798">
        <f t="shared" si="73"/>
        <v>0</v>
      </c>
      <c r="L798">
        <f t="shared" si="74"/>
        <v>0</v>
      </c>
      <c r="M798">
        <f t="shared" si="75"/>
        <v>0</v>
      </c>
      <c r="N798">
        <f t="shared" si="76"/>
        <v>0</v>
      </c>
    </row>
    <row r="799" spans="1:14">
      <c r="A799" s="405"/>
      <c r="B799" s="57" t="s">
        <v>306</v>
      </c>
      <c r="C799" s="58">
        <v>1.8143704733946133E-2</v>
      </c>
      <c r="D799" s="340">
        <f t="shared" si="77"/>
        <v>0.54431114201838404</v>
      </c>
      <c r="E799" s="330"/>
      <c r="F799" s="331"/>
      <c r="G799" s="332"/>
      <c r="H799" s="333"/>
      <c r="I799" s="332"/>
      <c r="J799" s="53"/>
      <c r="K799">
        <f t="shared" si="73"/>
        <v>0</v>
      </c>
      <c r="L799">
        <f t="shared" si="74"/>
        <v>0</v>
      </c>
      <c r="M799">
        <f t="shared" si="75"/>
        <v>0</v>
      </c>
      <c r="N799">
        <f t="shared" si="76"/>
        <v>0</v>
      </c>
    </row>
    <row r="800" spans="1:14">
      <c r="A800" s="405"/>
      <c r="B800" s="57" t="s">
        <v>307</v>
      </c>
      <c r="C800" s="58">
        <v>1.9842703884938948E-2</v>
      </c>
      <c r="D800" s="340">
        <f t="shared" si="77"/>
        <v>0.5952811165481684</v>
      </c>
      <c r="E800" s="330"/>
      <c r="F800" s="331"/>
      <c r="G800" s="332"/>
      <c r="H800" s="333"/>
      <c r="I800" s="332"/>
      <c r="J800" s="53"/>
      <c r="K800">
        <f t="shared" si="73"/>
        <v>0</v>
      </c>
      <c r="L800">
        <f t="shared" si="74"/>
        <v>0</v>
      </c>
      <c r="M800">
        <f t="shared" si="75"/>
        <v>0</v>
      </c>
      <c r="N800">
        <f t="shared" si="76"/>
        <v>0</v>
      </c>
    </row>
    <row r="801" spans="1:14">
      <c r="A801" s="405"/>
      <c r="B801" s="57" t="s">
        <v>308</v>
      </c>
      <c r="C801" s="58">
        <v>0.14701790476633664</v>
      </c>
      <c r="D801" s="340">
        <f t="shared" si="77"/>
        <v>4.4105371429900995</v>
      </c>
      <c r="E801" s="330"/>
      <c r="F801" s="331"/>
      <c r="G801" s="332"/>
      <c r="H801" s="333"/>
      <c r="I801" s="332"/>
      <c r="J801" s="53"/>
      <c r="K801">
        <f t="shared" si="73"/>
        <v>0</v>
      </c>
      <c r="L801">
        <f t="shared" si="74"/>
        <v>0</v>
      </c>
      <c r="M801">
        <f t="shared" si="75"/>
        <v>0</v>
      </c>
      <c r="N801">
        <f t="shared" si="76"/>
        <v>0</v>
      </c>
    </row>
    <row r="802" spans="1:14">
      <c r="A802" s="405"/>
      <c r="B802" s="57" t="s">
        <v>309</v>
      </c>
      <c r="C802" s="58">
        <v>0.18522599234556764</v>
      </c>
      <c r="D802" s="340">
        <f t="shared" si="77"/>
        <v>5.5567797703670294</v>
      </c>
      <c r="E802" s="330"/>
      <c r="F802" s="331"/>
      <c r="G802" s="332"/>
      <c r="H802" s="333"/>
      <c r="I802" s="332"/>
      <c r="J802" s="53"/>
      <c r="K802">
        <f t="shared" si="73"/>
        <v>0</v>
      </c>
      <c r="L802">
        <f t="shared" si="74"/>
        <v>0</v>
      </c>
      <c r="M802">
        <f t="shared" si="75"/>
        <v>0</v>
      </c>
      <c r="N802">
        <f t="shared" si="76"/>
        <v>0</v>
      </c>
    </row>
    <row r="803" spans="1:14">
      <c r="A803" s="405"/>
      <c r="B803" s="57" t="s">
        <v>310</v>
      </c>
      <c r="C803" s="58">
        <v>0.18444461681966187</v>
      </c>
      <c r="D803" s="340">
        <f t="shared" si="77"/>
        <v>5.5333385045898558</v>
      </c>
      <c r="E803" s="330"/>
      <c r="F803" s="331"/>
      <c r="G803" s="332"/>
      <c r="H803" s="333"/>
      <c r="I803" s="332"/>
      <c r="J803" s="53"/>
      <c r="K803">
        <f t="shared" si="73"/>
        <v>0</v>
      </c>
      <c r="L803">
        <f t="shared" si="74"/>
        <v>0</v>
      </c>
      <c r="M803">
        <f t="shared" si="75"/>
        <v>0</v>
      </c>
      <c r="N803">
        <f t="shared" si="76"/>
        <v>0</v>
      </c>
    </row>
    <row r="804" spans="1:14">
      <c r="A804" s="405"/>
      <c r="B804" s="57" t="s">
        <v>311</v>
      </c>
      <c r="C804" s="58">
        <v>0.28364919459826493</v>
      </c>
      <c r="D804" s="340">
        <f t="shared" si="77"/>
        <v>8.5094758379479476</v>
      </c>
      <c r="E804" s="330"/>
      <c r="F804" s="331"/>
      <c r="G804" s="332"/>
      <c r="H804" s="333"/>
      <c r="I804" s="332"/>
      <c r="J804" s="53"/>
      <c r="K804">
        <f t="shared" si="73"/>
        <v>0</v>
      </c>
      <c r="L804">
        <f t="shared" si="74"/>
        <v>0</v>
      </c>
      <c r="M804">
        <f t="shared" si="75"/>
        <v>0</v>
      </c>
      <c r="N804">
        <f t="shared" si="76"/>
        <v>0</v>
      </c>
    </row>
    <row r="805" spans="1:14">
      <c r="A805" s="405"/>
      <c r="B805" s="57" t="s">
        <v>312</v>
      </c>
      <c r="C805" s="58">
        <v>0.29001672695926695</v>
      </c>
      <c r="D805" s="340">
        <f t="shared" si="77"/>
        <v>8.700501808778009</v>
      </c>
      <c r="E805" s="330"/>
      <c r="F805" s="331"/>
      <c r="G805" s="332"/>
      <c r="H805" s="333"/>
      <c r="I805" s="332"/>
      <c r="J805" s="53"/>
      <c r="K805">
        <f t="shared" si="73"/>
        <v>0</v>
      </c>
      <c r="L805">
        <f t="shared" si="74"/>
        <v>0</v>
      </c>
      <c r="M805">
        <f t="shared" si="75"/>
        <v>0</v>
      </c>
      <c r="N805">
        <f t="shared" si="76"/>
        <v>0</v>
      </c>
    </row>
    <row r="806" spans="1:14">
      <c r="A806" s="405"/>
      <c r="B806" s="57" t="s">
        <v>313</v>
      </c>
      <c r="C806" s="58">
        <v>9.5456639121742973E-2</v>
      </c>
      <c r="D806" s="340">
        <f t="shared" si="77"/>
        <v>2.863699173652289</v>
      </c>
      <c r="E806" s="330"/>
      <c r="F806" s="331"/>
      <c r="G806" s="332"/>
      <c r="H806" s="333"/>
      <c r="I806" s="332"/>
      <c r="J806" s="53"/>
      <c r="K806">
        <f t="shared" si="73"/>
        <v>0</v>
      </c>
      <c r="L806">
        <f t="shared" si="74"/>
        <v>0</v>
      </c>
      <c r="M806">
        <f t="shared" si="75"/>
        <v>0</v>
      </c>
      <c r="N806">
        <f t="shared" si="76"/>
        <v>0</v>
      </c>
    </row>
    <row r="807" spans="1:14">
      <c r="A807" s="405"/>
      <c r="B807" s="57" t="s">
        <v>314</v>
      </c>
      <c r="C807" s="58">
        <v>1.0651396547856818E-2</v>
      </c>
      <c r="D807" s="340">
        <f t="shared" si="77"/>
        <v>0.31954189643570452</v>
      </c>
      <c r="E807" s="330"/>
      <c r="F807" s="331"/>
      <c r="G807" s="332"/>
      <c r="H807" s="333"/>
      <c r="I807" s="332"/>
      <c r="J807" s="53"/>
      <c r="K807">
        <f t="shared" si="73"/>
        <v>0</v>
      </c>
      <c r="L807">
        <f t="shared" si="74"/>
        <v>0</v>
      </c>
      <c r="M807">
        <f t="shared" si="75"/>
        <v>0</v>
      </c>
      <c r="N807">
        <f t="shared" si="76"/>
        <v>0</v>
      </c>
    </row>
    <row r="808" spans="1:14">
      <c r="A808" s="405"/>
      <c r="B808" s="57" t="s">
        <v>315</v>
      </c>
      <c r="C808" s="58">
        <v>8.9589943813736042E-2</v>
      </c>
      <c r="D808" s="340">
        <f t="shared" si="77"/>
        <v>2.6876983144120814</v>
      </c>
      <c r="E808" s="330"/>
      <c r="F808" s="331"/>
      <c r="G808" s="332"/>
      <c r="H808" s="333"/>
      <c r="I808" s="332"/>
      <c r="J808" s="53"/>
      <c r="K808">
        <f t="shared" si="73"/>
        <v>0</v>
      </c>
      <c r="L808">
        <f t="shared" si="74"/>
        <v>0</v>
      </c>
      <c r="M808">
        <f t="shared" si="75"/>
        <v>0</v>
      </c>
      <c r="N808">
        <f t="shared" si="76"/>
        <v>0</v>
      </c>
    </row>
    <row r="809" spans="1:14">
      <c r="A809" s="405"/>
      <c r="B809" s="57" t="s">
        <v>316</v>
      </c>
      <c r="C809" s="58">
        <v>0.10426884380214792</v>
      </c>
      <c r="D809" s="340">
        <f t="shared" si="77"/>
        <v>3.1280653140644374</v>
      </c>
      <c r="E809" s="330"/>
      <c r="F809" s="331"/>
      <c r="G809" s="332"/>
      <c r="H809" s="333"/>
      <c r="I809" s="332"/>
      <c r="J809" s="53"/>
      <c r="K809">
        <f t="shared" si="73"/>
        <v>0</v>
      </c>
      <c r="L809">
        <f t="shared" si="74"/>
        <v>0</v>
      </c>
      <c r="M809">
        <f t="shared" si="75"/>
        <v>0</v>
      </c>
      <c r="N809">
        <f t="shared" si="76"/>
        <v>0</v>
      </c>
    </row>
    <row r="810" spans="1:14">
      <c r="A810" s="405"/>
      <c r="B810" s="57" t="s">
        <v>317</v>
      </c>
      <c r="C810" s="58">
        <v>0.13635825395398721</v>
      </c>
      <c r="D810" s="340">
        <f t="shared" si="77"/>
        <v>4.0907476186196163</v>
      </c>
      <c r="E810" s="330"/>
      <c r="F810" s="331"/>
      <c r="G810" s="332"/>
      <c r="H810" s="333"/>
      <c r="I810" s="332"/>
      <c r="J810" s="53"/>
      <c r="K810">
        <f t="shared" si="73"/>
        <v>0</v>
      </c>
      <c r="L810">
        <f t="shared" si="74"/>
        <v>0</v>
      </c>
      <c r="M810">
        <f t="shared" si="75"/>
        <v>0</v>
      </c>
      <c r="N810">
        <f t="shared" si="76"/>
        <v>0</v>
      </c>
    </row>
    <row r="811" spans="1:14">
      <c r="A811" s="405"/>
      <c r="B811" s="57" t="s">
        <v>318</v>
      </c>
      <c r="C811" s="58">
        <v>0.15260290395865647</v>
      </c>
      <c r="D811" s="340">
        <f t="shared" si="77"/>
        <v>4.5780871187596945</v>
      </c>
      <c r="E811" s="330"/>
      <c r="F811" s="331"/>
      <c r="G811" s="332"/>
      <c r="H811" s="333"/>
      <c r="I811" s="332"/>
      <c r="J811" s="53"/>
      <c r="K811">
        <f t="shared" si="73"/>
        <v>0</v>
      </c>
      <c r="L811">
        <f t="shared" si="74"/>
        <v>0</v>
      </c>
      <c r="M811">
        <f t="shared" si="75"/>
        <v>0</v>
      </c>
      <c r="N811">
        <f t="shared" si="76"/>
        <v>0</v>
      </c>
    </row>
    <row r="812" spans="1:14">
      <c r="A812" s="405"/>
      <c r="B812" s="57" t="s">
        <v>319</v>
      </c>
      <c r="C812" s="58">
        <v>0.22003756640002295</v>
      </c>
      <c r="D812" s="340">
        <f t="shared" si="77"/>
        <v>6.6011269920006885</v>
      </c>
      <c r="E812" s="330"/>
      <c r="F812" s="331"/>
      <c r="G812" s="332"/>
      <c r="H812" s="333"/>
      <c r="I812" s="332"/>
      <c r="J812" s="53"/>
      <c r="K812">
        <f t="shared" si="73"/>
        <v>0</v>
      </c>
      <c r="L812">
        <f t="shared" si="74"/>
        <v>0</v>
      </c>
      <c r="M812">
        <f t="shared" si="75"/>
        <v>0</v>
      </c>
      <c r="N812">
        <f t="shared" si="76"/>
        <v>0</v>
      </c>
    </row>
    <row r="813" spans="1:14">
      <c r="A813" s="405"/>
      <c r="B813" s="57" t="s">
        <v>320</v>
      </c>
      <c r="C813" s="58">
        <v>0.22166923584838297</v>
      </c>
      <c r="D813" s="340">
        <f t="shared" si="77"/>
        <v>6.6500770754514891</v>
      </c>
      <c r="E813" s="330"/>
      <c r="F813" s="331"/>
      <c r="G813" s="332"/>
      <c r="H813" s="333"/>
      <c r="I813" s="332"/>
      <c r="J813" s="53"/>
      <c r="K813">
        <f t="shared" si="73"/>
        <v>0</v>
      </c>
      <c r="L813">
        <f t="shared" si="74"/>
        <v>0</v>
      </c>
      <c r="M813">
        <f t="shared" si="75"/>
        <v>0</v>
      </c>
      <c r="N813">
        <f t="shared" si="76"/>
        <v>0</v>
      </c>
    </row>
    <row r="814" spans="1:14">
      <c r="A814" s="405"/>
      <c r="B814" s="57"/>
      <c r="C814" s="59"/>
      <c r="D814" s="340"/>
      <c r="E814" s="330"/>
      <c r="F814" s="331"/>
      <c r="G814" s="332"/>
      <c r="H814" s="333"/>
      <c r="I814" s="332"/>
      <c r="J814" s="53"/>
      <c r="K814">
        <f t="shared" si="73"/>
        <v>0</v>
      </c>
      <c r="L814">
        <f t="shared" si="74"/>
        <v>0</v>
      </c>
      <c r="M814">
        <f t="shared" si="75"/>
        <v>0</v>
      </c>
      <c r="N814">
        <f t="shared" si="76"/>
        <v>0</v>
      </c>
    </row>
    <row r="815" spans="1:14">
      <c r="A815" s="405"/>
      <c r="B815" s="57"/>
      <c r="C815" s="59"/>
      <c r="D815" s="340"/>
      <c r="E815" s="330"/>
      <c r="F815" s="331"/>
      <c r="G815" s="332"/>
      <c r="H815" s="333"/>
      <c r="I815" s="332"/>
      <c r="J815" s="53"/>
      <c r="K815">
        <f t="shared" si="73"/>
        <v>0</v>
      </c>
      <c r="L815">
        <f t="shared" si="74"/>
        <v>0</v>
      </c>
      <c r="M815">
        <f t="shared" si="75"/>
        <v>0</v>
      </c>
      <c r="N815">
        <f t="shared" si="76"/>
        <v>0</v>
      </c>
    </row>
    <row r="816" spans="1:14">
      <c r="A816" s="405"/>
      <c r="B816" s="870" t="s">
        <v>321</v>
      </c>
      <c r="C816" s="59"/>
      <c r="D816" s="340"/>
      <c r="E816" s="330"/>
      <c r="F816" s="331"/>
      <c r="G816" s="332"/>
      <c r="H816" s="333"/>
      <c r="I816" s="332"/>
      <c r="J816" s="53"/>
      <c r="K816">
        <f t="shared" si="73"/>
        <v>0</v>
      </c>
      <c r="L816">
        <f t="shared" si="74"/>
        <v>0</v>
      </c>
      <c r="M816">
        <f t="shared" si="75"/>
        <v>0</v>
      </c>
      <c r="N816">
        <f t="shared" si="76"/>
        <v>0</v>
      </c>
    </row>
    <row r="817" spans="1:14">
      <c r="A817" s="405"/>
      <c r="B817" s="871"/>
      <c r="C817" s="59"/>
      <c r="D817" s="340"/>
      <c r="E817" s="330"/>
      <c r="F817" s="331"/>
      <c r="G817" s="332"/>
      <c r="H817" s="333"/>
      <c r="I817" s="332"/>
      <c r="J817" s="53"/>
      <c r="K817">
        <f t="shared" si="73"/>
        <v>0</v>
      </c>
      <c r="L817">
        <f>IF(couleur(B817)=2,L821,IF(couleur(B821)=2,0,J817+L821))</f>
        <v>0</v>
      </c>
      <c r="M817">
        <f t="shared" si="75"/>
        <v>0</v>
      </c>
      <c r="N817">
        <f t="shared" si="76"/>
        <v>0</v>
      </c>
    </row>
    <row r="818" spans="1:14">
      <c r="A818" s="405"/>
      <c r="B818" s="57" t="s">
        <v>447</v>
      </c>
      <c r="C818" s="58">
        <v>0.5433938465357433</v>
      </c>
      <c r="D818" s="340">
        <f>C818*30</f>
        <v>16.3018153960723</v>
      </c>
      <c r="E818" s="330"/>
      <c r="F818" s="331"/>
      <c r="G818" s="332"/>
      <c r="H818" s="333">
        <f t="shared" ref="H818:H833" si="78">D818*J818+H817</f>
        <v>0</v>
      </c>
      <c r="I818" s="332">
        <v>0</v>
      </c>
      <c r="J818" s="53"/>
      <c r="K818">
        <f>IF(M818&gt;0,1,0)</f>
        <v>0</v>
      </c>
      <c r="L818">
        <f>IF(couleur(B818)=2,L822,IF(couleur(B822)=2,0,J818+L822))</f>
        <v>0</v>
      </c>
      <c r="M818">
        <f>IF(couleur(B818)=2,L818,J818)</f>
        <v>0</v>
      </c>
      <c r="N818">
        <f>IF(ISNUMBER(C818),J818*C818,0)</f>
        <v>0</v>
      </c>
    </row>
    <row r="819" spans="1:14">
      <c r="A819" s="405"/>
      <c r="B819" s="57" t="s">
        <v>448</v>
      </c>
      <c r="C819" s="58">
        <v>0.31634995335174665</v>
      </c>
      <c r="D819" s="340">
        <f>C819*30</f>
        <v>9.4904986005523995</v>
      </c>
      <c r="E819" s="330"/>
      <c r="F819" s="331"/>
      <c r="G819" s="332"/>
      <c r="H819" s="333">
        <f t="shared" si="78"/>
        <v>0</v>
      </c>
      <c r="I819" s="332"/>
      <c r="J819" s="53"/>
      <c r="K819">
        <f>IF(M819&gt;0,1,0)</f>
        <v>0</v>
      </c>
      <c r="L819">
        <f>IF(couleur(B819)=2,L823,IF(couleur(B823)=2,0,J819+L823))</f>
        <v>0</v>
      </c>
      <c r="M819">
        <f>IF(couleur(B819)=2,L819,J819)</f>
        <v>0</v>
      </c>
      <c r="N819">
        <f>IF(ISNUMBER(C819),J819*C819,0)</f>
        <v>0</v>
      </c>
    </row>
    <row r="820" spans="1:14">
      <c r="A820" s="405"/>
      <c r="B820" s="57" t="s">
        <v>449</v>
      </c>
      <c r="C820" s="58">
        <v>0.51860839838145156</v>
      </c>
      <c r="D820" s="340">
        <f>C820*30</f>
        <v>15.558251951443546</v>
      </c>
      <c r="E820" s="330"/>
      <c r="F820" s="331"/>
      <c r="G820" s="332"/>
      <c r="H820" s="333">
        <f t="shared" si="78"/>
        <v>0</v>
      </c>
      <c r="I820" s="332"/>
      <c r="J820" s="53"/>
      <c r="K820">
        <f>IF(M820&gt;0,1,0)</f>
        <v>0</v>
      </c>
      <c r="L820">
        <f>IF(couleur(B820)=2,L824,IF(couleur(B824)=2,0,J820+L824))</f>
        <v>0</v>
      </c>
      <c r="M820">
        <f>IF(couleur(B820)=2,L820,J820)</f>
        <v>0</v>
      </c>
      <c r="N820">
        <f>IF(ISNUMBER(C820),J820*C820,0)</f>
        <v>0</v>
      </c>
    </row>
    <row r="821" spans="1:14">
      <c r="A821" s="405"/>
      <c r="B821" s="57" t="s">
        <v>322</v>
      </c>
      <c r="C821" s="58">
        <v>4.5585516903148056E-2</v>
      </c>
      <c r="D821" s="340">
        <f>C821*30</f>
        <v>1.3675655070944417</v>
      </c>
      <c r="E821" s="330"/>
      <c r="F821" s="331"/>
      <c r="G821" s="332"/>
      <c r="H821" s="333">
        <f t="shared" si="78"/>
        <v>0</v>
      </c>
      <c r="I821" s="332"/>
      <c r="J821" s="53"/>
      <c r="K821">
        <f t="shared" si="73"/>
        <v>0</v>
      </c>
      <c r="L821">
        <f t="shared" si="74"/>
        <v>0</v>
      </c>
      <c r="M821">
        <f t="shared" si="75"/>
        <v>0</v>
      </c>
      <c r="N821">
        <f t="shared" si="76"/>
        <v>0</v>
      </c>
    </row>
    <row r="822" spans="1:14">
      <c r="A822" s="405"/>
      <c r="B822" s="57" t="s">
        <v>323</v>
      </c>
      <c r="C822" s="58">
        <v>5.1403832019057384E-2</v>
      </c>
      <c r="D822" s="340">
        <f t="shared" ref="D822:D835" si="79">C822*30</f>
        <v>1.5421149605717215</v>
      </c>
      <c r="E822" s="330"/>
      <c r="F822" s="331"/>
      <c r="G822" s="332"/>
      <c r="H822" s="333">
        <f t="shared" si="78"/>
        <v>0</v>
      </c>
      <c r="I822" s="332">
        <v>2</v>
      </c>
      <c r="J822" s="53"/>
      <c r="K822">
        <f t="shared" si="73"/>
        <v>0</v>
      </c>
      <c r="L822">
        <f t="shared" si="74"/>
        <v>0</v>
      </c>
      <c r="M822">
        <f t="shared" si="75"/>
        <v>0</v>
      </c>
      <c r="N822">
        <f t="shared" si="76"/>
        <v>0</v>
      </c>
    </row>
    <row r="823" spans="1:14">
      <c r="A823" s="405"/>
      <c r="B823" s="57" t="s">
        <v>324</v>
      </c>
      <c r="C823" s="58">
        <v>2.3659011665009319E-2</v>
      </c>
      <c r="D823" s="340">
        <f t="shared" si="79"/>
        <v>0.70977034995027954</v>
      </c>
      <c r="E823" s="330"/>
      <c r="F823" s="331"/>
      <c r="G823" s="332"/>
      <c r="H823" s="333">
        <f t="shared" si="78"/>
        <v>0</v>
      </c>
      <c r="I823" s="332"/>
      <c r="J823" s="53"/>
      <c r="K823">
        <f t="shared" si="73"/>
        <v>0</v>
      </c>
      <c r="L823">
        <f t="shared" si="74"/>
        <v>0</v>
      </c>
      <c r="M823">
        <f t="shared" si="75"/>
        <v>0</v>
      </c>
      <c r="N823">
        <f t="shared" si="76"/>
        <v>0</v>
      </c>
    </row>
    <row r="824" spans="1:14">
      <c r="A824" s="405"/>
      <c r="B824" s="57" t="s">
        <v>325</v>
      </c>
      <c r="C824" s="58">
        <v>3.599830508475934E-2</v>
      </c>
      <c r="D824" s="340">
        <f t="shared" si="79"/>
        <v>1.0799491525427802</v>
      </c>
      <c r="E824" s="330"/>
      <c r="F824" s="331"/>
      <c r="G824" s="332"/>
      <c r="H824" s="333">
        <f t="shared" si="78"/>
        <v>0</v>
      </c>
      <c r="I824" s="332">
        <v>4</v>
      </c>
      <c r="J824" s="53"/>
      <c r="K824">
        <f t="shared" si="73"/>
        <v>0</v>
      </c>
      <c r="L824">
        <f t="shared" si="74"/>
        <v>0</v>
      </c>
      <c r="M824">
        <f t="shared" si="75"/>
        <v>0</v>
      </c>
      <c r="N824">
        <f t="shared" si="76"/>
        <v>0</v>
      </c>
    </row>
    <row r="825" spans="1:14">
      <c r="A825" s="405"/>
      <c r="B825" s="57" t="s">
        <v>326</v>
      </c>
      <c r="C825" s="58">
        <v>3.2622199421488932E-2</v>
      </c>
      <c r="D825" s="340">
        <f t="shared" si="79"/>
        <v>0.97866598264466798</v>
      </c>
      <c r="E825" s="330"/>
      <c r="F825" s="331"/>
      <c r="G825" s="332"/>
      <c r="H825" s="333">
        <f t="shared" si="78"/>
        <v>0</v>
      </c>
      <c r="I825" s="332"/>
      <c r="J825" s="53"/>
      <c r="K825">
        <f t="shared" si="73"/>
        <v>0</v>
      </c>
      <c r="L825">
        <f t="shared" si="74"/>
        <v>0</v>
      </c>
      <c r="M825">
        <f t="shared" si="75"/>
        <v>0</v>
      </c>
      <c r="N825">
        <f t="shared" si="76"/>
        <v>0</v>
      </c>
    </row>
    <row r="826" spans="1:14">
      <c r="A826" s="405"/>
      <c r="B826" s="57" t="s">
        <v>327</v>
      </c>
      <c r="C826" s="58">
        <v>1.0629493480942203E-2</v>
      </c>
      <c r="D826" s="340">
        <f t="shared" si="79"/>
        <v>0.31888480442826611</v>
      </c>
      <c r="E826" s="330"/>
      <c r="F826" s="331"/>
      <c r="G826" s="332"/>
      <c r="H826" s="333">
        <f t="shared" si="78"/>
        <v>0</v>
      </c>
      <c r="I826" s="332"/>
      <c r="J826" s="53"/>
      <c r="K826">
        <f t="shared" si="73"/>
        <v>0</v>
      </c>
      <c r="L826">
        <f t="shared" si="74"/>
        <v>0</v>
      </c>
      <c r="M826">
        <f t="shared" si="75"/>
        <v>0</v>
      </c>
      <c r="N826">
        <f t="shared" si="76"/>
        <v>0</v>
      </c>
    </row>
    <row r="827" spans="1:14">
      <c r="A827" s="405"/>
      <c r="B827" s="57" t="s">
        <v>328</v>
      </c>
      <c r="C827" s="58">
        <v>0.16017195500044337</v>
      </c>
      <c r="D827" s="340">
        <f t="shared" si="79"/>
        <v>4.8051586500133014</v>
      </c>
      <c r="E827" s="330"/>
      <c r="F827" s="331"/>
      <c r="G827" s="332"/>
      <c r="H827" s="333">
        <f t="shared" si="78"/>
        <v>0</v>
      </c>
      <c r="I827" s="332"/>
      <c r="J827" s="53"/>
      <c r="K827">
        <f t="shared" si="73"/>
        <v>0</v>
      </c>
      <c r="L827">
        <f t="shared" si="74"/>
        <v>0</v>
      </c>
      <c r="M827">
        <f t="shared" si="75"/>
        <v>0</v>
      </c>
      <c r="N827">
        <f t="shared" si="76"/>
        <v>0</v>
      </c>
    </row>
    <row r="828" spans="1:14">
      <c r="A828" s="405"/>
      <c r="B828" s="57" t="s">
        <v>329</v>
      </c>
      <c r="C828" s="58">
        <v>0.12408789548363584</v>
      </c>
      <c r="D828" s="340">
        <f t="shared" si="79"/>
        <v>3.7226368645090755</v>
      </c>
      <c r="E828" s="330"/>
      <c r="F828" s="331"/>
      <c r="G828" s="332"/>
      <c r="H828" s="333">
        <f t="shared" si="78"/>
        <v>0</v>
      </c>
      <c r="I828" s="332">
        <v>1</v>
      </c>
      <c r="J828" s="53"/>
      <c r="K828">
        <f t="shared" si="73"/>
        <v>0</v>
      </c>
      <c r="L828">
        <f t="shared" si="74"/>
        <v>0</v>
      </c>
      <c r="M828">
        <f t="shared" si="75"/>
        <v>0</v>
      </c>
      <c r="N828">
        <f t="shared" si="76"/>
        <v>0</v>
      </c>
    </row>
    <row r="829" spans="1:14">
      <c r="A829" s="405"/>
      <c r="B829" s="57" t="s">
        <v>330</v>
      </c>
      <c r="C829" s="58">
        <v>6.0146696393776455E-2</v>
      </c>
      <c r="D829" s="340">
        <f t="shared" si="79"/>
        <v>1.8044008918132937</v>
      </c>
      <c r="E829" s="330"/>
      <c r="F829" s="331"/>
      <c r="G829" s="332"/>
      <c r="H829" s="333">
        <f t="shared" si="78"/>
        <v>0</v>
      </c>
      <c r="I829" s="332"/>
      <c r="J829" s="53"/>
      <c r="K829">
        <f t="shared" si="73"/>
        <v>0</v>
      </c>
      <c r="L829">
        <f t="shared" si="74"/>
        <v>0</v>
      </c>
      <c r="M829">
        <f t="shared" si="75"/>
        <v>0</v>
      </c>
      <c r="N829">
        <f t="shared" si="76"/>
        <v>0</v>
      </c>
    </row>
    <row r="830" spans="1:14">
      <c r="A830" s="405"/>
      <c r="B830" s="57" t="s">
        <v>331</v>
      </c>
      <c r="C830" s="58">
        <v>6.3241207278542128E-2</v>
      </c>
      <c r="D830" s="340">
        <f t="shared" si="79"/>
        <v>1.8972362183562639</v>
      </c>
      <c r="E830" s="330"/>
      <c r="F830" s="331"/>
      <c r="G830" s="332"/>
      <c r="H830" s="333">
        <f t="shared" si="78"/>
        <v>0</v>
      </c>
      <c r="I830" s="332"/>
      <c r="J830" s="53"/>
      <c r="K830">
        <f t="shared" si="73"/>
        <v>0</v>
      </c>
      <c r="L830">
        <f t="shared" si="74"/>
        <v>0</v>
      </c>
      <c r="M830">
        <f t="shared" si="75"/>
        <v>0</v>
      </c>
      <c r="N830">
        <f t="shared" si="76"/>
        <v>0</v>
      </c>
    </row>
    <row r="831" spans="1:14">
      <c r="A831" s="405"/>
      <c r="B831" s="57" t="s">
        <v>332</v>
      </c>
      <c r="C831" s="58">
        <v>5.869383880182575E-2</v>
      </c>
      <c r="D831" s="340">
        <f t="shared" si="79"/>
        <v>1.7608151640547725</v>
      </c>
      <c r="E831" s="330"/>
      <c r="F831" s="331"/>
      <c r="G831" s="332"/>
      <c r="H831" s="333">
        <f t="shared" si="78"/>
        <v>0</v>
      </c>
      <c r="I831" s="332">
        <v>4</v>
      </c>
      <c r="J831" s="53"/>
      <c r="K831">
        <f t="shared" si="73"/>
        <v>0</v>
      </c>
      <c r="L831">
        <f t="shared" si="74"/>
        <v>0</v>
      </c>
      <c r="M831">
        <f t="shared" si="75"/>
        <v>0</v>
      </c>
      <c r="N831">
        <f t="shared" si="76"/>
        <v>0</v>
      </c>
    </row>
    <row r="832" spans="1:14">
      <c r="A832" s="405"/>
      <c r="B832" s="57" t="s">
        <v>333</v>
      </c>
      <c r="C832" s="58">
        <v>2.1721657092287534E-2</v>
      </c>
      <c r="D832" s="340">
        <f t="shared" si="79"/>
        <v>0.65164971276862604</v>
      </c>
      <c r="E832" s="330"/>
      <c r="F832" s="331"/>
      <c r="G832" s="332"/>
      <c r="H832" s="333">
        <f t="shared" si="78"/>
        <v>0</v>
      </c>
      <c r="I832" s="332"/>
      <c r="J832" s="53"/>
      <c r="K832">
        <f t="shared" si="73"/>
        <v>0</v>
      </c>
      <c r="L832">
        <f t="shared" si="74"/>
        <v>0</v>
      </c>
      <c r="M832">
        <f t="shared" si="75"/>
        <v>0</v>
      </c>
      <c r="N832">
        <f t="shared" si="76"/>
        <v>0</v>
      </c>
    </row>
    <row r="833" spans="1:14">
      <c r="A833" s="405"/>
      <c r="B833" s="57" t="s">
        <v>334</v>
      </c>
      <c r="C833" s="58">
        <v>9.5578251101364795E-2</v>
      </c>
      <c r="D833" s="340">
        <f t="shared" si="79"/>
        <v>2.8673475330409439</v>
      </c>
      <c r="E833" s="330"/>
      <c r="F833" s="331"/>
      <c r="G833" s="332"/>
      <c r="H833" s="333">
        <f t="shared" si="78"/>
        <v>0</v>
      </c>
      <c r="I833" s="332"/>
      <c r="J833" s="53"/>
      <c r="K833">
        <f t="shared" si="73"/>
        <v>0</v>
      </c>
      <c r="L833">
        <f t="shared" si="74"/>
        <v>0</v>
      </c>
      <c r="M833">
        <f t="shared" si="75"/>
        <v>0</v>
      </c>
      <c r="N833">
        <f t="shared" si="76"/>
        <v>0</v>
      </c>
    </row>
    <row r="834" spans="1:14">
      <c r="A834" s="405"/>
      <c r="B834" s="57" t="s">
        <v>335</v>
      </c>
      <c r="C834" s="58">
        <v>7.4972410141454296E-2</v>
      </c>
      <c r="D834" s="340">
        <f t="shared" si="79"/>
        <v>2.2491723042436287</v>
      </c>
      <c r="E834" s="330"/>
      <c r="F834" s="331"/>
      <c r="G834" s="332"/>
      <c r="H834" s="333">
        <f>D834*J834+H833</f>
        <v>0</v>
      </c>
      <c r="I834" s="332">
        <v>2</v>
      </c>
      <c r="J834" s="53"/>
      <c r="K834">
        <f t="shared" si="73"/>
        <v>0</v>
      </c>
      <c r="L834">
        <f t="shared" si="74"/>
        <v>0</v>
      </c>
      <c r="M834">
        <f t="shared" si="75"/>
        <v>0</v>
      </c>
      <c r="N834">
        <f t="shared" si="76"/>
        <v>0</v>
      </c>
    </row>
    <row r="835" spans="1:14">
      <c r="A835" s="405"/>
      <c r="B835" s="57" t="s">
        <v>336</v>
      </c>
      <c r="C835" s="58">
        <v>0.19147630824025172</v>
      </c>
      <c r="D835" s="340">
        <f t="shared" si="79"/>
        <v>5.7442892472075515</v>
      </c>
      <c r="E835" s="330"/>
      <c r="F835" s="331"/>
      <c r="G835" s="332"/>
      <c r="H835" s="333">
        <f>D835*J835+H834</f>
        <v>0</v>
      </c>
      <c r="I835" s="332">
        <v>4</v>
      </c>
      <c r="J835" s="53"/>
      <c r="K835">
        <f t="shared" si="73"/>
        <v>0</v>
      </c>
      <c r="L835">
        <f t="shared" si="74"/>
        <v>0</v>
      </c>
      <c r="M835">
        <f t="shared" si="75"/>
        <v>0</v>
      </c>
      <c r="N835">
        <f t="shared" si="76"/>
        <v>0</v>
      </c>
    </row>
    <row r="836" spans="1:14">
      <c r="A836" s="405"/>
      <c r="B836" s="57"/>
      <c r="C836" s="59"/>
      <c r="D836" s="340"/>
      <c r="E836" s="330"/>
      <c r="F836" s="331"/>
      <c r="G836" s="332"/>
      <c r="H836" s="333"/>
      <c r="I836" s="332"/>
      <c r="J836" s="53"/>
      <c r="K836">
        <f t="shared" si="73"/>
        <v>0</v>
      </c>
      <c r="L836">
        <f t="shared" si="74"/>
        <v>0</v>
      </c>
      <c r="M836">
        <f t="shared" si="75"/>
        <v>0</v>
      </c>
      <c r="N836">
        <f t="shared" si="76"/>
        <v>0</v>
      </c>
    </row>
    <row r="837" spans="1:14">
      <c r="A837" s="405"/>
      <c r="B837" s="57"/>
      <c r="C837" s="59"/>
      <c r="D837" s="340"/>
      <c r="E837" s="330"/>
      <c r="F837" s="331"/>
      <c r="G837" s="332"/>
      <c r="H837" s="333"/>
      <c r="I837" s="332"/>
      <c r="J837" s="53"/>
      <c r="K837">
        <f t="shared" si="73"/>
        <v>0</v>
      </c>
      <c r="L837">
        <f t="shared" si="74"/>
        <v>0</v>
      </c>
      <c r="M837">
        <f t="shared" si="75"/>
        <v>0</v>
      </c>
      <c r="N837">
        <f t="shared" si="76"/>
        <v>0</v>
      </c>
    </row>
    <row r="838" spans="1:14" ht="13.5" thickBot="1">
      <c r="A838" s="383"/>
      <c r="B838" s="410"/>
      <c r="C838" s="267"/>
      <c r="D838" s="411"/>
      <c r="E838" s="412"/>
      <c r="F838" s="384"/>
      <c r="G838" s="384"/>
      <c r="H838" s="385"/>
      <c r="I838" s="384"/>
      <c r="J838" s="53"/>
      <c r="K838">
        <f t="shared" si="73"/>
        <v>0</v>
      </c>
      <c r="L838">
        <f t="shared" si="74"/>
        <v>0</v>
      </c>
      <c r="M838">
        <f t="shared" si="75"/>
        <v>0</v>
      </c>
      <c r="N838">
        <f t="shared" si="76"/>
        <v>0</v>
      </c>
    </row>
    <row r="839" spans="1:14" ht="13.5" customHeight="1" thickTop="1">
      <c r="A839" s="888"/>
      <c r="B839" s="885" t="s">
        <v>431</v>
      </c>
      <c r="C839" s="893" t="s">
        <v>636</v>
      </c>
      <c r="D839" s="874"/>
      <c r="E839" s="899"/>
      <c r="F839" s="873" t="s">
        <v>263</v>
      </c>
      <c r="G839" s="874"/>
      <c r="H839" s="875"/>
      <c r="J839" s="53"/>
      <c r="K839">
        <f t="shared" si="73"/>
        <v>0</v>
      </c>
      <c r="L839">
        <f t="shared" si="74"/>
        <v>0</v>
      </c>
      <c r="M839">
        <f t="shared" si="75"/>
        <v>0</v>
      </c>
      <c r="N839">
        <f t="shared" si="76"/>
        <v>0</v>
      </c>
    </row>
    <row r="840" spans="1:14" ht="13.5" thickBot="1">
      <c r="A840" s="889"/>
      <c r="B840" s="903"/>
      <c r="C840" s="900"/>
      <c r="D840" s="901"/>
      <c r="E840" s="902"/>
      <c r="F840" s="876"/>
      <c r="G840" s="876"/>
      <c r="H840" s="877"/>
      <c r="J840" s="53"/>
      <c r="K840">
        <f t="shared" ref="K840:K903" si="80">IF(M840&gt;0,1,0)</f>
        <v>0</v>
      </c>
      <c r="L840">
        <f t="shared" ref="L840:L903" si="81">IF(couleur(B840)=2,L841,IF(couleur(B841)=2,0,J840+L841))</f>
        <v>0</v>
      </c>
      <c r="M840">
        <f t="shared" ref="M840:M903" si="82">IF(couleur(B840)=2,L840,J840)</f>
        <v>0</v>
      </c>
      <c r="N840">
        <f t="shared" ref="N840:N903" si="83">IF(ISNUMBER(C840),J840*C840,0)</f>
        <v>0</v>
      </c>
    </row>
    <row r="841" spans="1:14" ht="13.5" thickBot="1">
      <c r="A841" s="890"/>
      <c r="B841" s="904"/>
      <c r="C841" s="44" t="s">
        <v>639</v>
      </c>
      <c r="D841" s="45" t="s">
        <v>640</v>
      </c>
      <c r="E841" s="126"/>
      <c r="F841" s="878"/>
      <c r="G841" s="878"/>
      <c r="H841" s="879"/>
      <c r="J841" s="53"/>
      <c r="K841">
        <f t="shared" si="80"/>
        <v>0</v>
      </c>
      <c r="L841">
        <f t="shared" si="81"/>
        <v>0</v>
      </c>
      <c r="M841">
        <f t="shared" si="82"/>
        <v>0</v>
      </c>
      <c r="N841">
        <f t="shared" si="83"/>
        <v>0</v>
      </c>
    </row>
    <row r="842" spans="1:14" ht="13.5" thickTop="1">
      <c r="A842" s="405"/>
      <c r="B842" s="870" t="s">
        <v>337</v>
      </c>
      <c r="C842" s="898"/>
      <c r="D842" s="891"/>
      <c r="E842" s="892"/>
      <c r="F842" s="321"/>
      <c r="G842" s="322"/>
      <c r="H842" s="323"/>
      <c r="I842" s="322"/>
      <c r="J842" s="53"/>
      <c r="K842">
        <f t="shared" si="80"/>
        <v>0</v>
      </c>
      <c r="L842">
        <f t="shared" si="81"/>
        <v>0</v>
      </c>
      <c r="M842">
        <f t="shared" si="82"/>
        <v>0</v>
      </c>
      <c r="N842">
        <f t="shared" si="83"/>
        <v>0</v>
      </c>
    </row>
    <row r="843" spans="1:14">
      <c r="A843" s="405"/>
      <c r="B843" s="871"/>
      <c r="C843" s="898"/>
      <c r="D843" s="891"/>
      <c r="E843" s="892"/>
      <c r="F843" s="321"/>
      <c r="G843" s="322"/>
      <c r="H843" s="323"/>
      <c r="I843" s="322"/>
      <c r="J843" s="53"/>
      <c r="K843">
        <f t="shared" si="80"/>
        <v>0</v>
      </c>
      <c r="L843">
        <f t="shared" si="81"/>
        <v>0</v>
      </c>
      <c r="M843">
        <f t="shared" si="82"/>
        <v>0</v>
      </c>
      <c r="N843">
        <f t="shared" si="83"/>
        <v>0</v>
      </c>
    </row>
    <row r="844" spans="1:14">
      <c r="A844" s="405"/>
      <c r="B844" s="57" t="s">
        <v>338</v>
      </c>
      <c r="C844" s="58">
        <v>1.7850533200565772</v>
      </c>
      <c r="D844" s="340">
        <f>C844*30</f>
        <v>53.551599601697319</v>
      </c>
      <c r="E844" s="330"/>
      <c r="F844" s="331"/>
      <c r="G844" s="332"/>
      <c r="H844" s="333"/>
      <c r="I844" s="332"/>
      <c r="J844" s="53"/>
      <c r="K844">
        <f t="shared" si="80"/>
        <v>0</v>
      </c>
      <c r="L844">
        <f t="shared" si="81"/>
        <v>0</v>
      </c>
      <c r="M844">
        <f t="shared" si="82"/>
        <v>0</v>
      </c>
      <c r="N844">
        <f t="shared" si="83"/>
        <v>0</v>
      </c>
    </row>
    <row r="845" spans="1:14">
      <c r="A845" s="405"/>
      <c r="B845" s="57" t="s">
        <v>339</v>
      </c>
      <c r="C845" s="58">
        <v>2.0681025177994656</v>
      </c>
      <c r="D845" s="340">
        <f>C845*30</f>
        <v>62.043075533983966</v>
      </c>
      <c r="E845" s="330"/>
      <c r="F845" s="331"/>
      <c r="G845" s="332"/>
      <c r="H845" s="333"/>
      <c r="I845" s="332"/>
      <c r="J845" s="53"/>
      <c r="K845">
        <f t="shared" si="80"/>
        <v>0</v>
      </c>
      <c r="L845">
        <f t="shared" si="81"/>
        <v>0</v>
      </c>
      <c r="M845">
        <f t="shared" si="82"/>
        <v>0</v>
      </c>
      <c r="N845">
        <f t="shared" si="83"/>
        <v>0</v>
      </c>
    </row>
    <row r="846" spans="1:14">
      <c r="A846" s="405"/>
      <c r="B846" s="57" t="s">
        <v>579</v>
      </c>
      <c r="C846" s="58">
        <v>2.5116365561619749</v>
      </c>
      <c r="D846" s="340">
        <f>C846*30</f>
        <v>75.349096684859248</v>
      </c>
      <c r="E846" s="330"/>
      <c r="F846" s="331"/>
      <c r="G846" s="332"/>
      <c r="H846" s="333"/>
      <c r="I846" s="332"/>
      <c r="J846" s="53"/>
      <c r="K846">
        <f t="shared" si="80"/>
        <v>0</v>
      </c>
      <c r="L846">
        <f t="shared" si="81"/>
        <v>0</v>
      </c>
      <c r="M846">
        <f t="shared" si="82"/>
        <v>0</v>
      </c>
      <c r="N846">
        <f t="shared" si="83"/>
        <v>0</v>
      </c>
    </row>
    <row r="847" spans="1:14">
      <c r="A847" s="405"/>
      <c r="B847" s="57" t="s">
        <v>340</v>
      </c>
      <c r="C847" s="58">
        <v>3.509394764034873</v>
      </c>
      <c r="D847" s="340">
        <f>C847*30</f>
        <v>105.28184292104619</v>
      </c>
      <c r="E847" s="330"/>
      <c r="F847" s="331"/>
      <c r="G847" s="332"/>
      <c r="H847" s="333"/>
      <c r="I847" s="332"/>
      <c r="J847" s="53"/>
      <c r="K847">
        <f t="shared" si="80"/>
        <v>0</v>
      </c>
      <c r="L847">
        <f t="shared" si="81"/>
        <v>0</v>
      </c>
      <c r="M847">
        <f t="shared" si="82"/>
        <v>0</v>
      </c>
      <c r="N847">
        <f t="shared" si="83"/>
        <v>0</v>
      </c>
    </row>
    <row r="848" spans="1:14">
      <c r="A848" s="405"/>
      <c r="B848" s="57" t="s">
        <v>580</v>
      </c>
      <c r="C848" s="58">
        <v>3.4063425646586376</v>
      </c>
      <c r="D848" s="340">
        <f>C848*30</f>
        <v>102.19027693975913</v>
      </c>
      <c r="E848" s="330"/>
      <c r="F848" s="331"/>
      <c r="G848" s="332"/>
      <c r="H848" s="333"/>
      <c r="I848" s="332"/>
      <c r="J848" s="53"/>
      <c r="K848">
        <f t="shared" si="80"/>
        <v>0</v>
      </c>
      <c r="L848">
        <f t="shared" si="81"/>
        <v>0</v>
      </c>
      <c r="M848">
        <f t="shared" si="82"/>
        <v>0</v>
      </c>
      <c r="N848">
        <f t="shared" si="83"/>
        <v>0</v>
      </c>
    </row>
    <row r="849" spans="1:14">
      <c r="A849" s="405"/>
      <c r="B849" s="57"/>
      <c r="C849" s="59"/>
      <c r="D849" s="340"/>
      <c r="E849" s="330"/>
      <c r="F849" s="331"/>
      <c r="G849" s="332"/>
      <c r="H849" s="333"/>
      <c r="I849" s="332"/>
      <c r="J849" s="53"/>
      <c r="K849">
        <f t="shared" si="80"/>
        <v>0</v>
      </c>
      <c r="L849">
        <f t="shared" si="81"/>
        <v>0</v>
      </c>
      <c r="M849">
        <f t="shared" si="82"/>
        <v>0</v>
      </c>
      <c r="N849">
        <f t="shared" si="83"/>
        <v>0</v>
      </c>
    </row>
    <row r="850" spans="1:14">
      <c r="A850" s="405"/>
      <c r="B850" s="57"/>
      <c r="C850" s="59"/>
      <c r="D850" s="340"/>
      <c r="E850" s="330"/>
      <c r="F850" s="331"/>
      <c r="G850" s="332"/>
      <c r="H850" s="333"/>
      <c r="I850" s="332"/>
      <c r="J850" s="53"/>
      <c r="K850">
        <f t="shared" si="80"/>
        <v>0</v>
      </c>
      <c r="L850">
        <f t="shared" si="81"/>
        <v>0</v>
      </c>
      <c r="M850">
        <f t="shared" si="82"/>
        <v>0</v>
      </c>
      <c r="N850">
        <f t="shared" si="83"/>
        <v>0</v>
      </c>
    </row>
    <row r="851" spans="1:14">
      <c r="A851" s="405"/>
      <c r="B851" s="870" t="s">
        <v>341</v>
      </c>
      <c r="C851" s="300"/>
      <c r="D851" s="304"/>
      <c r="E851" s="335"/>
      <c r="F851" s="321"/>
      <c r="G851" s="322"/>
      <c r="H851" s="323"/>
      <c r="I851" s="322"/>
      <c r="J851" s="53"/>
      <c r="K851">
        <f t="shared" si="80"/>
        <v>0</v>
      </c>
      <c r="L851">
        <f t="shared" si="81"/>
        <v>0</v>
      </c>
      <c r="M851">
        <f t="shared" si="82"/>
        <v>0</v>
      </c>
      <c r="N851">
        <f t="shared" si="83"/>
        <v>0</v>
      </c>
    </row>
    <row r="852" spans="1:14">
      <c r="A852" s="405"/>
      <c r="B852" s="871"/>
      <c r="C852" s="300"/>
      <c r="D852" s="304"/>
      <c r="E852" s="335"/>
      <c r="F852" s="321"/>
      <c r="G852" s="322"/>
      <c r="H852" s="323"/>
      <c r="I852" s="322"/>
      <c r="J852" s="53"/>
      <c r="K852">
        <f t="shared" si="80"/>
        <v>0</v>
      </c>
      <c r="L852">
        <f t="shared" si="81"/>
        <v>0</v>
      </c>
      <c r="M852">
        <f t="shared" si="82"/>
        <v>0</v>
      </c>
      <c r="N852">
        <f t="shared" si="83"/>
        <v>0</v>
      </c>
    </row>
    <row r="853" spans="1:14">
      <c r="A853" s="405"/>
      <c r="B853" s="57" t="s">
        <v>342</v>
      </c>
      <c r="C853" s="58">
        <v>0</v>
      </c>
      <c r="D853" s="340">
        <f t="shared" ref="D853:D865" si="84">C853*30</f>
        <v>0</v>
      </c>
      <c r="E853" s="330"/>
      <c r="F853" s="331"/>
      <c r="G853" s="332"/>
      <c r="H853" s="333"/>
      <c r="I853" s="332"/>
      <c r="J853" s="53"/>
      <c r="K853">
        <f t="shared" si="80"/>
        <v>0</v>
      </c>
      <c r="L853">
        <f t="shared" si="81"/>
        <v>0</v>
      </c>
      <c r="M853">
        <f t="shared" si="82"/>
        <v>0</v>
      </c>
      <c r="N853">
        <f t="shared" si="83"/>
        <v>0</v>
      </c>
    </row>
    <row r="854" spans="1:14">
      <c r="A854" s="405"/>
      <c r="B854" s="57" t="s">
        <v>343</v>
      </c>
      <c r="C854" s="58">
        <v>0</v>
      </c>
      <c r="D854" s="340">
        <f t="shared" si="84"/>
        <v>0</v>
      </c>
      <c r="E854" s="330"/>
      <c r="F854" s="331"/>
      <c r="G854" s="332"/>
      <c r="H854" s="333"/>
      <c r="I854" s="332"/>
      <c r="J854" s="53"/>
      <c r="K854">
        <f t="shared" si="80"/>
        <v>0</v>
      </c>
      <c r="L854">
        <f t="shared" si="81"/>
        <v>0</v>
      </c>
      <c r="M854">
        <f t="shared" si="82"/>
        <v>0</v>
      </c>
      <c r="N854">
        <f t="shared" si="83"/>
        <v>0</v>
      </c>
    </row>
    <row r="855" spans="1:14">
      <c r="A855" s="405"/>
      <c r="B855" s="57" t="s">
        <v>344</v>
      </c>
      <c r="C855" s="58">
        <v>0</v>
      </c>
      <c r="D855" s="340">
        <f t="shared" si="84"/>
        <v>0</v>
      </c>
      <c r="E855" s="330"/>
      <c r="F855" s="331"/>
      <c r="G855" s="332"/>
      <c r="H855" s="333"/>
      <c r="I855" s="332"/>
      <c r="J855" s="53"/>
      <c r="K855">
        <f t="shared" si="80"/>
        <v>0</v>
      </c>
      <c r="L855">
        <f t="shared" si="81"/>
        <v>0</v>
      </c>
      <c r="M855">
        <f t="shared" si="82"/>
        <v>0</v>
      </c>
      <c r="N855">
        <f t="shared" si="83"/>
        <v>0</v>
      </c>
    </row>
    <row r="856" spans="1:14">
      <c r="A856" s="405"/>
      <c r="B856" s="57" t="s">
        <v>345</v>
      </c>
      <c r="C856" s="58">
        <v>0</v>
      </c>
      <c r="D856" s="340">
        <f t="shared" si="84"/>
        <v>0</v>
      </c>
      <c r="E856" s="330"/>
      <c r="F856" s="331"/>
      <c r="G856" s="332"/>
      <c r="H856" s="333"/>
      <c r="I856" s="332"/>
      <c r="J856" s="53"/>
      <c r="K856">
        <f t="shared" si="80"/>
        <v>0</v>
      </c>
      <c r="L856">
        <f t="shared" si="81"/>
        <v>0</v>
      </c>
      <c r="M856">
        <f t="shared" si="82"/>
        <v>0</v>
      </c>
      <c r="N856">
        <f t="shared" si="83"/>
        <v>0</v>
      </c>
    </row>
    <row r="857" spans="1:14">
      <c r="A857" s="405"/>
      <c r="B857" s="57" t="s">
        <v>346</v>
      </c>
      <c r="C857" s="58">
        <v>1.0223817615764763</v>
      </c>
      <c r="D857" s="340">
        <f t="shared" si="84"/>
        <v>30.67145284729429</v>
      </c>
      <c r="E857" s="330"/>
      <c r="F857" s="331"/>
      <c r="G857" s="332"/>
      <c r="H857" s="333"/>
      <c r="I857" s="332"/>
      <c r="J857" s="53"/>
      <c r="K857">
        <f t="shared" si="80"/>
        <v>0</v>
      </c>
      <c r="L857">
        <f t="shared" si="81"/>
        <v>0</v>
      </c>
      <c r="M857">
        <f t="shared" si="82"/>
        <v>0</v>
      </c>
      <c r="N857">
        <f t="shared" si="83"/>
        <v>0</v>
      </c>
    </row>
    <row r="858" spans="1:14">
      <c r="A858" s="405"/>
      <c r="B858" s="57" t="s">
        <v>347</v>
      </c>
      <c r="C858" s="58">
        <v>3.3746780654475512</v>
      </c>
      <c r="D858" s="340">
        <f t="shared" si="84"/>
        <v>101.24034196342653</v>
      </c>
      <c r="E858" s="330"/>
      <c r="F858" s="331"/>
      <c r="G858" s="332"/>
      <c r="H858" s="333"/>
      <c r="I858" s="332"/>
      <c r="J858" s="53"/>
      <c r="K858">
        <f t="shared" si="80"/>
        <v>0</v>
      </c>
      <c r="L858">
        <f t="shared" si="81"/>
        <v>0</v>
      </c>
      <c r="M858">
        <f t="shared" si="82"/>
        <v>0</v>
      </c>
      <c r="N858">
        <f t="shared" si="83"/>
        <v>0</v>
      </c>
    </row>
    <row r="859" spans="1:14">
      <c r="A859" s="405"/>
      <c r="B859" s="57" t="s">
        <v>348</v>
      </c>
      <c r="C859" s="58">
        <v>0.95833568828145321</v>
      </c>
      <c r="D859" s="340">
        <f t="shared" si="84"/>
        <v>28.750070648443597</v>
      </c>
      <c r="E859" s="330"/>
      <c r="F859" s="331"/>
      <c r="G859" s="332"/>
      <c r="H859" s="333"/>
      <c r="I859" s="332"/>
      <c r="J859" s="53"/>
      <c r="K859">
        <f t="shared" si="80"/>
        <v>0</v>
      </c>
      <c r="L859">
        <f t="shared" si="81"/>
        <v>0</v>
      </c>
      <c r="M859">
        <f t="shared" si="82"/>
        <v>0</v>
      </c>
      <c r="N859">
        <f t="shared" si="83"/>
        <v>0</v>
      </c>
    </row>
    <row r="860" spans="1:14">
      <c r="A860" s="405"/>
      <c r="B860" s="57" t="s">
        <v>349</v>
      </c>
      <c r="C860" s="58">
        <v>0.17220265761146861</v>
      </c>
      <c r="D860" s="340">
        <f t="shared" si="84"/>
        <v>5.1660797283440578</v>
      </c>
      <c r="E860" s="330"/>
      <c r="F860" s="331"/>
      <c r="G860" s="332"/>
      <c r="H860" s="333"/>
      <c r="I860" s="332"/>
      <c r="J860" s="53"/>
      <c r="K860">
        <f t="shared" si="80"/>
        <v>0</v>
      </c>
      <c r="L860">
        <f t="shared" si="81"/>
        <v>0</v>
      </c>
      <c r="M860">
        <f t="shared" si="82"/>
        <v>0</v>
      </c>
      <c r="N860">
        <f t="shared" si="83"/>
        <v>0</v>
      </c>
    </row>
    <row r="861" spans="1:14">
      <c r="A861" s="405"/>
      <c r="B861" s="57" t="s">
        <v>350</v>
      </c>
      <c r="C861" s="58">
        <v>0.74194208093145553</v>
      </c>
      <c r="D861" s="340">
        <f t="shared" si="84"/>
        <v>22.258262427943666</v>
      </c>
      <c r="E861" s="330"/>
      <c r="F861" s="331"/>
      <c r="G861" s="332"/>
      <c r="H861" s="333"/>
      <c r="I861" s="332"/>
      <c r="J861" s="53"/>
      <c r="K861">
        <f t="shared" si="80"/>
        <v>0</v>
      </c>
      <c r="L861">
        <f t="shared" si="81"/>
        <v>0</v>
      </c>
      <c r="M861">
        <f t="shared" si="82"/>
        <v>0</v>
      </c>
      <c r="N861">
        <f t="shared" si="83"/>
        <v>0</v>
      </c>
    </row>
    <row r="862" spans="1:14">
      <c r="A862" s="405"/>
      <c r="B862" s="57" t="s">
        <v>351</v>
      </c>
      <c r="C862" s="58">
        <v>6.2992702925757094E-2</v>
      </c>
      <c r="D862" s="340">
        <f t="shared" si="84"/>
        <v>1.8897810877727128</v>
      </c>
      <c r="E862" s="330"/>
      <c r="F862" s="331"/>
      <c r="G862" s="332"/>
      <c r="H862" s="333"/>
      <c r="I862" s="332"/>
      <c r="J862" s="53"/>
      <c r="K862">
        <f t="shared" si="80"/>
        <v>0</v>
      </c>
      <c r="L862">
        <f t="shared" si="81"/>
        <v>0</v>
      </c>
      <c r="M862">
        <f t="shared" si="82"/>
        <v>0</v>
      </c>
      <c r="N862">
        <f t="shared" si="83"/>
        <v>0</v>
      </c>
    </row>
    <row r="863" spans="1:14">
      <c r="A863" s="405"/>
      <c r="B863" s="57" t="s">
        <v>352</v>
      </c>
      <c r="C863" s="58">
        <v>0.1207641560774622</v>
      </c>
      <c r="D863" s="340">
        <f t="shared" si="84"/>
        <v>3.6229246823238661</v>
      </c>
      <c r="E863" s="330"/>
      <c r="F863" s="331"/>
      <c r="G863" s="332"/>
      <c r="H863" s="333"/>
      <c r="I863" s="332"/>
      <c r="J863" s="53"/>
      <c r="K863">
        <f t="shared" si="80"/>
        <v>0</v>
      </c>
      <c r="L863">
        <f t="shared" si="81"/>
        <v>0</v>
      </c>
      <c r="M863">
        <f t="shared" si="82"/>
        <v>0</v>
      </c>
      <c r="N863">
        <f t="shared" si="83"/>
        <v>0</v>
      </c>
    </row>
    <row r="864" spans="1:14">
      <c r="A864" s="405"/>
      <c r="B864" s="57" t="s">
        <v>353</v>
      </c>
      <c r="C864" s="58">
        <v>0.81426839151979169</v>
      </c>
      <c r="D864" s="340">
        <f t="shared" si="84"/>
        <v>24.428051745593752</v>
      </c>
      <c r="E864" s="330"/>
      <c r="F864" s="331"/>
      <c r="G864" s="332"/>
      <c r="H864" s="333"/>
      <c r="I864" s="332"/>
      <c r="J864" s="53"/>
      <c r="K864">
        <f t="shared" si="80"/>
        <v>0</v>
      </c>
      <c r="L864">
        <f t="shared" si="81"/>
        <v>0</v>
      </c>
      <c r="M864">
        <f t="shared" si="82"/>
        <v>0</v>
      </c>
      <c r="N864">
        <f t="shared" si="83"/>
        <v>0</v>
      </c>
    </row>
    <row r="865" spans="1:14">
      <c r="A865" s="405"/>
      <c r="B865" s="57" t="s">
        <v>354</v>
      </c>
      <c r="C865" s="58">
        <v>0.20308591089978323</v>
      </c>
      <c r="D865" s="340">
        <f t="shared" si="84"/>
        <v>6.0925773269934966</v>
      </c>
      <c r="E865" s="330"/>
      <c r="F865" s="331"/>
      <c r="G865" s="332"/>
      <c r="H865" s="333"/>
      <c r="I865" s="332"/>
      <c r="J865" s="53"/>
      <c r="K865">
        <f t="shared" si="80"/>
        <v>0</v>
      </c>
      <c r="L865">
        <f t="shared" si="81"/>
        <v>0</v>
      </c>
      <c r="M865">
        <f t="shared" si="82"/>
        <v>0</v>
      </c>
      <c r="N865">
        <f t="shared" si="83"/>
        <v>0</v>
      </c>
    </row>
    <row r="866" spans="1:14">
      <c r="A866" s="405"/>
      <c r="B866" s="57"/>
      <c r="C866" s="59"/>
      <c r="D866" s="340"/>
      <c r="E866" s="330"/>
      <c r="F866" s="331"/>
      <c r="G866" s="332"/>
      <c r="H866" s="333"/>
      <c r="I866" s="332"/>
      <c r="J866" s="53"/>
      <c r="K866">
        <f t="shared" si="80"/>
        <v>0</v>
      </c>
      <c r="L866">
        <f t="shared" si="81"/>
        <v>0</v>
      </c>
      <c r="M866">
        <f t="shared" si="82"/>
        <v>0</v>
      </c>
      <c r="N866">
        <f t="shared" si="83"/>
        <v>0</v>
      </c>
    </row>
    <row r="867" spans="1:14">
      <c r="A867" s="405"/>
      <c r="B867" s="57"/>
      <c r="C867" s="59"/>
      <c r="D867" s="340"/>
      <c r="E867" s="330"/>
      <c r="F867" s="331"/>
      <c r="G867" s="332"/>
      <c r="H867" s="333"/>
      <c r="I867" s="332"/>
      <c r="J867" s="53"/>
      <c r="K867">
        <f t="shared" si="80"/>
        <v>0</v>
      </c>
      <c r="L867">
        <f t="shared" si="81"/>
        <v>0</v>
      </c>
      <c r="M867">
        <f t="shared" si="82"/>
        <v>0</v>
      </c>
      <c r="N867">
        <f t="shared" si="83"/>
        <v>0</v>
      </c>
    </row>
    <row r="868" spans="1:14">
      <c r="A868" s="405"/>
      <c r="B868" s="870" t="s">
        <v>355</v>
      </c>
      <c r="C868" s="300"/>
      <c r="D868" s="304"/>
      <c r="E868" s="335"/>
      <c r="F868" s="321"/>
      <c r="G868" s="322"/>
      <c r="H868" s="323"/>
      <c r="I868" s="322"/>
      <c r="J868" s="53"/>
      <c r="K868">
        <f t="shared" si="80"/>
        <v>0</v>
      </c>
      <c r="L868">
        <f t="shared" si="81"/>
        <v>0</v>
      </c>
      <c r="M868">
        <f t="shared" si="82"/>
        <v>0</v>
      </c>
      <c r="N868">
        <f t="shared" si="83"/>
        <v>0</v>
      </c>
    </row>
    <row r="869" spans="1:14">
      <c r="A869" s="405"/>
      <c r="B869" s="871"/>
      <c r="C869" s="300"/>
      <c r="D869" s="304"/>
      <c r="E869" s="335"/>
      <c r="F869" s="321"/>
      <c r="G869" s="322"/>
      <c r="H869" s="323"/>
      <c r="I869" s="322"/>
      <c r="J869" s="53"/>
      <c r="K869">
        <f t="shared" si="80"/>
        <v>0</v>
      </c>
      <c r="L869">
        <f t="shared" si="81"/>
        <v>0</v>
      </c>
      <c r="M869">
        <f t="shared" si="82"/>
        <v>0</v>
      </c>
      <c r="N869">
        <f t="shared" si="83"/>
        <v>0</v>
      </c>
    </row>
    <row r="870" spans="1:14">
      <c r="A870" s="405"/>
      <c r="B870" s="57" t="s">
        <v>356</v>
      </c>
      <c r="C870" s="58">
        <v>0.22044823811208503</v>
      </c>
      <c r="D870" s="340">
        <f>C870*30</f>
        <v>6.613447143362551</v>
      </c>
      <c r="E870" s="330"/>
      <c r="F870" s="331"/>
      <c r="G870" s="332"/>
      <c r="H870" s="333"/>
      <c r="I870" s="332"/>
      <c r="J870" s="53"/>
      <c r="K870">
        <f t="shared" si="80"/>
        <v>0</v>
      </c>
      <c r="L870">
        <f t="shared" si="81"/>
        <v>0</v>
      </c>
      <c r="M870">
        <f t="shared" si="82"/>
        <v>0</v>
      </c>
      <c r="N870">
        <f t="shared" si="83"/>
        <v>0</v>
      </c>
    </row>
    <row r="871" spans="1:14">
      <c r="A871" s="405"/>
      <c r="B871" s="57"/>
      <c r="C871" s="59"/>
      <c r="D871" s="340"/>
      <c r="E871" s="330"/>
      <c r="F871" s="331"/>
      <c r="G871" s="332"/>
      <c r="H871" s="333"/>
      <c r="I871" s="332"/>
      <c r="J871" s="53"/>
      <c r="K871">
        <f t="shared" si="80"/>
        <v>0</v>
      </c>
      <c r="L871">
        <f t="shared" si="81"/>
        <v>0</v>
      </c>
      <c r="M871">
        <f t="shared" si="82"/>
        <v>0</v>
      </c>
      <c r="N871">
        <f t="shared" si="83"/>
        <v>0</v>
      </c>
    </row>
    <row r="872" spans="1:14">
      <c r="A872" s="405"/>
      <c r="B872" s="57"/>
      <c r="C872" s="59"/>
      <c r="D872" s="340"/>
      <c r="E872" s="330"/>
      <c r="F872" s="331"/>
      <c r="G872" s="332"/>
      <c r="H872" s="333"/>
      <c r="I872" s="332"/>
      <c r="J872" s="53"/>
      <c r="K872">
        <f t="shared" si="80"/>
        <v>0</v>
      </c>
      <c r="L872">
        <f t="shared" si="81"/>
        <v>0</v>
      </c>
      <c r="M872">
        <f t="shared" si="82"/>
        <v>0</v>
      </c>
      <c r="N872">
        <f t="shared" si="83"/>
        <v>0</v>
      </c>
    </row>
    <row r="873" spans="1:14">
      <c r="A873" s="405"/>
      <c r="B873" s="870" t="s">
        <v>357</v>
      </c>
      <c r="C873" s="300"/>
      <c r="D873" s="304"/>
      <c r="E873" s="335"/>
      <c r="F873" s="321"/>
      <c r="G873" s="322"/>
      <c r="H873" s="323"/>
      <c r="I873" s="322"/>
      <c r="J873" s="53"/>
      <c r="K873">
        <f t="shared" si="80"/>
        <v>0</v>
      </c>
      <c r="L873">
        <f t="shared" si="81"/>
        <v>0</v>
      </c>
      <c r="M873">
        <f t="shared" si="82"/>
        <v>0</v>
      </c>
      <c r="N873">
        <f t="shared" si="83"/>
        <v>0</v>
      </c>
    </row>
    <row r="874" spans="1:14">
      <c r="A874" s="405"/>
      <c r="B874" s="871"/>
      <c r="C874" s="300"/>
      <c r="D874" s="304"/>
      <c r="E874" s="335"/>
      <c r="F874" s="321"/>
      <c r="G874" s="322"/>
      <c r="H874" s="323"/>
      <c r="I874" s="322"/>
      <c r="J874" s="53"/>
      <c r="K874">
        <f t="shared" si="80"/>
        <v>0</v>
      </c>
      <c r="L874">
        <f t="shared" si="81"/>
        <v>0</v>
      </c>
      <c r="M874">
        <f t="shared" si="82"/>
        <v>0</v>
      </c>
      <c r="N874">
        <f t="shared" si="83"/>
        <v>0</v>
      </c>
    </row>
    <row r="875" spans="1:14">
      <c r="A875" s="405"/>
      <c r="B875" s="57" t="s">
        <v>358</v>
      </c>
      <c r="C875" s="58">
        <v>0.20048449431343707</v>
      </c>
      <c r="D875" s="340">
        <f t="shared" ref="D875:D880" si="85">C875*30</f>
        <v>6.0145348294031118</v>
      </c>
      <c r="E875" s="330"/>
      <c r="F875" s="331"/>
      <c r="G875" s="332"/>
      <c r="H875" s="333"/>
      <c r="I875" s="332"/>
      <c r="J875" s="53"/>
      <c r="K875">
        <f t="shared" si="80"/>
        <v>0</v>
      </c>
      <c r="L875">
        <f t="shared" si="81"/>
        <v>0</v>
      </c>
      <c r="M875">
        <f t="shared" si="82"/>
        <v>0</v>
      </c>
      <c r="N875">
        <f t="shared" si="83"/>
        <v>0</v>
      </c>
    </row>
    <row r="876" spans="1:14">
      <c r="A876" s="405"/>
      <c r="B876" s="57" t="s">
        <v>359</v>
      </c>
      <c r="C876" s="58">
        <v>0.20746040526524476</v>
      </c>
      <c r="D876" s="340">
        <f t="shared" si="85"/>
        <v>6.2238121579573429</v>
      </c>
      <c r="E876" s="330"/>
      <c r="F876" s="331"/>
      <c r="G876" s="332"/>
      <c r="H876" s="333"/>
      <c r="I876" s="332"/>
      <c r="J876" s="53"/>
      <c r="K876">
        <f t="shared" si="80"/>
        <v>0</v>
      </c>
      <c r="L876">
        <f t="shared" si="81"/>
        <v>0</v>
      </c>
      <c r="M876">
        <f t="shared" si="82"/>
        <v>0</v>
      </c>
      <c r="N876">
        <f t="shared" si="83"/>
        <v>0</v>
      </c>
    </row>
    <row r="877" spans="1:14">
      <c r="A877" s="405"/>
      <c r="B877" s="57" t="s">
        <v>360</v>
      </c>
      <c r="C877" s="58">
        <v>0.1019485043710819</v>
      </c>
      <c r="D877" s="340">
        <f t="shared" si="85"/>
        <v>3.0584551311324568</v>
      </c>
      <c r="E877" s="330"/>
      <c r="F877" s="331"/>
      <c r="G877" s="332"/>
      <c r="H877" s="333"/>
      <c r="I877" s="332"/>
      <c r="J877" s="53"/>
      <c r="K877">
        <f t="shared" si="80"/>
        <v>0</v>
      </c>
      <c r="L877">
        <f t="shared" si="81"/>
        <v>0</v>
      </c>
      <c r="M877">
        <f t="shared" si="82"/>
        <v>0</v>
      </c>
      <c r="N877">
        <f t="shared" si="83"/>
        <v>0</v>
      </c>
    </row>
    <row r="878" spans="1:14">
      <c r="A878" s="405"/>
      <c r="B878" s="57" t="s">
        <v>361</v>
      </c>
      <c r="C878" s="58">
        <v>3.823399480983012E-2</v>
      </c>
      <c r="D878" s="340">
        <f t="shared" si="85"/>
        <v>1.1470198442949036</v>
      </c>
      <c r="E878" s="330"/>
      <c r="F878" s="331"/>
      <c r="G878" s="332"/>
      <c r="H878" s="333"/>
      <c r="I878" s="332"/>
      <c r="J878" s="53"/>
      <c r="K878">
        <f t="shared" si="80"/>
        <v>0</v>
      </c>
      <c r="L878">
        <f t="shared" si="81"/>
        <v>0</v>
      </c>
      <c r="M878">
        <f t="shared" si="82"/>
        <v>0</v>
      </c>
      <c r="N878">
        <f t="shared" si="83"/>
        <v>0</v>
      </c>
    </row>
    <row r="879" spans="1:14">
      <c r="A879" s="405"/>
      <c r="B879" s="57" t="s">
        <v>362</v>
      </c>
      <c r="C879" s="58">
        <v>2.7530225958300361E-2</v>
      </c>
      <c r="D879" s="340">
        <f t="shared" si="85"/>
        <v>0.82590677874901086</v>
      </c>
      <c r="E879" s="330"/>
      <c r="F879" s="331"/>
      <c r="G879" s="332"/>
      <c r="H879" s="333"/>
      <c r="I879" s="332"/>
      <c r="J879" s="53"/>
      <c r="K879">
        <f t="shared" si="80"/>
        <v>0</v>
      </c>
      <c r="L879">
        <f t="shared" si="81"/>
        <v>0</v>
      </c>
      <c r="M879">
        <f t="shared" si="82"/>
        <v>0</v>
      </c>
      <c r="N879">
        <f t="shared" si="83"/>
        <v>0</v>
      </c>
    </row>
    <row r="880" spans="1:14">
      <c r="A880" s="405"/>
      <c r="B880" s="57" t="s">
        <v>363</v>
      </c>
      <c r="C880" s="58">
        <v>8.1298468696952036E-2</v>
      </c>
      <c r="D880" s="340">
        <f t="shared" si="85"/>
        <v>2.4389540609085612</v>
      </c>
      <c r="E880" s="330"/>
      <c r="F880" s="331"/>
      <c r="G880" s="332"/>
      <c r="H880" s="333"/>
      <c r="I880" s="332"/>
      <c r="J880" s="53"/>
      <c r="K880">
        <f t="shared" si="80"/>
        <v>0</v>
      </c>
      <c r="L880">
        <f t="shared" si="81"/>
        <v>0</v>
      </c>
      <c r="M880">
        <f t="shared" si="82"/>
        <v>0</v>
      </c>
      <c r="N880">
        <f t="shared" si="83"/>
        <v>0</v>
      </c>
    </row>
    <row r="881" spans="1:14">
      <c r="A881" s="405"/>
      <c r="B881" s="57"/>
      <c r="C881" s="59"/>
      <c r="D881" s="340"/>
      <c r="E881" s="330"/>
      <c r="F881" s="331"/>
      <c r="G881" s="332"/>
      <c r="H881" s="333"/>
      <c r="I881" s="332"/>
      <c r="J881" s="53"/>
      <c r="K881">
        <f t="shared" si="80"/>
        <v>0</v>
      </c>
      <c r="L881">
        <f t="shared" si="81"/>
        <v>0</v>
      </c>
      <c r="M881">
        <f t="shared" si="82"/>
        <v>0</v>
      </c>
      <c r="N881">
        <f t="shared" si="83"/>
        <v>0</v>
      </c>
    </row>
    <row r="882" spans="1:14">
      <c r="A882" s="405"/>
      <c r="B882" s="57"/>
      <c r="C882" s="59"/>
      <c r="D882" s="340"/>
      <c r="E882" s="330"/>
      <c r="F882" s="331"/>
      <c r="G882" s="332"/>
      <c r="H882" s="333"/>
      <c r="I882" s="332"/>
      <c r="J882" s="53"/>
      <c r="K882">
        <f t="shared" si="80"/>
        <v>0</v>
      </c>
      <c r="L882">
        <f t="shared" si="81"/>
        <v>0</v>
      </c>
      <c r="M882">
        <f t="shared" si="82"/>
        <v>0</v>
      </c>
      <c r="N882">
        <f t="shared" si="83"/>
        <v>0</v>
      </c>
    </row>
    <row r="883" spans="1:14" ht="13.5" thickBot="1">
      <c r="A883" s="383"/>
      <c r="B883" s="410"/>
      <c r="C883" s="267"/>
      <c r="D883" s="411"/>
      <c r="E883" s="412"/>
      <c r="F883" s="416"/>
      <c r="G883" s="417"/>
      <c r="H883" s="418"/>
      <c r="I883" s="417"/>
      <c r="J883" s="53"/>
      <c r="K883">
        <f t="shared" si="80"/>
        <v>0</v>
      </c>
      <c r="L883">
        <f t="shared" si="81"/>
        <v>0</v>
      </c>
      <c r="M883">
        <f t="shared" si="82"/>
        <v>0</v>
      </c>
      <c r="N883">
        <f t="shared" si="83"/>
        <v>0</v>
      </c>
    </row>
    <row r="884" spans="1:14" ht="13.5" customHeight="1" thickTop="1">
      <c r="A884" s="888"/>
      <c r="B884" s="885" t="s">
        <v>431</v>
      </c>
      <c r="C884" s="893" t="s">
        <v>636</v>
      </c>
      <c r="D884" s="874"/>
      <c r="E884" s="899"/>
      <c r="F884" s="873" t="s">
        <v>263</v>
      </c>
      <c r="G884" s="874"/>
      <c r="H884" s="875"/>
      <c r="J884" s="53"/>
      <c r="K884">
        <f t="shared" si="80"/>
        <v>0</v>
      </c>
      <c r="L884">
        <f t="shared" si="81"/>
        <v>0</v>
      </c>
      <c r="M884">
        <f t="shared" si="82"/>
        <v>0</v>
      </c>
      <c r="N884">
        <f t="shared" si="83"/>
        <v>0</v>
      </c>
    </row>
    <row r="885" spans="1:14" ht="13.5" thickBot="1">
      <c r="A885" s="889"/>
      <c r="B885" s="903"/>
      <c r="C885" s="900"/>
      <c r="D885" s="901"/>
      <c r="E885" s="902"/>
      <c r="F885" s="876"/>
      <c r="G885" s="876"/>
      <c r="H885" s="877"/>
      <c r="J885" s="53"/>
      <c r="K885">
        <f t="shared" si="80"/>
        <v>0</v>
      </c>
      <c r="L885">
        <f t="shared" si="81"/>
        <v>0</v>
      </c>
      <c r="M885">
        <f t="shared" si="82"/>
        <v>0</v>
      </c>
      <c r="N885">
        <f t="shared" si="83"/>
        <v>0</v>
      </c>
    </row>
    <row r="886" spans="1:14" ht="13.5" thickBot="1">
      <c r="A886" s="890"/>
      <c r="B886" s="904"/>
      <c r="C886" s="44" t="s">
        <v>639</v>
      </c>
      <c r="D886" s="45" t="s">
        <v>640</v>
      </c>
      <c r="E886" s="126"/>
      <c r="F886" s="878"/>
      <c r="G886" s="878"/>
      <c r="H886" s="879"/>
      <c r="J886" s="53"/>
      <c r="K886">
        <f t="shared" si="80"/>
        <v>0</v>
      </c>
      <c r="L886">
        <f t="shared" si="81"/>
        <v>0</v>
      </c>
      <c r="M886">
        <f t="shared" si="82"/>
        <v>0</v>
      </c>
      <c r="N886">
        <f t="shared" si="83"/>
        <v>0</v>
      </c>
    </row>
    <row r="887" spans="1:14" ht="13.5" thickTop="1">
      <c r="A887" s="405"/>
      <c r="B887" s="870" t="s">
        <v>364</v>
      </c>
      <c r="C887" s="300"/>
      <c r="D887" s="304"/>
      <c r="E887" s="335"/>
      <c r="F887" s="321"/>
      <c r="G887" s="322"/>
      <c r="H887" s="323"/>
      <c r="I887" s="322"/>
      <c r="J887" s="53"/>
      <c r="K887">
        <f t="shared" si="80"/>
        <v>0</v>
      </c>
      <c r="L887">
        <f t="shared" si="81"/>
        <v>0</v>
      </c>
      <c r="M887">
        <f t="shared" si="82"/>
        <v>0</v>
      </c>
      <c r="N887">
        <f t="shared" si="83"/>
        <v>0</v>
      </c>
    </row>
    <row r="888" spans="1:14">
      <c r="A888" s="405"/>
      <c r="B888" s="871"/>
      <c r="C888" s="300"/>
      <c r="D888" s="304"/>
      <c r="E888" s="335"/>
      <c r="F888" s="321"/>
      <c r="G888" s="322"/>
      <c r="H888" s="323"/>
      <c r="I888" s="322"/>
      <c r="J888" s="53"/>
      <c r="K888">
        <f t="shared" si="80"/>
        <v>0</v>
      </c>
      <c r="L888">
        <f t="shared" si="81"/>
        <v>0</v>
      </c>
      <c r="M888">
        <f t="shared" si="82"/>
        <v>0</v>
      </c>
      <c r="N888">
        <f t="shared" si="83"/>
        <v>0</v>
      </c>
    </row>
    <row r="889" spans="1:14">
      <c r="A889" s="405"/>
      <c r="B889" s="57" t="s">
        <v>581</v>
      </c>
      <c r="C889" s="58">
        <v>4.0483292381323366E-2</v>
      </c>
      <c r="D889" s="340">
        <f t="shared" ref="D889:D903" si="86">C889*30</f>
        <v>1.2144987714397009</v>
      </c>
      <c r="E889" s="330"/>
      <c r="F889" s="331"/>
      <c r="G889" s="332"/>
      <c r="H889" s="333"/>
      <c r="I889" s="332"/>
      <c r="J889" s="53"/>
      <c r="K889">
        <f t="shared" si="80"/>
        <v>0</v>
      </c>
      <c r="L889">
        <f t="shared" si="81"/>
        <v>0</v>
      </c>
      <c r="M889">
        <f t="shared" si="82"/>
        <v>0</v>
      </c>
      <c r="N889">
        <f t="shared" si="83"/>
        <v>0</v>
      </c>
    </row>
    <row r="890" spans="1:14">
      <c r="A890" s="405"/>
      <c r="B890" s="57" t="s">
        <v>582</v>
      </c>
      <c r="C890" s="58">
        <v>9.9236459197794585E-2</v>
      </c>
      <c r="D890" s="340">
        <f t="shared" si="86"/>
        <v>2.9770937759338376</v>
      </c>
      <c r="E890" s="330"/>
      <c r="F890" s="331"/>
      <c r="G890" s="332"/>
      <c r="H890" s="333"/>
      <c r="I890" s="332"/>
      <c r="J890" s="53"/>
      <c r="K890">
        <f t="shared" si="80"/>
        <v>0</v>
      </c>
      <c r="L890">
        <f t="shared" si="81"/>
        <v>0</v>
      </c>
      <c r="M890">
        <f t="shared" si="82"/>
        <v>0</v>
      </c>
      <c r="N890">
        <f t="shared" si="83"/>
        <v>0</v>
      </c>
    </row>
    <row r="891" spans="1:14">
      <c r="A891" s="405"/>
      <c r="B891" s="57" t="s">
        <v>365</v>
      </c>
      <c r="C891" s="58">
        <v>0.10306966754069034</v>
      </c>
      <c r="D891" s="340">
        <f t="shared" si="86"/>
        <v>3.0920900262207103</v>
      </c>
      <c r="E891" s="330"/>
      <c r="F891" s="331"/>
      <c r="G891" s="332"/>
      <c r="H891" s="333"/>
      <c r="I891" s="332"/>
      <c r="J891" s="53"/>
      <c r="K891">
        <f t="shared" si="80"/>
        <v>0</v>
      </c>
      <c r="L891">
        <f t="shared" si="81"/>
        <v>0</v>
      </c>
      <c r="M891">
        <f t="shared" si="82"/>
        <v>0</v>
      </c>
      <c r="N891">
        <f t="shared" si="83"/>
        <v>0</v>
      </c>
    </row>
    <row r="892" spans="1:14">
      <c r="A892" s="405"/>
      <c r="B892" s="57" t="s">
        <v>366</v>
      </c>
      <c r="C892" s="58">
        <v>0.87841647390937194</v>
      </c>
      <c r="D892" s="340">
        <f t="shared" si="86"/>
        <v>26.352494217281158</v>
      </c>
      <c r="E892" s="330"/>
      <c r="F892" s="331"/>
      <c r="G892" s="332"/>
      <c r="H892" s="333"/>
      <c r="I892" s="332"/>
      <c r="J892" s="53"/>
      <c r="K892">
        <f t="shared" si="80"/>
        <v>0</v>
      </c>
      <c r="L892">
        <f t="shared" si="81"/>
        <v>0</v>
      </c>
      <c r="M892">
        <f t="shared" si="82"/>
        <v>0</v>
      </c>
      <c r="N892">
        <f t="shared" si="83"/>
        <v>0</v>
      </c>
    </row>
    <row r="893" spans="1:14">
      <c r="A893" s="405"/>
      <c r="B893" s="57" t="s">
        <v>367</v>
      </c>
      <c r="C893" s="58">
        <v>8.7716104759574379E-2</v>
      </c>
      <c r="D893" s="340">
        <f t="shared" si="86"/>
        <v>2.6314831427872312</v>
      </c>
      <c r="E893" s="330"/>
      <c r="F893" s="331"/>
      <c r="G893" s="332"/>
      <c r="H893" s="333"/>
      <c r="I893" s="332"/>
      <c r="J893" s="53"/>
      <c r="K893">
        <f t="shared" si="80"/>
        <v>0</v>
      </c>
      <c r="L893">
        <f t="shared" si="81"/>
        <v>0</v>
      </c>
      <c r="M893">
        <f t="shared" si="82"/>
        <v>0</v>
      </c>
      <c r="N893">
        <f t="shared" si="83"/>
        <v>0</v>
      </c>
    </row>
    <row r="894" spans="1:14">
      <c r="A894" s="405"/>
      <c r="B894" s="57" t="s">
        <v>368</v>
      </c>
      <c r="C894" s="58">
        <v>1.2911763154403254E-2</v>
      </c>
      <c r="D894" s="340">
        <f t="shared" si="86"/>
        <v>0.3873528946320976</v>
      </c>
      <c r="E894" s="330"/>
      <c r="F894" s="331"/>
      <c r="G894" s="332"/>
      <c r="H894" s="333"/>
      <c r="I894" s="332"/>
      <c r="J894" s="53"/>
      <c r="K894">
        <f t="shared" si="80"/>
        <v>0</v>
      </c>
      <c r="L894">
        <f t="shared" si="81"/>
        <v>0</v>
      </c>
      <c r="M894">
        <f t="shared" si="82"/>
        <v>0</v>
      </c>
      <c r="N894">
        <f t="shared" si="83"/>
        <v>0</v>
      </c>
    </row>
    <row r="895" spans="1:14">
      <c r="A895" s="405"/>
      <c r="B895" s="57" t="s">
        <v>369</v>
      </c>
      <c r="C895" s="58">
        <v>2.1983379626112839E-2</v>
      </c>
      <c r="D895" s="340">
        <f t="shared" si="86"/>
        <v>0.65950138878338516</v>
      </c>
      <c r="E895" s="330"/>
      <c r="F895" s="331"/>
      <c r="G895" s="332"/>
      <c r="H895" s="333"/>
      <c r="I895" s="332"/>
      <c r="J895" s="53"/>
      <c r="K895">
        <f t="shared" si="80"/>
        <v>0</v>
      </c>
      <c r="L895">
        <f t="shared" si="81"/>
        <v>0</v>
      </c>
      <c r="M895">
        <f t="shared" si="82"/>
        <v>0</v>
      </c>
      <c r="N895">
        <f t="shared" si="83"/>
        <v>0</v>
      </c>
    </row>
    <row r="896" spans="1:14">
      <c r="A896" s="405"/>
      <c r="B896" s="57" t="s">
        <v>370</v>
      </c>
      <c r="C896" s="58">
        <v>1.1808308027096566E-2</v>
      </c>
      <c r="D896" s="340">
        <f t="shared" si="86"/>
        <v>0.35424924081289699</v>
      </c>
      <c r="E896" s="330"/>
      <c r="F896" s="331"/>
      <c r="G896" s="332"/>
      <c r="H896" s="333"/>
      <c r="I896" s="332"/>
      <c r="J896" s="53"/>
      <c r="K896">
        <f t="shared" si="80"/>
        <v>0</v>
      </c>
      <c r="L896">
        <f t="shared" si="81"/>
        <v>0</v>
      </c>
      <c r="M896">
        <f t="shared" si="82"/>
        <v>0</v>
      </c>
      <c r="N896">
        <f t="shared" si="83"/>
        <v>0</v>
      </c>
    </row>
    <row r="897" spans="1:14">
      <c r="A897" s="405"/>
      <c r="B897" s="57" t="s">
        <v>371</v>
      </c>
      <c r="C897" s="58">
        <v>1.1815788115367225E-2</v>
      </c>
      <c r="D897" s="340">
        <f t="shared" si="86"/>
        <v>0.35447364346101673</v>
      </c>
      <c r="E897" s="330"/>
      <c r="F897" s="331"/>
      <c r="G897" s="332"/>
      <c r="H897" s="333"/>
      <c r="I897" s="332"/>
      <c r="J897" s="53"/>
      <c r="K897">
        <f t="shared" si="80"/>
        <v>0</v>
      </c>
      <c r="L897">
        <f t="shared" si="81"/>
        <v>0</v>
      </c>
      <c r="M897">
        <f t="shared" si="82"/>
        <v>0</v>
      </c>
      <c r="N897">
        <f t="shared" si="83"/>
        <v>0</v>
      </c>
    </row>
    <row r="898" spans="1:14">
      <c r="A898" s="405"/>
      <c r="B898" s="57" t="s">
        <v>372</v>
      </c>
      <c r="C898" s="58">
        <v>1.1277735021512992E-2</v>
      </c>
      <c r="D898" s="340">
        <f t="shared" si="86"/>
        <v>0.33833205064538974</v>
      </c>
      <c r="E898" s="330"/>
      <c r="F898" s="331"/>
      <c r="G898" s="332"/>
      <c r="H898" s="333"/>
      <c r="I898" s="332"/>
      <c r="J898" s="53"/>
      <c r="K898">
        <f t="shared" si="80"/>
        <v>0</v>
      </c>
      <c r="L898">
        <f t="shared" si="81"/>
        <v>0</v>
      </c>
      <c r="M898">
        <f t="shared" si="82"/>
        <v>0</v>
      </c>
      <c r="N898">
        <f t="shared" si="83"/>
        <v>0</v>
      </c>
    </row>
    <row r="899" spans="1:14">
      <c r="A899" s="405"/>
      <c r="B899" s="57" t="s">
        <v>373</v>
      </c>
      <c r="C899" s="58">
        <v>6.6349801674573633E-2</v>
      </c>
      <c r="D899" s="340">
        <f t="shared" si="86"/>
        <v>1.990494050237209</v>
      </c>
      <c r="E899" s="330"/>
      <c r="F899" s="331"/>
      <c r="G899" s="332"/>
      <c r="H899" s="333"/>
      <c r="I899" s="332"/>
      <c r="J899" s="53"/>
      <c r="K899">
        <f t="shared" si="80"/>
        <v>0</v>
      </c>
      <c r="L899">
        <f t="shared" si="81"/>
        <v>0</v>
      </c>
      <c r="M899">
        <f t="shared" si="82"/>
        <v>0</v>
      </c>
      <c r="N899">
        <f t="shared" si="83"/>
        <v>0</v>
      </c>
    </row>
    <row r="900" spans="1:14">
      <c r="A900" s="405"/>
      <c r="B900" s="57" t="s">
        <v>374</v>
      </c>
      <c r="C900" s="58">
        <v>7.1938169987690939E-2</v>
      </c>
      <c r="D900" s="340">
        <f t="shared" si="86"/>
        <v>2.1581450996307283</v>
      </c>
      <c r="E900" s="330"/>
      <c r="F900" s="331"/>
      <c r="G900" s="332"/>
      <c r="H900" s="333"/>
      <c r="I900" s="332"/>
      <c r="J900" s="53"/>
      <c r="K900">
        <f t="shared" si="80"/>
        <v>0</v>
      </c>
      <c r="L900">
        <f t="shared" si="81"/>
        <v>0</v>
      </c>
      <c r="M900">
        <f t="shared" si="82"/>
        <v>0</v>
      </c>
      <c r="N900">
        <f t="shared" si="83"/>
        <v>0</v>
      </c>
    </row>
    <row r="901" spans="1:14">
      <c r="A901" s="405"/>
      <c r="B901" s="57" t="s">
        <v>583</v>
      </c>
      <c r="C901" s="58">
        <v>1.9405805914170489</v>
      </c>
      <c r="D901" s="340">
        <f t="shared" si="86"/>
        <v>58.217417742511465</v>
      </c>
      <c r="E901" s="330"/>
      <c r="F901" s="331"/>
      <c r="G901" s="332"/>
      <c r="H901" s="333"/>
      <c r="I901" s="332"/>
      <c r="J901" s="53"/>
      <c r="K901">
        <f t="shared" si="80"/>
        <v>0</v>
      </c>
      <c r="L901">
        <f t="shared" si="81"/>
        <v>0</v>
      </c>
      <c r="M901">
        <f t="shared" si="82"/>
        <v>0</v>
      </c>
      <c r="N901">
        <f t="shared" si="83"/>
        <v>0</v>
      </c>
    </row>
    <row r="902" spans="1:14">
      <c r="A902" s="405"/>
      <c r="B902" s="57" t="s">
        <v>375</v>
      </c>
      <c r="C902" s="58">
        <v>0.22737142442526956</v>
      </c>
      <c r="D902" s="340">
        <f t="shared" si="86"/>
        <v>6.8211427327580871</v>
      </c>
      <c r="E902" s="330"/>
      <c r="F902" s="331"/>
      <c r="G902" s="332"/>
      <c r="H902" s="333"/>
      <c r="I902" s="332"/>
      <c r="J902" s="53"/>
      <c r="K902">
        <f t="shared" si="80"/>
        <v>0</v>
      </c>
      <c r="L902">
        <f t="shared" si="81"/>
        <v>0</v>
      </c>
      <c r="M902">
        <f t="shared" si="82"/>
        <v>0</v>
      </c>
      <c r="N902">
        <f t="shared" si="83"/>
        <v>0</v>
      </c>
    </row>
    <row r="903" spans="1:14">
      <c r="A903" s="405"/>
      <c r="B903" s="57" t="s">
        <v>376</v>
      </c>
      <c r="C903" s="58">
        <v>1.1504691239516427E-2</v>
      </c>
      <c r="D903" s="340">
        <f t="shared" si="86"/>
        <v>0.34514073718549282</v>
      </c>
      <c r="E903" s="330"/>
      <c r="F903" s="331"/>
      <c r="G903" s="332"/>
      <c r="H903" s="333"/>
      <c r="I903" s="332"/>
      <c r="J903" s="53"/>
      <c r="K903">
        <f t="shared" si="80"/>
        <v>0</v>
      </c>
      <c r="L903">
        <f t="shared" si="81"/>
        <v>0</v>
      </c>
      <c r="M903">
        <f t="shared" si="82"/>
        <v>0</v>
      </c>
      <c r="N903">
        <f t="shared" si="83"/>
        <v>0</v>
      </c>
    </row>
    <row r="904" spans="1:14">
      <c r="A904" s="405"/>
      <c r="B904" s="57"/>
      <c r="C904" s="259"/>
      <c r="D904" s="340"/>
      <c r="E904" s="330"/>
      <c r="F904" s="331"/>
      <c r="G904" s="332"/>
      <c r="H904" s="333"/>
      <c r="I904" s="332"/>
      <c r="J904" s="53"/>
      <c r="K904">
        <f t="shared" ref="K904:K921" si="87">IF(M904&gt;0,1,0)</f>
        <v>0</v>
      </c>
      <c r="L904">
        <f t="shared" ref="L904:L967" si="88">IF(couleur(B904)=2,L905,IF(couleur(B905)=2,0,J904+L905))</f>
        <v>0</v>
      </c>
      <c r="M904">
        <f t="shared" ref="M904:M967" si="89">IF(couleur(B904)=2,L904,J904)</f>
        <v>0</v>
      </c>
      <c r="N904">
        <f t="shared" ref="N904:N967" si="90">IF(ISNUMBER(C904),J904*C904,0)</f>
        <v>0</v>
      </c>
    </row>
    <row r="905" spans="1:14">
      <c r="A905" s="405"/>
      <c r="B905" s="57"/>
      <c r="C905" s="419"/>
      <c r="D905" s="280"/>
      <c r="E905" s="59"/>
      <c r="F905" s="331"/>
      <c r="G905" s="332"/>
      <c r="H905" s="333"/>
      <c r="I905" s="332"/>
      <c r="J905" s="53"/>
      <c r="K905">
        <f t="shared" si="87"/>
        <v>0</v>
      </c>
      <c r="L905">
        <f t="shared" si="88"/>
        <v>0</v>
      </c>
      <c r="M905">
        <f t="shared" si="89"/>
        <v>0</v>
      </c>
      <c r="N905">
        <f t="shared" si="90"/>
        <v>0</v>
      </c>
    </row>
    <row r="906" spans="1:14">
      <c r="A906" s="405"/>
      <c r="B906" s="870" t="s">
        <v>377</v>
      </c>
      <c r="C906" s="300"/>
      <c r="D906" s="304"/>
      <c r="E906" s="335"/>
      <c r="F906" s="321"/>
      <c r="G906" s="322"/>
      <c r="H906" s="323"/>
      <c r="I906" s="322"/>
      <c r="J906" s="53"/>
      <c r="K906">
        <f t="shared" si="87"/>
        <v>0</v>
      </c>
      <c r="L906">
        <f t="shared" si="88"/>
        <v>0</v>
      </c>
      <c r="M906">
        <f t="shared" si="89"/>
        <v>0</v>
      </c>
      <c r="N906">
        <f t="shared" si="90"/>
        <v>0</v>
      </c>
    </row>
    <row r="907" spans="1:14">
      <c r="A907" s="405"/>
      <c r="B907" s="871"/>
      <c r="C907" s="300"/>
      <c r="D907" s="304"/>
      <c r="E907" s="335"/>
      <c r="F907" s="321"/>
      <c r="G907" s="322"/>
      <c r="H907" s="323"/>
      <c r="I907" s="322"/>
      <c r="J907" s="53"/>
      <c r="K907">
        <f t="shared" si="87"/>
        <v>0</v>
      </c>
      <c r="L907">
        <f t="shared" si="88"/>
        <v>0</v>
      </c>
      <c r="M907">
        <f t="shared" si="89"/>
        <v>0</v>
      </c>
      <c r="N907">
        <f t="shared" si="90"/>
        <v>0</v>
      </c>
    </row>
    <row r="908" spans="1:14">
      <c r="A908" s="405"/>
      <c r="B908" s="57" t="s">
        <v>378</v>
      </c>
      <c r="C908" s="58">
        <v>1.989347371834246</v>
      </c>
      <c r="D908" s="340">
        <f t="shared" ref="D908:D921" si="91">C908*30</f>
        <v>59.680421155027382</v>
      </c>
      <c r="E908" s="330"/>
      <c r="F908" s="331"/>
      <c r="G908" s="332"/>
      <c r="H908" s="333"/>
      <c r="I908" s="332"/>
      <c r="J908" s="53"/>
      <c r="K908">
        <f t="shared" si="87"/>
        <v>0</v>
      </c>
      <c r="L908">
        <f t="shared" si="88"/>
        <v>0</v>
      </c>
      <c r="M908">
        <f t="shared" si="89"/>
        <v>0</v>
      </c>
      <c r="N908">
        <f t="shared" si="90"/>
        <v>0</v>
      </c>
    </row>
    <row r="909" spans="1:14">
      <c r="A909" s="405"/>
      <c r="B909" s="57" t="s">
        <v>379</v>
      </c>
      <c r="C909" s="58">
        <v>4.2423267186970826</v>
      </c>
      <c r="D909" s="340">
        <f t="shared" si="91"/>
        <v>127.26980156091247</v>
      </c>
      <c r="E909" s="330"/>
      <c r="F909" s="331"/>
      <c r="G909" s="332"/>
      <c r="H909" s="333"/>
      <c r="I909" s="332"/>
      <c r="J909" s="53"/>
      <c r="K909">
        <f t="shared" si="87"/>
        <v>0</v>
      </c>
      <c r="L909">
        <f t="shared" si="88"/>
        <v>0</v>
      </c>
      <c r="M909">
        <f t="shared" si="89"/>
        <v>0</v>
      </c>
      <c r="N909">
        <f t="shared" si="90"/>
        <v>0</v>
      </c>
    </row>
    <row r="910" spans="1:14">
      <c r="A910" s="405"/>
      <c r="B910" s="57" t="s">
        <v>380</v>
      </c>
      <c r="C910" s="58">
        <v>5.8764924879895863</v>
      </c>
      <c r="D910" s="340">
        <f t="shared" si="91"/>
        <v>176.2947746396876</v>
      </c>
      <c r="E910" s="330"/>
      <c r="F910" s="331"/>
      <c r="G910" s="332"/>
      <c r="H910" s="333"/>
      <c r="I910" s="332"/>
      <c r="J910" s="53"/>
      <c r="K910">
        <f t="shared" si="87"/>
        <v>0</v>
      </c>
      <c r="L910">
        <f t="shared" si="88"/>
        <v>0</v>
      </c>
      <c r="M910">
        <f t="shared" si="89"/>
        <v>0</v>
      </c>
      <c r="N910">
        <f t="shared" si="90"/>
        <v>0</v>
      </c>
    </row>
    <row r="911" spans="1:14">
      <c r="A911" s="405"/>
      <c r="B911" s="57" t="s">
        <v>381</v>
      </c>
      <c r="C911" s="58">
        <v>4.8854365284214891</v>
      </c>
      <c r="D911" s="340">
        <f t="shared" si="91"/>
        <v>146.56309585264466</v>
      </c>
      <c r="E911" s="330"/>
      <c r="F911" s="331"/>
      <c r="G911" s="332"/>
      <c r="H911" s="333"/>
      <c r="I911" s="332"/>
      <c r="J911" s="53"/>
      <c r="K911">
        <f t="shared" si="87"/>
        <v>0</v>
      </c>
      <c r="L911">
        <f t="shared" si="88"/>
        <v>0</v>
      </c>
      <c r="M911">
        <f t="shared" si="89"/>
        <v>0</v>
      </c>
      <c r="N911">
        <f t="shared" si="90"/>
        <v>0</v>
      </c>
    </row>
    <row r="912" spans="1:14">
      <c r="A912" s="405"/>
      <c r="B912" s="57" t="s">
        <v>382</v>
      </c>
      <c r="C912" s="58">
        <v>3.6262643880165886</v>
      </c>
      <c r="D912" s="340">
        <f t="shared" si="91"/>
        <v>108.78793164049766</v>
      </c>
      <c r="E912" s="330"/>
      <c r="F912" s="331"/>
      <c r="G912" s="332"/>
      <c r="H912" s="333"/>
      <c r="I912" s="332"/>
      <c r="J912" s="53"/>
      <c r="K912">
        <f t="shared" si="87"/>
        <v>0</v>
      </c>
      <c r="L912">
        <f t="shared" si="88"/>
        <v>0</v>
      </c>
      <c r="M912">
        <f t="shared" si="89"/>
        <v>0</v>
      </c>
      <c r="N912">
        <f t="shared" si="90"/>
        <v>0</v>
      </c>
    </row>
    <row r="913" spans="1:14">
      <c r="A913" s="405"/>
      <c r="B913" s="57" t="s">
        <v>383</v>
      </c>
      <c r="C913" s="58">
        <v>3.0783730712762978</v>
      </c>
      <c r="D913" s="340">
        <f t="shared" si="91"/>
        <v>92.351192138288937</v>
      </c>
      <c r="E913" s="330"/>
      <c r="F913" s="331"/>
      <c r="G913" s="332"/>
      <c r="H913" s="333"/>
      <c r="I913" s="332"/>
      <c r="J913" s="53"/>
      <c r="K913">
        <f t="shared" si="87"/>
        <v>0</v>
      </c>
      <c r="L913">
        <f t="shared" si="88"/>
        <v>0</v>
      </c>
      <c r="M913">
        <f t="shared" si="89"/>
        <v>0</v>
      </c>
      <c r="N913">
        <f t="shared" si="90"/>
        <v>0</v>
      </c>
    </row>
    <row r="914" spans="1:14">
      <c r="A914" s="405"/>
      <c r="B914" s="57" t="s">
        <v>384</v>
      </c>
      <c r="C914" s="58">
        <v>5.1267493075378496</v>
      </c>
      <c r="D914" s="340">
        <f t="shared" si="91"/>
        <v>153.80247922613549</v>
      </c>
      <c r="E914" s="330"/>
      <c r="F914" s="331"/>
      <c r="G914" s="332"/>
      <c r="H914" s="333"/>
      <c r="I914" s="332"/>
      <c r="J914" s="53"/>
      <c r="K914">
        <f t="shared" si="87"/>
        <v>0</v>
      </c>
      <c r="L914">
        <f t="shared" si="88"/>
        <v>0</v>
      </c>
      <c r="M914">
        <f t="shared" si="89"/>
        <v>0</v>
      </c>
      <c r="N914">
        <f t="shared" si="90"/>
        <v>0</v>
      </c>
    </row>
    <row r="915" spans="1:14">
      <c r="A915" s="405"/>
      <c r="B915" s="57" t="s">
        <v>385</v>
      </c>
      <c r="C915" s="58">
        <v>2.9370861775327382</v>
      </c>
      <c r="D915" s="340">
        <f t="shared" si="91"/>
        <v>88.112585325982138</v>
      </c>
      <c r="E915" s="330"/>
      <c r="F915" s="331"/>
      <c r="G915" s="332"/>
      <c r="H915" s="333"/>
      <c r="I915" s="332"/>
      <c r="J915" s="53"/>
      <c r="K915">
        <f t="shared" si="87"/>
        <v>0</v>
      </c>
      <c r="L915">
        <f t="shared" si="88"/>
        <v>0</v>
      </c>
      <c r="M915">
        <f t="shared" si="89"/>
        <v>0</v>
      </c>
      <c r="N915">
        <f t="shared" si="90"/>
        <v>0</v>
      </c>
    </row>
    <row r="916" spans="1:14">
      <c r="A916" s="405"/>
      <c r="B916" s="57" t="s">
        <v>386</v>
      </c>
      <c r="C916" s="58">
        <v>1.6544796774128316</v>
      </c>
      <c r="D916" s="340">
        <f t="shared" si="91"/>
        <v>49.634390322384952</v>
      </c>
      <c r="E916" s="330"/>
      <c r="F916" s="331"/>
      <c r="G916" s="332"/>
      <c r="H916" s="333"/>
      <c r="I916" s="332"/>
      <c r="J916" s="53"/>
      <c r="K916">
        <f t="shared" si="87"/>
        <v>0</v>
      </c>
      <c r="L916">
        <f t="shared" si="88"/>
        <v>0</v>
      </c>
      <c r="M916">
        <f t="shared" si="89"/>
        <v>0</v>
      </c>
      <c r="N916">
        <f t="shared" si="90"/>
        <v>0</v>
      </c>
    </row>
    <row r="917" spans="1:14">
      <c r="A917" s="405"/>
      <c r="B917" s="57" t="s">
        <v>387</v>
      </c>
      <c r="C917" s="58">
        <v>1.6049831661298595</v>
      </c>
      <c r="D917" s="340">
        <f t="shared" si="91"/>
        <v>48.149494983895785</v>
      </c>
      <c r="E917" s="330"/>
      <c r="F917" s="331"/>
      <c r="G917" s="332"/>
      <c r="H917" s="333"/>
      <c r="I917" s="332"/>
      <c r="J917" s="53"/>
      <c r="K917">
        <f t="shared" si="87"/>
        <v>0</v>
      </c>
      <c r="L917">
        <f t="shared" si="88"/>
        <v>0</v>
      </c>
      <c r="M917">
        <f t="shared" si="89"/>
        <v>0</v>
      </c>
      <c r="N917">
        <f t="shared" si="90"/>
        <v>0</v>
      </c>
    </row>
    <row r="918" spans="1:14">
      <c r="A918" s="405"/>
      <c r="B918" s="57" t="s">
        <v>388</v>
      </c>
      <c r="C918" s="58">
        <v>0.4910037360417463</v>
      </c>
      <c r="D918" s="340">
        <f t="shared" si="91"/>
        <v>14.73011208125239</v>
      </c>
      <c r="E918" s="330"/>
      <c r="F918" s="331"/>
      <c r="G918" s="332"/>
      <c r="H918" s="333"/>
      <c r="I918" s="332"/>
      <c r="J918" s="53"/>
      <c r="K918">
        <f t="shared" si="87"/>
        <v>0</v>
      </c>
      <c r="L918">
        <f t="shared" si="88"/>
        <v>0</v>
      </c>
      <c r="M918">
        <f t="shared" si="89"/>
        <v>0</v>
      </c>
      <c r="N918">
        <f t="shared" si="90"/>
        <v>0</v>
      </c>
    </row>
    <row r="919" spans="1:14">
      <c r="A919" s="405"/>
      <c r="B919" s="57" t="s">
        <v>389</v>
      </c>
      <c r="C919" s="58">
        <v>1.0092030396569369</v>
      </c>
      <c r="D919" s="340">
        <f t="shared" si="91"/>
        <v>30.276091189708108</v>
      </c>
      <c r="E919" s="330"/>
      <c r="F919" s="331"/>
      <c r="G919" s="332"/>
      <c r="H919" s="333"/>
      <c r="I919" s="332"/>
      <c r="J919" s="53"/>
      <c r="K919">
        <f t="shared" si="87"/>
        <v>0</v>
      </c>
      <c r="L919">
        <f t="shared" si="88"/>
        <v>0</v>
      </c>
      <c r="M919">
        <f t="shared" si="89"/>
        <v>0</v>
      </c>
      <c r="N919">
        <f t="shared" si="90"/>
        <v>0</v>
      </c>
    </row>
    <row r="920" spans="1:14">
      <c r="A920" s="405"/>
      <c r="B920" s="57" t="s">
        <v>390</v>
      </c>
      <c r="C920" s="58">
        <v>0.83962865368930684</v>
      </c>
      <c r="D920" s="340">
        <f t="shared" si="91"/>
        <v>25.188859610679206</v>
      </c>
      <c r="E920" s="330"/>
      <c r="F920" s="331"/>
      <c r="G920" s="332"/>
      <c r="H920" s="333"/>
      <c r="I920" s="332"/>
      <c r="J920" s="53"/>
      <c r="K920">
        <f t="shared" si="87"/>
        <v>0</v>
      </c>
      <c r="L920">
        <f t="shared" si="88"/>
        <v>0</v>
      </c>
      <c r="M920">
        <f t="shared" si="89"/>
        <v>0</v>
      </c>
      <c r="N920">
        <f t="shared" si="90"/>
        <v>0</v>
      </c>
    </row>
    <row r="921" spans="1:14">
      <c r="A921" s="405"/>
      <c r="B921" s="57" t="s">
        <v>391</v>
      </c>
      <c r="C921" s="58">
        <v>1.4155162250035096</v>
      </c>
      <c r="D921" s="340">
        <f t="shared" si="91"/>
        <v>42.465486750105285</v>
      </c>
      <c r="E921" s="330"/>
      <c r="F921" s="331"/>
      <c r="G921" s="332"/>
      <c r="H921" s="333"/>
      <c r="I921" s="332"/>
      <c r="J921" s="53"/>
      <c r="K921">
        <f t="shared" si="87"/>
        <v>0</v>
      </c>
      <c r="L921">
        <f t="shared" si="88"/>
        <v>0</v>
      </c>
      <c r="M921">
        <f t="shared" si="89"/>
        <v>0</v>
      </c>
      <c r="N921">
        <f t="shared" si="90"/>
        <v>0</v>
      </c>
    </row>
    <row r="922" spans="1:14" s="421" customFormat="1" ht="13.5" thickBot="1">
      <c r="A922" s="383"/>
      <c r="B922" s="410"/>
      <c r="C922" s="267"/>
      <c r="D922" s="411"/>
      <c r="E922" s="412"/>
      <c r="F922" s="416"/>
      <c r="G922" s="417"/>
      <c r="H922" s="418"/>
      <c r="I922" s="417"/>
      <c r="J922" s="420"/>
      <c r="K922" s="421">
        <v>1</v>
      </c>
      <c r="L922">
        <f t="shared" si="88"/>
        <v>0</v>
      </c>
      <c r="M922" s="421">
        <f t="shared" si="89"/>
        <v>0</v>
      </c>
      <c r="N922">
        <f t="shared" si="90"/>
        <v>0</v>
      </c>
    </row>
    <row r="923" spans="1:14" s="197" customFormat="1" ht="12" customHeight="1" thickTop="1">
      <c r="A923" s="872"/>
      <c r="B923" s="870" t="s">
        <v>392</v>
      </c>
      <c r="C923" s="422"/>
      <c r="D923" s="423"/>
      <c r="E923" s="424"/>
      <c r="F923" s="425"/>
      <c r="G923" s="426"/>
      <c r="H923" s="427"/>
      <c r="I923" s="426"/>
      <c r="J923" s="53"/>
      <c r="K923">
        <f t="shared" ref="K923:K954" si="92">IF(M923&gt;0,1,0)</f>
        <v>0</v>
      </c>
      <c r="L923">
        <f t="shared" si="88"/>
        <v>0</v>
      </c>
      <c r="M923">
        <f t="shared" si="89"/>
        <v>0</v>
      </c>
      <c r="N923">
        <f t="shared" si="90"/>
        <v>0</v>
      </c>
    </row>
    <row r="924" spans="1:14" s="197" customFormat="1" ht="12" customHeight="1">
      <c r="A924" s="869"/>
      <c r="B924" s="871"/>
      <c r="C924" s="422"/>
      <c r="D924" s="423"/>
      <c r="E924" s="424"/>
      <c r="F924" s="425"/>
      <c r="G924" s="426"/>
      <c r="H924" s="427"/>
      <c r="I924" s="426"/>
      <c r="J924" s="53"/>
      <c r="K924">
        <f t="shared" si="92"/>
        <v>0</v>
      </c>
      <c r="L924">
        <f t="shared" si="88"/>
        <v>0</v>
      </c>
      <c r="M924">
        <f t="shared" si="89"/>
        <v>0</v>
      </c>
      <c r="N924">
        <f t="shared" si="90"/>
        <v>0</v>
      </c>
    </row>
    <row r="925" spans="1:14" s="197" customFormat="1" ht="12.95" customHeight="1">
      <c r="A925" s="428"/>
      <c r="B925" s="429" t="s">
        <v>393</v>
      </c>
      <c r="C925" s="58">
        <v>0.27301380793559765</v>
      </c>
      <c r="D925" s="431">
        <f>C925*30</f>
        <v>8.1904142380679303</v>
      </c>
      <c r="E925" s="432"/>
      <c r="F925" s="433"/>
      <c r="G925" s="434"/>
      <c r="H925" s="435"/>
      <c r="I925" s="434"/>
      <c r="J925" s="53"/>
      <c r="K925">
        <f t="shared" si="92"/>
        <v>0</v>
      </c>
      <c r="L925">
        <f t="shared" si="88"/>
        <v>0</v>
      </c>
      <c r="M925">
        <f t="shared" si="89"/>
        <v>0</v>
      </c>
      <c r="N925">
        <f t="shared" si="90"/>
        <v>0</v>
      </c>
    </row>
    <row r="926" spans="1:14" s="197" customFormat="1" ht="12.95" customHeight="1">
      <c r="A926" s="428"/>
      <c r="B926" s="429" t="s">
        <v>394</v>
      </c>
      <c r="C926" s="58">
        <v>0.28773238781010257</v>
      </c>
      <c r="D926" s="431">
        <f>C926*30</f>
        <v>8.6319716343030777</v>
      </c>
      <c r="E926" s="432"/>
      <c r="F926" s="433"/>
      <c r="G926" s="434"/>
      <c r="H926" s="435"/>
      <c r="I926" s="434"/>
      <c r="J926" s="53"/>
      <c r="K926">
        <f t="shared" si="92"/>
        <v>0</v>
      </c>
      <c r="L926">
        <f t="shared" si="88"/>
        <v>0</v>
      </c>
      <c r="M926">
        <f t="shared" si="89"/>
        <v>0</v>
      </c>
      <c r="N926">
        <f t="shared" si="90"/>
        <v>0</v>
      </c>
    </row>
    <row r="927" spans="1:14" s="197" customFormat="1" ht="12.95" customHeight="1">
      <c r="A927" s="428"/>
      <c r="B927" s="429" t="s">
        <v>395</v>
      </c>
      <c r="C927" s="58">
        <v>0.33430644987645125</v>
      </c>
      <c r="D927" s="431">
        <f>C927*30</f>
        <v>10.029193496293537</v>
      </c>
      <c r="E927" s="432"/>
      <c r="F927" s="433"/>
      <c r="G927" s="434"/>
      <c r="H927" s="435"/>
      <c r="I927" s="434"/>
      <c r="J927" s="53"/>
      <c r="K927">
        <f t="shared" si="92"/>
        <v>0</v>
      </c>
      <c r="L927">
        <f t="shared" si="88"/>
        <v>0</v>
      </c>
      <c r="M927">
        <f t="shared" si="89"/>
        <v>0</v>
      </c>
      <c r="N927">
        <f t="shared" si="90"/>
        <v>0</v>
      </c>
    </row>
    <row r="928" spans="1:14" s="197" customFormat="1" ht="12.95" customHeight="1">
      <c r="A928" s="428"/>
      <c r="B928" s="429" t="s">
        <v>396</v>
      </c>
      <c r="C928" s="58">
        <v>0.44402305470648462</v>
      </c>
      <c r="D928" s="431">
        <f>C928*30</f>
        <v>13.320691641194539</v>
      </c>
      <c r="E928" s="432"/>
      <c r="F928" s="433"/>
      <c r="G928" s="434"/>
      <c r="H928" s="435"/>
      <c r="I928" s="434"/>
      <c r="J928" s="53"/>
      <c r="K928">
        <f t="shared" si="92"/>
        <v>0</v>
      </c>
      <c r="L928">
        <f t="shared" si="88"/>
        <v>0</v>
      </c>
      <c r="M928">
        <f t="shared" si="89"/>
        <v>0</v>
      </c>
      <c r="N928">
        <f t="shared" si="90"/>
        <v>0</v>
      </c>
    </row>
    <row r="929" spans="1:14" s="197" customFormat="1" ht="12.95" customHeight="1">
      <c r="A929" s="428"/>
      <c r="B929" s="429"/>
      <c r="C929" s="430"/>
      <c r="D929" s="431"/>
      <c r="E929" s="432"/>
      <c r="F929" s="433"/>
      <c r="G929" s="434"/>
      <c r="H929" s="435"/>
      <c r="I929" s="434"/>
      <c r="J929" s="53"/>
      <c r="K929">
        <f t="shared" si="92"/>
        <v>0</v>
      </c>
      <c r="L929">
        <f t="shared" si="88"/>
        <v>0</v>
      </c>
      <c r="M929">
        <f t="shared" si="89"/>
        <v>0</v>
      </c>
      <c r="N929">
        <f t="shared" si="90"/>
        <v>0</v>
      </c>
    </row>
    <row r="930" spans="1:14" s="197" customFormat="1" ht="12.95" customHeight="1">
      <c r="A930" s="428"/>
      <c r="B930" s="429"/>
      <c r="C930" s="430"/>
      <c r="D930" s="431"/>
      <c r="E930" s="432"/>
      <c r="F930" s="433"/>
      <c r="G930" s="434"/>
      <c r="H930" s="435"/>
      <c r="I930" s="434"/>
      <c r="J930" s="53"/>
      <c r="K930">
        <f t="shared" si="92"/>
        <v>0</v>
      </c>
      <c r="L930">
        <f t="shared" si="88"/>
        <v>0</v>
      </c>
      <c r="M930">
        <f t="shared" si="89"/>
        <v>0</v>
      </c>
      <c r="N930">
        <f t="shared" si="90"/>
        <v>0</v>
      </c>
    </row>
    <row r="931" spans="1:14" s="197" customFormat="1" ht="12" customHeight="1">
      <c r="A931" s="868"/>
      <c r="B931" s="870" t="s">
        <v>397</v>
      </c>
      <c r="C931" s="422"/>
      <c r="D931" s="423"/>
      <c r="E931" s="424"/>
      <c r="F931" s="425"/>
      <c r="G931" s="426"/>
      <c r="H931" s="427"/>
      <c r="I931" s="426"/>
      <c r="J931" s="53"/>
      <c r="K931">
        <f t="shared" si="92"/>
        <v>0</v>
      </c>
      <c r="L931">
        <f t="shared" si="88"/>
        <v>0</v>
      </c>
      <c r="M931">
        <f t="shared" si="89"/>
        <v>0</v>
      </c>
      <c r="N931">
        <f t="shared" si="90"/>
        <v>0</v>
      </c>
    </row>
    <row r="932" spans="1:14" s="197" customFormat="1" ht="12" customHeight="1">
      <c r="A932" s="869"/>
      <c r="B932" s="871"/>
      <c r="C932" s="422"/>
      <c r="D932" s="423"/>
      <c r="E932" s="424"/>
      <c r="F932" s="425"/>
      <c r="G932" s="426"/>
      <c r="H932" s="427"/>
      <c r="I932" s="426"/>
      <c r="J932" s="53"/>
      <c r="K932">
        <f t="shared" si="92"/>
        <v>0</v>
      </c>
      <c r="L932">
        <f t="shared" si="88"/>
        <v>0</v>
      </c>
      <c r="M932">
        <f t="shared" si="89"/>
        <v>0</v>
      </c>
      <c r="N932">
        <f t="shared" si="90"/>
        <v>0</v>
      </c>
    </row>
    <row r="933" spans="1:14" s="197" customFormat="1" ht="12.95" customHeight="1">
      <c r="A933" s="428"/>
      <c r="B933" s="429" t="s">
        <v>398</v>
      </c>
      <c r="C933" s="58">
        <v>452.00692824175758</v>
      </c>
      <c r="D933" s="431">
        <f>C933*30</f>
        <v>13560.207847252728</v>
      </c>
      <c r="E933" s="432"/>
      <c r="F933" s="433"/>
      <c r="G933" s="434"/>
      <c r="H933" s="435"/>
      <c r="I933" s="434"/>
      <c r="J933" s="53"/>
      <c r="K933">
        <f t="shared" si="92"/>
        <v>0</v>
      </c>
      <c r="L933">
        <f t="shared" si="88"/>
        <v>0</v>
      </c>
      <c r="M933">
        <f t="shared" si="89"/>
        <v>0</v>
      </c>
      <c r="N933">
        <f t="shared" si="90"/>
        <v>0</v>
      </c>
    </row>
    <row r="934" spans="1:14" s="197" customFormat="1" ht="12.95" customHeight="1">
      <c r="A934" s="428"/>
      <c r="B934" s="429" t="s">
        <v>399</v>
      </c>
      <c r="C934" s="58">
        <v>674.69059545192704</v>
      </c>
      <c r="D934" s="431">
        <f>C934*30</f>
        <v>20240.717863557809</v>
      </c>
      <c r="E934" s="432"/>
      <c r="F934" s="433"/>
      <c r="G934" s="434"/>
      <c r="H934" s="435"/>
      <c r="I934" s="434"/>
      <c r="J934" s="53"/>
      <c r="K934">
        <f t="shared" si="92"/>
        <v>0</v>
      </c>
      <c r="L934">
        <f t="shared" si="88"/>
        <v>0</v>
      </c>
      <c r="M934">
        <f t="shared" si="89"/>
        <v>0</v>
      </c>
      <c r="N934">
        <f t="shared" si="90"/>
        <v>0</v>
      </c>
    </row>
    <row r="935" spans="1:14" s="197" customFormat="1" ht="12.95" customHeight="1">
      <c r="A935" s="428"/>
      <c r="B935" s="429" t="s">
        <v>400</v>
      </c>
      <c r="C935" s="58">
        <v>88.400389991679972</v>
      </c>
      <c r="D935" s="431">
        <f>C935*30</f>
        <v>2652.0116997503992</v>
      </c>
      <c r="E935" s="432"/>
      <c r="F935" s="433"/>
      <c r="G935" s="434"/>
      <c r="H935" s="435"/>
      <c r="I935" s="434"/>
      <c r="J935" s="53"/>
      <c r="K935">
        <f t="shared" si="92"/>
        <v>0</v>
      </c>
      <c r="L935">
        <f t="shared" si="88"/>
        <v>0</v>
      </c>
      <c r="M935">
        <f t="shared" si="89"/>
        <v>0</v>
      </c>
      <c r="N935">
        <f t="shared" si="90"/>
        <v>0</v>
      </c>
    </row>
    <row r="936" spans="1:14" s="197" customFormat="1" ht="12.95" customHeight="1">
      <c r="A936" s="428"/>
      <c r="B936" s="429"/>
      <c r="C936" s="430"/>
      <c r="D936" s="431">
        <f>C936*30</f>
        <v>0</v>
      </c>
      <c r="E936" s="432"/>
      <c r="F936" s="433"/>
      <c r="G936" s="434"/>
      <c r="H936" s="435"/>
      <c r="I936" s="434"/>
      <c r="J936" s="53"/>
      <c r="K936">
        <f t="shared" si="92"/>
        <v>0</v>
      </c>
      <c r="L936">
        <f t="shared" si="88"/>
        <v>0</v>
      </c>
      <c r="M936">
        <f t="shared" si="89"/>
        <v>0</v>
      </c>
      <c r="N936">
        <f t="shared" si="90"/>
        <v>0</v>
      </c>
    </row>
    <row r="937" spans="1:14" s="197" customFormat="1" ht="12.95" customHeight="1">
      <c r="A937" s="428"/>
      <c r="B937" s="429"/>
      <c r="C937" s="430"/>
      <c r="D937" s="431">
        <f>C937*30</f>
        <v>0</v>
      </c>
      <c r="E937" s="432"/>
      <c r="F937" s="433"/>
      <c r="G937" s="434"/>
      <c r="H937" s="435"/>
      <c r="I937" s="434"/>
      <c r="J937" s="53"/>
      <c r="K937">
        <f t="shared" si="92"/>
        <v>0</v>
      </c>
      <c r="L937">
        <f t="shared" si="88"/>
        <v>0</v>
      </c>
      <c r="M937">
        <f t="shared" si="89"/>
        <v>0</v>
      </c>
      <c r="N937">
        <f t="shared" si="90"/>
        <v>0</v>
      </c>
    </row>
    <row r="938" spans="1:14" s="197" customFormat="1" ht="12" customHeight="1">
      <c r="A938" s="868"/>
      <c r="B938" s="870" t="s">
        <v>401</v>
      </c>
      <c r="C938" s="422"/>
      <c r="D938" s="423"/>
      <c r="E938" s="424"/>
      <c r="F938" s="425"/>
      <c r="G938" s="426"/>
      <c r="H938" s="427"/>
      <c r="I938" s="426"/>
      <c r="J938" s="53"/>
      <c r="K938">
        <f t="shared" si="92"/>
        <v>0</v>
      </c>
      <c r="L938">
        <f t="shared" si="88"/>
        <v>0</v>
      </c>
      <c r="M938">
        <f t="shared" si="89"/>
        <v>0</v>
      </c>
      <c r="N938">
        <f t="shared" si="90"/>
        <v>0</v>
      </c>
    </row>
    <row r="939" spans="1:14" s="197" customFormat="1" ht="12" customHeight="1">
      <c r="A939" s="869"/>
      <c r="B939" s="871"/>
      <c r="C939" s="422"/>
      <c r="D939" s="423"/>
      <c r="E939" s="424"/>
      <c r="F939" s="425"/>
      <c r="G939" s="426"/>
      <c r="H939" s="427"/>
      <c r="I939" s="426"/>
      <c r="J939" s="53"/>
      <c r="K939">
        <f t="shared" si="92"/>
        <v>0</v>
      </c>
      <c r="L939">
        <f t="shared" si="88"/>
        <v>0</v>
      </c>
      <c r="M939">
        <f t="shared" si="89"/>
        <v>0</v>
      </c>
      <c r="N939">
        <f t="shared" si="90"/>
        <v>0</v>
      </c>
    </row>
    <row r="940" spans="1:14" s="197" customFormat="1" ht="12.95" customHeight="1">
      <c r="A940" s="428"/>
      <c r="B940" s="429" t="s">
        <v>402</v>
      </c>
      <c r="C940" s="58">
        <v>1171.2562426138948</v>
      </c>
      <c r="D940" s="431">
        <f t="shared" ref="D940:D954" si="93">C940*30</f>
        <v>35137.687278416844</v>
      </c>
      <c r="E940" s="432"/>
      <c r="F940" s="433"/>
      <c r="G940" s="434"/>
      <c r="H940" s="435"/>
      <c r="I940" s="434"/>
      <c r="J940" s="53"/>
      <c r="K940">
        <f t="shared" si="92"/>
        <v>0</v>
      </c>
      <c r="L940">
        <f t="shared" si="88"/>
        <v>0</v>
      </c>
      <c r="M940">
        <f t="shared" si="89"/>
        <v>0</v>
      </c>
      <c r="N940">
        <f t="shared" si="90"/>
        <v>0</v>
      </c>
    </row>
    <row r="941" spans="1:14" s="197" customFormat="1" ht="12.95" customHeight="1">
      <c r="A941" s="428"/>
      <c r="B941" s="429" t="s">
        <v>403</v>
      </c>
      <c r="C941" s="58">
        <v>1248.2568978071611</v>
      </c>
      <c r="D941" s="431">
        <f t="shared" si="93"/>
        <v>37447.706934214832</v>
      </c>
      <c r="E941" s="432"/>
      <c r="F941" s="433"/>
      <c r="G941" s="434"/>
      <c r="H941" s="435"/>
      <c r="I941" s="434"/>
      <c r="J941" s="53"/>
      <c r="K941">
        <f t="shared" si="92"/>
        <v>0</v>
      </c>
      <c r="L941">
        <f t="shared" si="88"/>
        <v>0</v>
      </c>
      <c r="M941">
        <f t="shared" si="89"/>
        <v>0</v>
      </c>
      <c r="N941">
        <f t="shared" si="90"/>
        <v>0</v>
      </c>
    </row>
    <row r="942" spans="1:14" s="197" customFormat="1" ht="12.95" customHeight="1">
      <c r="A942" s="428"/>
      <c r="B942" s="429" t="s">
        <v>404</v>
      </c>
      <c r="C942" s="58">
        <v>1354.55715212926</v>
      </c>
      <c r="D942" s="431">
        <f t="shared" si="93"/>
        <v>40636.714563877802</v>
      </c>
      <c r="E942" s="432"/>
      <c r="F942" s="433"/>
      <c r="G942" s="434"/>
      <c r="H942" s="435"/>
      <c r="I942" s="434"/>
      <c r="J942" s="53"/>
      <c r="K942">
        <f t="shared" si="92"/>
        <v>0</v>
      </c>
      <c r="L942">
        <f t="shared" si="88"/>
        <v>0</v>
      </c>
      <c r="M942">
        <f t="shared" si="89"/>
        <v>0</v>
      </c>
      <c r="N942">
        <f t="shared" si="90"/>
        <v>0</v>
      </c>
    </row>
    <row r="943" spans="1:14" s="197" customFormat="1" ht="12.95" customHeight="1">
      <c r="A943" s="428"/>
      <c r="B943" s="429" t="s">
        <v>405</v>
      </c>
      <c r="C943" s="58">
        <v>1099.2538433823365</v>
      </c>
      <c r="D943" s="431">
        <f t="shared" si="93"/>
        <v>32977.615301470098</v>
      </c>
      <c r="E943" s="432"/>
      <c r="F943" s="433"/>
      <c r="G943" s="434"/>
      <c r="H943" s="435"/>
      <c r="I943" s="434"/>
      <c r="J943" s="53"/>
      <c r="K943">
        <f t="shared" si="92"/>
        <v>0</v>
      </c>
      <c r="L943">
        <f t="shared" si="88"/>
        <v>0</v>
      </c>
      <c r="M943">
        <f t="shared" si="89"/>
        <v>0</v>
      </c>
      <c r="N943">
        <f t="shared" si="90"/>
        <v>0</v>
      </c>
    </row>
    <row r="944" spans="1:14" s="197" customFormat="1" ht="12.95" customHeight="1">
      <c r="A944" s="428"/>
      <c r="B944" s="429" t="s">
        <v>406</v>
      </c>
      <c r="C944" s="58">
        <v>786.93045570974675</v>
      </c>
      <c r="D944" s="431">
        <f t="shared" si="93"/>
        <v>23607.913671292401</v>
      </c>
      <c r="E944" s="432"/>
      <c r="F944" s="433"/>
      <c r="G944" s="434"/>
      <c r="H944" s="435"/>
      <c r="I944" s="434"/>
      <c r="J944" s="53"/>
      <c r="K944">
        <f t="shared" si="92"/>
        <v>0</v>
      </c>
      <c r="L944">
        <f t="shared" si="88"/>
        <v>0</v>
      </c>
      <c r="M944">
        <f t="shared" si="89"/>
        <v>0</v>
      </c>
      <c r="N944">
        <f t="shared" si="90"/>
        <v>0</v>
      </c>
    </row>
    <row r="945" spans="1:14" s="197" customFormat="1" ht="12.95" customHeight="1">
      <c r="A945" s="428"/>
      <c r="B945" s="429" t="s">
        <v>407</v>
      </c>
      <c r="C945" s="58">
        <v>291.83657056739918</v>
      </c>
      <c r="D945" s="431">
        <f t="shared" si="93"/>
        <v>8755.0971170219746</v>
      </c>
      <c r="E945" s="432"/>
      <c r="F945" s="433"/>
      <c r="G945" s="434"/>
      <c r="H945" s="435"/>
      <c r="I945" s="434"/>
      <c r="J945" s="53"/>
      <c r="K945">
        <f t="shared" si="92"/>
        <v>0</v>
      </c>
      <c r="L945">
        <f t="shared" si="88"/>
        <v>0</v>
      </c>
      <c r="M945">
        <f t="shared" si="89"/>
        <v>0</v>
      </c>
      <c r="N945">
        <f t="shared" si="90"/>
        <v>0</v>
      </c>
    </row>
    <row r="946" spans="1:14" s="197" customFormat="1" ht="12.95" customHeight="1">
      <c r="A946" s="428"/>
      <c r="B946" s="429" t="s">
        <v>408</v>
      </c>
      <c r="C946" s="58">
        <v>540.33825756677311</v>
      </c>
      <c r="D946" s="431">
        <f t="shared" si="93"/>
        <v>16210.147727003194</v>
      </c>
      <c r="E946" s="432"/>
      <c r="F946" s="433"/>
      <c r="G946" s="434"/>
      <c r="H946" s="435"/>
      <c r="I946" s="434"/>
      <c r="J946" s="53"/>
      <c r="K946">
        <f t="shared" si="92"/>
        <v>0</v>
      </c>
      <c r="L946">
        <f t="shared" si="88"/>
        <v>0</v>
      </c>
      <c r="M946">
        <f t="shared" si="89"/>
        <v>0</v>
      </c>
      <c r="N946">
        <f t="shared" si="90"/>
        <v>0</v>
      </c>
    </row>
    <row r="947" spans="1:14" s="197" customFormat="1" ht="12.95" customHeight="1">
      <c r="A947" s="428"/>
      <c r="B947" s="429" t="s">
        <v>409</v>
      </c>
      <c r="C947" s="58">
        <v>248.81026644318064</v>
      </c>
      <c r="D947" s="431">
        <f t="shared" si="93"/>
        <v>7464.3079932954188</v>
      </c>
      <c r="E947" s="432"/>
      <c r="F947" s="433"/>
      <c r="G947" s="434"/>
      <c r="H947" s="435"/>
      <c r="I947" s="434"/>
      <c r="J947" s="53"/>
      <c r="K947">
        <f t="shared" si="92"/>
        <v>0</v>
      </c>
      <c r="L947">
        <f t="shared" si="88"/>
        <v>0</v>
      </c>
      <c r="M947">
        <f t="shared" si="89"/>
        <v>0</v>
      </c>
      <c r="N947">
        <f t="shared" si="90"/>
        <v>0</v>
      </c>
    </row>
    <row r="948" spans="1:14" s="197" customFormat="1" ht="12.95" customHeight="1">
      <c r="A948" s="428"/>
      <c r="B948" s="429" t="s">
        <v>410</v>
      </c>
      <c r="C948" s="58">
        <v>361.37014453326077</v>
      </c>
      <c r="D948" s="431">
        <f t="shared" si="93"/>
        <v>10841.104335997823</v>
      </c>
      <c r="E948" s="432"/>
      <c r="F948" s="433"/>
      <c r="G948" s="434"/>
      <c r="H948" s="435"/>
      <c r="I948" s="434"/>
      <c r="J948" s="53"/>
      <c r="K948">
        <f t="shared" si="92"/>
        <v>0</v>
      </c>
      <c r="L948">
        <f t="shared" si="88"/>
        <v>0</v>
      </c>
      <c r="M948">
        <f t="shared" si="89"/>
        <v>0</v>
      </c>
      <c r="N948">
        <f t="shared" si="90"/>
        <v>0</v>
      </c>
    </row>
    <row r="949" spans="1:14" s="197" customFormat="1" ht="12.95" customHeight="1">
      <c r="A949" s="428"/>
      <c r="B949" s="429" t="s">
        <v>411</v>
      </c>
      <c r="C949" s="58">
        <v>432.63449697278008</v>
      </c>
      <c r="D949" s="431">
        <f t="shared" si="93"/>
        <v>12979.034909183403</v>
      </c>
      <c r="E949" s="432"/>
      <c r="F949" s="433"/>
      <c r="G949" s="434"/>
      <c r="H949" s="435"/>
      <c r="I949" s="434"/>
      <c r="J949" s="53"/>
      <c r="K949">
        <f t="shared" si="92"/>
        <v>0</v>
      </c>
      <c r="L949">
        <f t="shared" si="88"/>
        <v>0</v>
      </c>
      <c r="M949">
        <f t="shared" si="89"/>
        <v>0</v>
      </c>
      <c r="N949">
        <f t="shared" si="90"/>
        <v>0</v>
      </c>
    </row>
    <row r="950" spans="1:14" s="197" customFormat="1" ht="12.95" customHeight="1">
      <c r="A950" s="428"/>
      <c r="B950" s="429" t="s">
        <v>412</v>
      </c>
      <c r="C950" s="58">
        <v>264.18055780375806</v>
      </c>
      <c r="D950" s="431">
        <f t="shared" si="93"/>
        <v>7925.4167341127422</v>
      </c>
      <c r="E950" s="432"/>
      <c r="F950" s="433"/>
      <c r="G950" s="434"/>
      <c r="H950" s="435"/>
      <c r="I950" s="434"/>
      <c r="J950" s="53"/>
      <c r="K950">
        <f t="shared" si="92"/>
        <v>0</v>
      </c>
      <c r="L950">
        <f t="shared" si="88"/>
        <v>0</v>
      </c>
      <c r="M950">
        <f t="shared" si="89"/>
        <v>0</v>
      </c>
      <c r="N950">
        <f t="shared" si="90"/>
        <v>0</v>
      </c>
    </row>
    <row r="951" spans="1:14" s="197" customFormat="1" ht="12.95" customHeight="1">
      <c r="A951" s="428"/>
      <c r="B951" s="429" t="s">
        <v>413</v>
      </c>
      <c r="C951" s="58">
        <v>486.26171368499206</v>
      </c>
      <c r="D951" s="431">
        <f t="shared" si="93"/>
        <v>14587.851410549762</v>
      </c>
      <c r="E951" s="432"/>
      <c r="F951" s="433"/>
      <c r="G951" s="434"/>
      <c r="H951" s="435"/>
      <c r="I951" s="434"/>
      <c r="J951" s="53"/>
      <c r="K951">
        <f t="shared" si="92"/>
        <v>0</v>
      </c>
      <c r="L951">
        <f t="shared" si="88"/>
        <v>0</v>
      </c>
      <c r="M951">
        <f t="shared" si="89"/>
        <v>0</v>
      </c>
      <c r="N951">
        <f t="shared" si="90"/>
        <v>0</v>
      </c>
    </row>
    <row r="952" spans="1:14" s="197" customFormat="1" ht="12.95" customHeight="1">
      <c r="A952" s="428"/>
      <c r="B952" s="429" t="s">
        <v>414</v>
      </c>
      <c r="C952" s="58">
        <v>98.195583998020055</v>
      </c>
      <c r="D952" s="431">
        <f t="shared" si="93"/>
        <v>2945.8675199406016</v>
      </c>
      <c r="E952" s="432"/>
      <c r="F952" s="433"/>
      <c r="G952" s="434"/>
      <c r="H952" s="435"/>
      <c r="I952" s="434"/>
      <c r="J952" s="53"/>
      <c r="K952">
        <f t="shared" si="92"/>
        <v>0</v>
      </c>
      <c r="L952">
        <f t="shared" si="88"/>
        <v>0</v>
      </c>
      <c r="M952">
        <f t="shared" si="89"/>
        <v>0</v>
      </c>
      <c r="N952">
        <f t="shared" si="90"/>
        <v>0</v>
      </c>
    </row>
    <row r="953" spans="1:14" s="197" customFormat="1" ht="12.95" customHeight="1">
      <c r="A953" s="428"/>
      <c r="B953" s="429" t="s">
        <v>415</v>
      </c>
      <c r="C953" s="58">
        <v>335.54509595151598</v>
      </c>
      <c r="D953" s="431">
        <f t="shared" si="93"/>
        <v>10066.35287854548</v>
      </c>
      <c r="E953" s="432"/>
      <c r="F953" s="433"/>
      <c r="G953" s="434"/>
      <c r="H953" s="435"/>
      <c r="I953" s="434"/>
      <c r="J953" s="53"/>
      <c r="K953">
        <f t="shared" si="92"/>
        <v>0</v>
      </c>
      <c r="L953">
        <f t="shared" si="88"/>
        <v>0</v>
      </c>
      <c r="M953">
        <f t="shared" si="89"/>
        <v>0</v>
      </c>
      <c r="N953">
        <f t="shared" si="90"/>
        <v>0</v>
      </c>
    </row>
    <row r="954" spans="1:14" s="197" customFormat="1" ht="12.95" customHeight="1">
      <c r="A954" s="428"/>
      <c r="B954" s="429"/>
      <c r="C954" s="430"/>
      <c r="D954" s="431">
        <f t="shared" si="93"/>
        <v>0</v>
      </c>
      <c r="E954" s="432"/>
      <c r="F954" s="433"/>
      <c r="G954" s="434"/>
      <c r="H954" s="435"/>
      <c r="I954" s="434"/>
      <c r="J954" s="53"/>
      <c r="K954">
        <f t="shared" si="92"/>
        <v>0</v>
      </c>
      <c r="L954">
        <f t="shared" si="88"/>
        <v>0</v>
      </c>
      <c r="M954">
        <f t="shared" si="89"/>
        <v>0</v>
      </c>
      <c r="N954">
        <f t="shared" si="90"/>
        <v>0</v>
      </c>
    </row>
    <row r="955" spans="1:14" s="197" customFormat="1" ht="12.75" customHeight="1">
      <c r="A955" s="428"/>
      <c r="B955" s="429"/>
      <c r="C955" s="430"/>
      <c r="D955" s="431"/>
      <c r="E955" s="432"/>
      <c r="F955" s="433"/>
      <c r="G955" s="434"/>
      <c r="H955" s="435"/>
      <c r="I955" s="434"/>
      <c r="J955" s="53"/>
      <c r="K955">
        <f t="shared" ref="K955:K977" si="94">IF(M955&gt;0,1,0)</f>
        <v>0</v>
      </c>
      <c r="L955">
        <f t="shared" si="88"/>
        <v>0</v>
      </c>
      <c r="M955">
        <f t="shared" si="89"/>
        <v>0</v>
      </c>
      <c r="N955">
        <f t="shared" si="90"/>
        <v>0</v>
      </c>
    </row>
    <row r="956" spans="1:14" s="197" customFormat="1" ht="12" customHeight="1">
      <c r="A956" s="868"/>
      <c r="B956" s="870" t="s">
        <v>416</v>
      </c>
      <c r="C956" s="422"/>
      <c r="D956" s="423"/>
      <c r="E956" s="424"/>
      <c r="F956" s="425"/>
      <c r="G956" s="426"/>
      <c r="H956" s="427"/>
      <c r="I956" s="426"/>
      <c r="J956" s="53"/>
      <c r="K956">
        <f t="shared" si="94"/>
        <v>0</v>
      </c>
      <c r="L956">
        <f t="shared" si="88"/>
        <v>0</v>
      </c>
      <c r="M956">
        <f t="shared" si="89"/>
        <v>0</v>
      </c>
      <c r="N956">
        <f t="shared" si="90"/>
        <v>0</v>
      </c>
    </row>
    <row r="957" spans="1:14" s="197" customFormat="1" ht="12" customHeight="1">
      <c r="A957" s="869"/>
      <c r="B957" s="871"/>
      <c r="C957" s="422"/>
      <c r="D957" s="423"/>
      <c r="E957" s="424"/>
      <c r="F957" s="425"/>
      <c r="G957" s="426"/>
      <c r="H957" s="427"/>
      <c r="I957" s="426"/>
      <c r="J957" s="53"/>
      <c r="K957">
        <f t="shared" si="94"/>
        <v>0</v>
      </c>
      <c r="L957">
        <f t="shared" si="88"/>
        <v>0</v>
      </c>
      <c r="M957">
        <f t="shared" si="89"/>
        <v>0</v>
      </c>
      <c r="N957">
        <f t="shared" si="90"/>
        <v>0</v>
      </c>
    </row>
    <row r="958" spans="1:14" s="197" customFormat="1" ht="12.95" customHeight="1">
      <c r="A958" s="428" t="s">
        <v>516</v>
      </c>
      <c r="B958" s="429" t="s">
        <v>417</v>
      </c>
      <c r="C958" s="58">
        <v>53.577447887622675</v>
      </c>
      <c r="D958" s="431">
        <f t="shared" ref="D958:D975" si="95">C958*30</f>
        <v>1607.3234366286802</v>
      </c>
      <c r="E958" s="432"/>
      <c r="F958" s="433"/>
      <c r="G958" s="434"/>
      <c r="H958" s="435"/>
      <c r="I958" s="434"/>
      <c r="J958" s="53"/>
      <c r="K958">
        <f t="shared" si="94"/>
        <v>0</v>
      </c>
      <c r="L958">
        <f t="shared" si="88"/>
        <v>0</v>
      </c>
      <c r="M958">
        <f t="shared" si="89"/>
        <v>0</v>
      </c>
      <c r="N958">
        <f t="shared" si="90"/>
        <v>0</v>
      </c>
    </row>
    <row r="959" spans="1:14" s="197" customFormat="1" ht="12.95" customHeight="1">
      <c r="A959" s="428" t="s">
        <v>533</v>
      </c>
      <c r="B959" s="429" t="s">
        <v>418</v>
      </c>
      <c r="C959" s="58">
        <v>50.606076908028342</v>
      </c>
      <c r="D959" s="431">
        <f t="shared" si="95"/>
        <v>1518.1823072408502</v>
      </c>
      <c r="E959" s="432"/>
      <c r="F959" s="433"/>
      <c r="G959" s="434"/>
      <c r="H959" s="435"/>
      <c r="I959" s="434"/>
      <c r="J959" s="53"/>
      <c r="K959">
        <f t="shared" si="94"/>
        <v>0</v>
      </c>
      <c r="L959">
        <f t="shared" si="88"/>
        <v>0</v>
      </c>
      <c r="M959">
        <f t="shared" si="89"/>
        <v>0</v>
      </c>
      <c r="N959">
        <f t="shared" si="90"/>
        <v>0</v>
      </c>
    </row>
    <row r="960" spans="1:14" s="197" customFormat="1" ht="12.95" customHeight="1">
      <c r="A960" s="428" t="s">
        <v>516</v>
      </c>
      <c r="B960" s="429" t="s">
        <v>419</v>
      </c>
      <c r="C960" s="58">
        <v>73.931370855823502</v>
      </c>
      <c r="D960" s="431">
        <f t="shared" si="95"/>
        <v>2217.9411256747053</v>
      </c>
      <c r="E960" s="432"/>
      <c r="F960" s="433"/>
      <c r="G960" s="434"/>
      <c r="H960" s="435"/>
      <c r="I960" s="434"/>
      <c r="J960" s="53"/>
      <c r="K960">
        <f t="shared" si="94"/>
        <v>0</v>
      </c>
      <c r="L960">
        <f t="shared" si="88"/>
        <v>0</v>
      </c>
      <c r="M960">
        <f t="shared" si="89"/>
        <v>0</v>
      </c>
      <c r="N960">
        <f t="shared" si="90"/>
        <v>0</v>
      </c>
    </row>
    <row r="961" spans="1:14" s="197" customFormat="1" ht="12.95" customHeight="1">
      <c r="A961" s="428" t="s">
        <v>516</v>
      </c>
      <c r="B961" s="429" t="s">
        <v>420</v>
      </c>
      <c r="C961" s="58">
        <v>60.703437420717755</v>
      </c>
      <c r="D961" s="431">
        <f t="shared" si="95"/>
        <v>1821.1031226215327</v>
      </c>
      <c r="E961" s="432"/>
      <c r="F961" s="433"/>
      <c r="G961" s="434"/>
      <c r="H961" s="435"/>
      <c r="I961" s="434"/>
      <c r="J961" s="53"/>
      <c r="K961">
        <f t="shared" si="94"/>
        <v>0</v>
      </c>
      <c r="L961">
        <f t="shared" si="88"/>
        <v>0</v>
      </c>
      <c r="M961">
        <f t="shared" si="89"/>
        <v>0</v>
      </c>
      <c r="N961">
        <f t="shared" si="90"/>
        <v>0</v>
      </c>
    </row>
    <row r="962" spans="1:14" s="197" customFormat="1" ht="12.95" customHeight="1">
      <c r="A962" s="428" t="s">
        <v>516</v>
      </c>
      <c r="B962" s="429" t="s">
        <v>421</v>
      </c>
      <c r="C962" s="58">
        <v>48.095595711022675</v>
      </c>
      <c r="D962" s="431">
        <f t="shared" si="95"/>
        <v>1442.8678713306801</v>
      </c>
      <c r="E962" s="432"/>
      <c r="F962" s="433"/>
      <c r="G962" s="434"/>
      <c r="H962" s="435"/>
      <c r="I962" s="434"/>
      <c r="J962" s="53"/>
      <c r="K962">
        <f t="shared" si="94"/>
        <v>0</v>
      </c>
      <c r="L962">
        <f t="shared" si="88"/>
        <v>0</v>
      </c>
      <c r="M962">
        <f t="shared" si="89"/>
        <v>0</v>
      </c>
      <c r="N962">
        <f t="shared" si="90"/>
        <v>0</v>
      </c>
    </row>
    <row r="963" spans="1:14" s="197" customFormat="1" ht="12.95" customHeight="1">
      <c r="A963" s="428" t="s">
        <v>516</v>
      </c>
      <c r="B963" s="429" t="s">
        <v>584</v>
      </c>
      <c r="C963" s="58">
        <v>41.553263069946254</v>
      </c>
      <c r="D963" s="431">
        <f t="shared" si="95"/>
        <v>1246.5978920983875</v>
      </c>
      <c r="E963" s="432"/>
      <c r="F963" s="433"/>
      <c r="G963" s="434"/>
      <c r="H963" s="435"/>
      <c r="I963" s="434"/>
      <c r="J963" s="53"/>
      <c r="K963">
        <f t="shared" si="94"/>
        <v>0</v>
      </c>
      <c r="L963">
        <f t="shared" si="88"/>
        <v>0</v>
      </c>
      <c r="M963">
        <f t="shared" si="89"/>
        <v>0</v>
      </c>
      <c r="N963">
        <f t="shared" si="90"/>
        <v>0</v>
      </c>
    </row>
    <row r="964" spans="1:14" s="197" customFormat="1" ht="12.95" customHeight="1">
      <c r="A964" s="428" t="s">
        <v>516</v>
      </c>
      <c r="B964" s="429" t="s">
        <v>585</v>
      </c>
      <c r="C964" s="58">
        <v>35.251322699470272</v>
      </c>
      <c r="D964" s="431">
        <f t="shared" si="95"/>
        <v>1057.5396809841081</v>
      </c>
      <c r="E964" s="432"/>
      <c r="F964" s="433"/>
      <c r="G964" s="434"/>
      <c r="H964" s="435"/>
      <c r="I964" s="434"/>
      <c r="J964" s="53"/>
      <c r="K964">
        <f t="shared" si="94"/>
        <v>0</v>
      </c>
      <c r="L964">
        <f t="shared" si="88"/>
        <v>0</v>
      </c>
      <c r="M964">
        <f t="shared" si="89"/>
        <v>0</v>
      </c>
      <c r="N964">
        <f t="shared" si="90"/>
        <v>0</v>
      </c>
    </row>
    <row r="965" spans="1:14" s="197" customFormat="1" ht="12.95" customHeight="1">
      <c r="A965" s="428" t="s">
        <v>516</v>
      </c>
      <c r="B965" s="429" t="s">
        <v>586</v>
      </c>
      <c r="C965" s="58">
        <v>34.902446140708328</v>
      </c>
      <c r="D965" s="431">
        <f t="shared" si="95"/>
        <v>1047.0733842212499</v>
      </c>
      <c r="E965" s="432"/>
      <c r="F965" s="433"/>
      <c r="G965" s="434"/>
      <c r="H965" s="435"/>
      <c r="I965" s="434"/>
      <c r="J965" s="53"/>
      <c r="K965">
        <f t="shared" si="94"/>
        <v>0</v>
      </c>
      <c r="L965">
        <f t="shared" si="88"/>
        <v>0</v>
      </c>
      <c r="M965">
        <f t="shared" si="89"/>
        <v>0</v>
      </c>
      <c r="N965">
        <f t="shared" si="90"/>
        <v>0</v>
      </c>
    </row>
    <row r="966" spans="1:14" s="197" customFormat="1" ht="12.95" customHeight="1">
      <c r="A966" s="428" t="s">
        <v>535</v>
      </c>
      <c r="B966" s="429" t="s">
        <v>587</v>
      </c>
      <c r="C966" s="58">
        <v>227.94339930995503</v>
      </c>
      <c r="D966" s="431">
        <f t="shared" si="95"/>
        <v>6838.3019792986506</v>
      </c>
      <c r="E966" s="432"/>
      <c r="F966" s="433"/>
      <c r="G966" s="434"/>
      <c r="H966" s="435"/>
      <c r="I966" s="434"/>
      <c r="J966" s="53"/>
      <c r="K966">
        <f t="shared" si="94"/>
        <v>0</v>
      </c>
      <c r="L966">
        <f t="shared" si="88"/>
        <v>0</v>
      </c>
      <c r="M966">
        <f t="shared" si="89"/>
        <v>0</v>
      </c>
      <c r="N966">
        <f t="shared" si="90"/>
        <v>0</v>
      </c>
    </row>
    <row r="967" spans="1:14" s="197" customFormat="1" ht="12.95" customHeight="1">
      <c r="A967" s="428" t="s">
        <v>533</v>
      </c>
      <c r="B967" s="429" t="s">
        <v>588</v>
      </c>
      <c r="C967" s="58">
        <v>13.037550699435899</v>
      </c>
      <c r="D967" s="431">
        <f t="shared" si="95"/>
        <v>391.12652098307694</v>
      </c>
      <c r="E967" s="432"/>
      <c r="F967" s="433"/>
      <c r="G967" s="434"/>
      <c r="H967" s="435"/>
      <c r="I967" s="434"/>
      <c r="J967" s="53"/>
      <c r="K967">
        <f t="shared" si="94"/>
        <v>0</v>
      </c>
      <c r="L967">
        <f t="shared" si="88"/>
        <v>0</v>
      </c>
      <c r="M967">
        <f t="shared" si="89"/>
        <v>0</v>
      </c>
      <c r="N967">
        <f t="shared" si="90"/>
        <v>0</v>
      </c>
    </row>
    <row r="968" spans="1:14" s="197" customFormat="1" ht="12.95" customHeight="1">
      <c r="A968" s="428" t="s">
        <v>533</v>
      </c>
      <c r="B968" s="429" t="s">
        <v>422</v>
      </c>
      <c r="C968" s="58">
        <v>75.778092461288054</v>
      </c>
      <c r="D968" s="431">
        <f t="shared" si="95"/>
        <v>2273.3427738386417</v>
      </c>
      <c r="E968" s="432"/>
      <c r="F968" s="433"/>
      <c r="G968" s="434"/>
      <c r="H968" s="435"/>
      <c r="I968" s="434"/>
      <c r="J968" s="53"/>
      <c r="K968">
        <f t="shared" si="94"/>
        <v>0</v>
      </c>
      <c r="L968">
        <f t="shared" ref="L968:L977" si="96">IF(couleur(B968)=2,L969,IF(couleur(B969)=2,0,J968+L969))</f>
        <v>0</v>
      </c>
      <c r="M968">
        <f t="shared" ref="M968:M977" si="97">IF(couleur(B968)=2,L968,J968)</f>
        <v>0</v>
      </c>
      <c r="N968">
        <f t="shared" ref="N968:N977" si="98">IF(ISNUMBER(C968),J968*C968,0)</f>
        <v>0</v>
      </c>
    </row>
    <row r="969" spans="1:14" s="197" customFormat="1" ht="12.95" customHeight="1">
      <c r="A969" s="428" t="s">
        <v>516</v>
      </c>
      <c r="B969" s="429" t="s">
        <v>589</v>
      </c>
      <c r="C969" s="58">
        <v>16.963193462012754</v>
      </c>
      <c r="D969" s="431">
        <f t="shared" si="95"/>
        <v>508.89580386038261</v>
      </c>
      <c r="E969" s="432"/>
      <c r="F969" s="433"/>
      <c r="G969" s="434"/>
      <c r="H969" s="435"/>
      <c r="I969" s="434"/>
      <c r="J969" s="53"/>
      <c r="K969">
        <f t="shared" si="94"/>
        <v>0</v>
      </c>
      <c r="L969">
        <f t="shared" si="96"/>
        <v>0</v>
      </c>
      <c r="M969">
        <f t="shared" si="97"/>
        <v>0</v>
      </c>
      <c r="N969">
        <f t="shared" si="98"/>
        <v>0</v>
      </c>
    </row>
    <row r="970" spans="1:14" s="197" customFormat="1" ht="12.95" customHeight="1">
      <c r="A970" s="428" t="s">
        <v>516</v>
      </c>
      <c r="B970" s="429" t="s">
        <v>423</v>
      </c>
      <c r="C970" s="58">
        <v>20.209295236303724</v>
      </c>
      <c r="D970" s="431">
        <f t="shared" si="95"/>
        <v>606.27885708911174</v>
      </c>
      <c r="E970" s="432"/>
      <c r="F970" s="433"/>
      <c r="G970" s="434"/>
      <c r="H970" s="435"/>
      <c r="I970" s="434"/>
      <c r="J970" s="53"/>
      <c r="K970">
        <f t="shared" si="94"/>
        <v>0</v>
      </c>
      <c r="L970">
        <f t="shared" si="96"/>
        <v>0</v>
      </c>
      <c r="M970">
        <f t="shared" si="97"/>
        <v>0</v>
      </c>
      <c r="N970">
        <f t="shared" si="98"/>
        <v>0</v>
      </c>
    </row>
    <row r="971" spans="1:14" s="197" customFormat="1" ht="12.95" customHeight="1">
      <c r="A971" s="428" t="s">
        <v>516</v>
      </c>
      <c r="B971" s="429" t="s">
        <v>424</v>
      </c>
      <c r="C971" s="58">
        <v>30.500735608312354</v>
      </c>
      <c r="D971" s="431">
        <f t="shared" si="95"/>
        <v>915.02206824937059</v>
      </c>
      <c r="E971" s="432"/>
      <c r="F971" s="433"/>
      <c r="G971" s="434"/>
      <c r="H971" s="435"/>
      <c r="I971" s="434"/>
      <c r="J971" s="53"/>
      <c r="K971">
        <f t="shared" si="94"/>
        <v>0</v>
      </c>
      <c r="L971">
        <f t="shared" si="96"/>
        <v>0</v>
      </c>
      <c r="M971">
        <f t="shared" si="97"/>
        <v>0</v>
      </c>
      <c r="N971">
        <f t="shared" si="98"/>
        <v>0</v>
      </c>
    </row>
    <row r="972" spans="1:14" s="197" customFormat="1" ht="12.95" customHeight="1">
      <c r="A972" s="428" t="s">
        <v>516</v>
      </c>
      <c r="B972" s="429" t="s">
        <v>425</v>
      </c>
      <c r="C972" s="58">
        <v>58.320618726034589</v>
      </c>
      <c r="D972" s="431">
        <f t="shared" si="95"/>
        <v>1749.6185617810377</v>
      </c>
      <c r="E972" s="432"/>
      <c r="F972" s="433"/>
      <c r="G972" s="434"/>
      <c r="H972" s="435"/>
      <c r="I972" s="434"/>
      <c r="J972" s="53"/>
      <c r="K972">
        <f t="shared" si="94"/>
        <v>0</v>
      </c>
      <c r="L972">
        <f t="shared" si="96"/>
        <v>0</v>
      </c>
      <c r="M972">
        <f t="shared" si="97"/>
        <v>0</v>
      </c>
      <c r="N972">
        <f t="shared" si="98"/>
        <v>0</v>
      </c>
    </row>
    <row r="973" spans="1:14" s="197" customFormat="1" ht="12.95" customHeight="1">
      <c r="A973" s="428" t="s">
        <v>516</v>
      </c>
      <c r="B973" s="429" t="s">
        <v>426</v>
      </c>
      <c r="C973" s="58">
        <v>70.691734062835224</v>
      </c>
      <c r="D973" s="431">
        <f t="shared" si="95"/>
        <v>2120.7520218850568</v>
      </c>
      <c r="E973" s="432"/>
      <c r="F973" s="433"/>
      <c r="G973" s="434"/>
      <c r="H973" s="435"/>
      <c r="I973" s="434"/>
      <c r="J973" s="53"/>
      <c r="K973">
        <f t="shared" si="94"/>
        <v>0</v>
      </c>
      <c r="L973">
        <f t="shared" si="96"/>
        <v>0</v>
      </c>
      <c r="M973">
        <f t="shared" si="97"/>
        <v>0</v>
      </c>
      <c r="N973">
        <f t="shared" si="98"/>
        <v>0</v>
      </c>
    </row>
    <row r="974" spans="1:14" s="197" customFormat="1" ht="12.95" customHeight="1">
      <c r="A974" s="428"/>
      <c r="B974" s="429"/>
      <c r="C974" s="430"/>
      <c r="D974" s="431">
        <f t="shared" si="95"/>
        <v>0</v>
      </c>
      <c r="E974" s="432"/>
      <c r="F974" s="433"/>
      <c r="G974" s="434"/>
      <c r="H974" s="435"/>
      <c r="I974" s="434"/>
      <c r="J974" s="53"/>
      <c r="K974">
        <f t="shared" si="94"/>
        <v>0</v>
      </c>
      <c r="L974">
        <f t="shared" si="96"/>
        <v>0</v>
      </c>
      <c r="M974">
        <f t="shared" si="97"/>
        <v>0</v>
      </c>
      <c r="N974">
        <f t="shared" si="98"/>
        <v>0</v>
      </c>
    </row>
    <row r="975" spans="1:14" s="197" customFormat="1" ht="12.95" customHeight="1">
      <c r="A975" s="428"/>
      <c r="B975" s="429"/>
      <c r="C975" s="430"/>
      <c r="D975" s="431">
        <f t="shared" si="95"/>
        <v>0</v>
      </c>
      <c r="E975" s="432"/>
      <c r="F975" s="433"/>
      <c r="G975" s="434"/>
      <c r="H975" s="435"/>
      <c r="I975" s="434"/>
      <c r="J975" s="53"/>
      <c r="K975">
        <f t="shared" si="94"/>
        <v>0</v>
      </c>
      <c r="L975">
        <f t="shared" si="96"/>
        <v>0</v>
      </c>
      <c r="M975">
        <f t="shared" si="97"/>
        <v>0</v>
      </c>
      <c r="N975">
        <f t="shared" si="98"/>
        <v>0</v>
      </c>
    </row>
    <row r="976" spans="1:14" s="197" customFormat="1">
      <c r="A976" s="425"/>
      <c r="B976" s="429"/>
      <c r="C976" s="430"/>
      <c r="D976" s="431"/>
      <c r="E976" s="432"/>
      <c r="F976" s="433"/>
      <c r="G976" s="434"/>
      <c r="H976" s="435"/>
      <c r="I976" s="434"/>
      <c r="J976" s="53"/>
      <c r="K976">
        <f t="shared" si="94"/>
        <v>0</v>
      </c>
      <c r="L976">
        <f t="shared" si="96"/>
        <v>0</v>
      </c>
      <c r="M976">
        <f t="shared" si="97"/>
        <v>0</v>
      </c>
      <c r="N976">
        <f t="shared" si="98"/>
        <v>0</v>
      </c>
    </row>
    <row r="977" spans="1:14" s="197" customFormat="1" ht="13.5" thickBot="1">
      <c r="A977" s="436"/>
      <c r="B977" s="437"/>
      <c r="C977" s="438"/>
      <c r="D977" s="439"/>
      <c r="E977" s="440"/>
      <c r="F977" s="441"/>
      <c r="G977" s="442"/>
      <c r="H977" s="443"/>
      <c r="I977" s="442"/>
      <c r="J977" s="53"/>
      <c r="K977">
        <f t="shared" si="94"/>
        <v>0</v>
      </c>
      <c r="L977">
        <f t="shared" si="96"/>
        <v>0</v>
      </c>
      <c r="M977">
        <f t="shared" si="97"/>
        <v>0</v>
      </c>
      <c r="N977">
        <f t="shared" si="98"/>
        <v>0</v>
      </c>
    </row>
    <row r="978" spans="1:14" ht="13.5" thickTop="1"/>
  </sheetData>
  <autoFilter ref="J2:L2"/>
  <mergeCells count="504">
    <mergeCell ref="I48:I49"/>
    <mergeCell ref="I54:I55"/>
    <mergeCell ref="E54:E55"/>
    <mergeCell ref="F54:F55"/>
    <mergeCell ref="G54:G55"/>
    <mergeCell ref="A782:A784"/>
    <mergeCell ref="B142:B143"/>
    <mergeCell ref="H48:H49"/>
    <mergeCell ref="D209:D210"/>
    <mergeCell ref="C217:D217"/>
    <mergeCell ref="F2:H2"/>
    <mergeCell ref="C2:E2"/>
    <mergeCell ref="E12:E13"/>
    <mergeCell ref="E36:E37"/>
    <mergeCell ref="C36:C37"/>
    <mergeCell ref="C739:C740"/>
    <mergeCell ref="D739:D740"/>
    <mergeCell ref="E739:E740"/>
    <mergeCell ref="F48:F49"/>
    <mergeCell ref="G48:G49"/>
    <mergeCell ref="A884:A886"/>
    <mergeCell ref="B884:B886"/>
    <mergeCell ref="C884:E885"/>
    <mergeCell ref="E785:E786"/>
    <mergeCell ref="B868:B869"/>
    <mergeCell ref="B873:B874"/>
    <mergeCell ref="C842:C843"/>
    <mergeCell ref="B816:B817"/>
    <mergeCell ref="A839:A841"/>
    <mergeCell ref="B839:B841"/>
    <mergeCell ref="F884:H886"/>
    <mergeCell ref="F509:H511"/>
    <mergeCell ref="F178:H179"/>
    <mergeCell ref="D199:D200"/>
    <mergeCell ref="C209:C210"/>
    <mergeCell ref="D215:D216"/>
    <mergeCell ref="C221:D221"/>
    <mergeCell ref="C186:C187"/>
    <mergeCell ref="C218:D218"/>
    <mergeCell ref="C219:D219"/>
    <mergeCell ref="C94:D94"/>
    <mergeCell ref="C736:E737"/>
    <mergeCell ref="H54:H55"/>
    <mergeCell ref="B736:B738"/>
    <mergeCell ref="A54:A55"/>
    <mergeCell ref="B54:B55"/>
    <mergeCell ref="C54:C55"/>
    <mergeCell ref="D54:D55"/>
    <mergeCell ref="A175:A177"/>
    <mergeCell ref="D110:D111"/>
    <mergeCell ref="B117:B119"/>
    <mergeCell ref="F129:H129"/>
    <mergeCell ref="F130:H130"/>
    <mergeCell ref="B126:B127"/>
    <mergeCell ref="C160:C161"/>
    <mergeCell ref="B160:B161"/>
    <mergeCell ref="B135:B136"/>
    <mergeCell ref="B151:B152"/>
    <mergeCell ref="C156:C157"/>
    <mergeCell ref="F133:H133"/>
    <mergeCell ref="A48:A49"/>
    <mergeCell ref="B48:B49"/>
    <mergeCell ref="C48:C49"/>
    <mergeCell ref="D151:D152"/>
    <mergeCell ref="C142:C143"/>
    <mergeCell ref="D142:D143"/>
    <mergeCell ref="C117:E118"/>
    <mergeCell ref="C99:D99"/>
    <mergeCell ref="C106:D106"/>
    <mergeCell ref="C107:D107"/>
    <mergeCell ref="C93:D93"/>
    <mergeCell ref="D104:D105"/>
    <mergeCell ref="C151:C152"/>
    <mergeCell ref="E135:E136"/>
    <mergeCell ref="C135:C136"/>
    <mergeCell ref="E151:E152"/>
    <mergeCell ref="C146:D146"/>
    <mergeCell ref="D135:D136"/>
    <mergeCell ref="C120:C121"/>
    <mergeCell ref="B120:B121"/>
    <mergeCell ref="B90:B91"/>
    <mergeCell ref="C98:D98"/>
    <mergeCell ref="C96:D96"/>
    <mergeCell ref="C97:D97"/>
    <mergeCell ref="F104:H105"/>
    <mergeCell ref="F238:H238"/>
    <mergeCell ref="F234:H234"/>
    <mergeCell ref="F235:H235"/>
    <mergeCell ref="F165:H165"/>
    <mergeCell ref="F209:H210"/>
    <mergeCell ref="F215:H216"/>
    <mergeCell ref="F237:H237"/>
    <mergeCell ref="F233:H233"/>
    <mergeCell ref="F128:H128"/>
    <mergeCell ref="F228:H230"/>
    <mergeCell ref="F168:H168"/>
    <mergeCell ref="F175:H177"/>
    <mergeCell ref="F231:H232"/>
    <mergeCell ref="D584:D585"/>
    <mergeCell ref="C587:C588"/>
    <mergeCell ref="D597:D598"/>
    <mergeCell ref="B597:B598"/>
    <mergeCell ref="A597:A598"/>
    <mergeCell ref="D587:D588"/>
    <mergeCell ref="A584:A585"/>
    <mergeCell ref="B584:B585"/>
    <mergeCell ref="E621:E622"/>
    <mergeCell ref="E604:E605"/>
    <mergeCell ref="A621:A622"/>
    <mergeCell ref="B604:B605"/>
    <mergeCell ref="A608:A609"/>
    <mergeCell ref="B608:B609"/>
    <mergeCell ref="E584:E585"/>
    <mergeCell ref="C612:E612"/>
    <mergeCell ref="E597:E598"/>
    <mergeCell ref="C600:C601"/>
    <mergeCell ref="D600:D601"/>
    <mergeCell ref="E600:E601"/>
    <mergeCell ref="C610:E610"/>
    <mergeCell ref="E48:E49"/>
    <mergeCell ref="C90:C91"/>
    <mergeCell ref="E31:E32"/>
    <mergeCell ref="C60:E61"/>
    <mergeCell ref="C12:C13"/>
    <mergeCell ref="D12:D13"/>
    <mergeCell ref="C25:C26"/>
    <mergeCell ref="F36:H37"/>
    <mergeCell ref="F34:H34"/>
    <mergeCell ref="F35:H35"/>
    <mergeCell ref="F22:H23"/>
    <mergeCell ref="E22:E23"/>
    <mergeCell ref="F25:H26"/>
    <mergeCell ref="F31:H32"/>
    <mergeCell ref="F60:H62"/>
    <mergeCell ref="D31:D32"/>
    <mergeCell ref="C63:C64"/>
    <mergeCell ref="D63:D64"/>
    <mergeCell ref="D48:D49"/>
    <mergeCell ref="F90:H91"/>
    <mergeCell ref="C88:D88"/>
    <mergeCell ref="C56:D56"/>
    <mergeCell ref="F19:H19"/>
    <mergeCell ref="F14:H14"/>
    <mergeCell ref="F4:H5"/>
    <mergeCell ref="F6:H7"/>
    <mergeCell ref="F12:H13"/>
    <mergeCell ref="F10:H10"/>
    <mergeCell ref="F11:H11"/>
    <mergeCell ref="E25:E26"/>
    <mergeCell ref="B4:B5"/>
    <mergeCell ref="F20:H20"/>
    <mergeCell ref="F21:H21"/>
    <mergeCell ref="F8:H8"/>
    <mergeCell ref="F9:H9"/>
    <mergeCell ref="F15:H15"/>
    <mergeCell ref="F16:H16"/>
    <mergeCell ref="F17:H17"/>
    <mergeCell ref="F18:H18"/>
    <mergeCell ref="C4:C5"/>
    <mergeCell ref="D4:D5"/>
    <mergeCell ref="E4:E5"/>
    <mergeCell ref="C6:C7"/>
    <mergeCell ref="D6:D7"/>
    <mergeCell ref="E6:E7"/>
    <mergeCell ref="A60:A62"/>
    <mergeCell ref="B60:B62"/>
    <mergeCell ref="A117:A119"/>
    <mergeCell ref="B25:B26"/>
    <mergeCell ref="B31:B32"/>
    <mergeCell ref="B75:B76"/>
    <mergeCell ref="B104:B105"/>
    <mergeCell ref="B36:B37"/>
    <mergeCell ref="B110:B111"/>
    <mergeCell ref="B41:B42"/>
    <mergeCell ref="C110:C111"/>
    <mergeCell ref="E90:E91"/>
    <mergeCell ref="C108:D108"/>
    <mergeCell ref="C104:C105"/>
    <mergeCell ref="E75:E76"/>
    <mergeCell ref="C27:D27"/>
    <mergeCell ref="E63:E64"/>
    <mergeCell ref="D90:D91"/>
    <mergeCell ref="B178:B179"/>
    <mergeCell ref="B175:B177"/>
    <mergeCell ref="B6:B7"/>
    <mergeCell ref="B22:B23"/>
    <mergeCell ref="D36:D37"/>
    <mergeCell ref="D25:D26"/>
    <mergeCell ref="C22:C23"/>
    <mergeCell ref="D22:D23"/>
    <mergeCell ref="B12:B13"/>
    <mergeCell ref="C24:D24"/>
    <mergeCell ref="C28:D28"/>
    <mergeCell ref="C29:D29"/>
    <mergeCell ref="D126:D127"/>
    <mergeCell ref="D120:D121"/>
    <mergeCell ref="C126:C127"/>
    <mergeCell ref="C87:D87"/>
    <mergeCell ref="C31:C32"/>
    <mergeCell ref="C92:D92"/>
    <mergeCell ref="B63:B64"/>
    <mergeCell ref="D160:D161"/>
    <mergeCell ref="D156:D157"/>
    <mergeCell ref="C172:D172"/>
    <mergeCell ref="B156:B157"/>
    <mergeCell ref="C95:D95"/>
    <mergeCell ref="F436:H436"/>
    <mergeCell ref="B192:B193"/>
    <mergeCell ref="B199:B200"/>
    <mergeCell ref="F263:H264"/>
    <mergeCell ref="F282:H284"/>
    <mergeCell ref="E192:E193"/>
    <mergeCell ref="F236:H236"/>
    <mergeCell ref="F199:H200"/>
    <mergeCell ref="F192:H193"/>
    <mergeCell ref="C199:C200"/>
    <mergeCell ref="C192:C193"/>
    <mergeCell ref="D192:D193"/>
    <mergeCell ref="F242:H242"/>
    <mergeCell ref="E231:E232"/>
    <mergeCell ref="F240:H241"/>
    <mergeCell ref="E199:E200"/>
    <mergeCell ref="F438:H438"/>
    <mergeCell ref="C506:D506"/>
    <mergeCell ref="F506:H506"/>
    <mergeCell ref="F504:H504"/>
    <mergeCell ref="F505:H505"/>
    <mergeCell ref="C505:D505"/>
    <mergeCell ref="C520:C521"/>
    <mergeCell ref="F322:H323"/>
    <mergeCell ref="F341:H342"/>
    <mergeCell ref="G343:H343"/>
    <mergeCell ref="G349:H349"/>
    <mergeCell ref="F338:H340"/>
    <mergeCell ref="G351:H351"/>
    <mergeCell ref="G350:H350"/>
    <mergeCell ref="G352:H352"/>
    <mergeCell ref="G373:H373"/>
    <mergeCell ref="G360:H360"/>
    <mergeCell ref="G361:H361"/>
    <mergeCell ref="F401:H401"/>
    <mergeCell ref="F402:H402"/>
    <mergeCell ref="F392:H394"/>
    <mergeCell ref="F385:H385"/>
    <mergeCell ref="F403:H403"/>
    <mergeCell ref="F404:H404"/>
    <mergeCell ref="C324:D324"/>
    <mergeCell ref="C325:D325"/>
    <mergeCell ref="C451:E452"/>
    <mergeCell ref="A577:A578"/>
    <mergeCell ref="B395:B396"/>
    <mergeCell ref="A546:A547"/>
    <mergeCell ref="A451:A453"/>
    <mergeCell ref="A509:A511"/>
    <mergeCell ref="B454:B455"/>
    <mergeCell ref="B451:B453"/>
    <mergeCell ref="B520:B521"/>
    <mergeCell ref="B512:B513"/>
    <mergeCell ref="B338:B340"/>
    <mergeCell ref="D533:D534"/>
    <mergeCell ref="B577:B578"/>
    <mergeCell ref="C533:C534"/>
    <mergeCell ref="B555:B556"/>
    <mergeCell ref="C555:C556"/>
    <mergeCell ref="C546:C547"/>
    <mergeCell ref="C574:E575"/>
    <mergeCell ref="D546:D547"/>
    <mergeCell ref="B533:B534"/>
    <mergeCell ref="D555:D556"/>
    <mergeCell ref="A555:A556"/>
    <mergeCell ref="B310:B311"/>
    <mergeCell ref="C310:C311"/>
    <mergeCell ref="C285:C286"/>
    <mergeCell ref="D285:D286"/>
    <mergeCell ref="D310:D311"/>
    <mergeCell ref="B285:B286"/>
    <mergeCell ref="B263:B264"/>
    <mergeCell ref="C314:D314"/>
    <mergeCell ref="C315:D315"/>
    <mergeCell ref="A228:A230"/>
    <mergeCell ref="D231:D232"/>
    <mergeCell ref="C231:C232"/>
    <mergeCell ref="C258:C259"/>
    <mergeCell ref="D258:D259"/>
    <mergeCell ref="C248:D248"/>
    <mergeCell ref="B231:B232"/>
    <mergeCell ref="B246:B247"/>
    <mergeCell ref="B250:B251"/>
    <mergeCell ref="B240:B241"/>
    <mergeCell ref="B258:B259"/>
    <mergeCell ref="A282:A284"/>
    <mergeCell ref="C282:E283"/>
    <mergeCell ref="F261:H261"/>
    <mergeCell ref="C249:D249"/>
    <mergeCell ref="D250:D251"/>
    <mergeCell ref="C263:C264"/>
    <mergeCell ref="E258:E259"/>
    <mergeCell ref="C250:C251"/>
    <mergeCell ref="E263:E264"/>
    <mergeCell ref="D263:D264"/>
    <mergeCell ref="F252:H252"/>
    <mergeCell ref="F260:H260"/>
    <mergeCell ref="E250:E251"/>
    <mergeCell ref="B282:B284"/>
    <mergeCell ref="B228:B230"/>
    <mergeCell ref="C240:C241"/>
    <mergeCell ref="C228:E229"/>
    <mergeCell ref="E240:E241"/>
    <mergeCell ref="D240:D241"/>
    <mergeCell ref="F63:H64"/>
    <mergeCell ref="C80:D80"/>
    <mergeCell ref="C86:D86"/>
    <mergeCell ref="F65:H65"/>
    <mergeCell ref="F67:H67"/>
    <mergeCell ref="B209:B210"/>
    <mergeCell ref="B215:B216"/>
    <mergeCell ref="C220:D220"/>
    <mergeCell ref="E209:E210"/>
    <mergeCell ref="C215:C216"/>
    <mergeCell ref="E215:E216"/>
    <mergeCell ref="B186:B187"/>
    <mergeCell ref="C189:D189"/>
    <mergeCell ref="C190:D190"/>
    <mergeCell ref="D186:D187"/>
    <mergeCell ref="C188:D188"/>
    <mergeCell ref="C178:C179"/>
    <mergeCell ref="D178:D179"/>
    <mergeCell ref="B170:B171"/>
    <mergeCell ref="C109:D109"/>
    <mergeCell ref="E104:E105"/>
    <mergeCell ref="C100:D100"/>
    <mergeCell ref="F68:H68"/>
    <mergeCell ref="F75:H76"/>
    <mergeCell ref="C75:C76"/>
    <mergeCell ref="D75:D76"/>
    <mergeCell ref="F110:H111"/>
    <mergeCell ref="F258:H259"/>
    <mergeCell ref="F254:H254"/>
    <mergeCell ref="F255:H255"/>
    <mergeCell ref="F250:H251"/>
    <mergeCell ref="F253:H253"/>
    <mergeCell ref="D246:D247"/>
    <mergeCell ref="C246:C247"/>
    <mergeCell ref="F246:H247"/>
    <mergeCell ref="E246:E247"/>
    <mergeCell ref="C175:E176"/>
    <mergeCell ref="F186:H187"/>
    <mergeCell ref="F117:H119"/>
    <mergeCell ref="F134:H134"/>
    <mergeCell ref="F166:H166"/>
    <mergeCell ref="F167:H167"/>
    <mergeCell ref="E142:E143"/>
    <mergeCell ref="C319:D319"/>
    <mergeCell ref="C322:C323"/>
    <mergeCell ref="D322:D323"/>
    <mergeCell ref="E322:E323"/>
    <mergeCell ref="C313:D313"/>
    <mergeCell ref="E110:E111"/>
    <mergeCell ref="F243:H243"/>
    <mergeCell ref="F131:H131"/>
    <mergeCell ref="F132:H132"/>
    <mergeCell ref="E285:E286"/>
    <mergeCell ref="E310:E311"/>
    <mergeCell ref="F285:H286"/>
    <mergeCell ref="F310:H311"/>
    <mergeCell ref="C312:D312"/>
    <mergeCell ref="C317:D317"/>
    <mergeCell ref="C316:D316"/>
    <mergeCell ref="C318:D318"/>
    <mergeCell ref="E120:E121"/>
    <mergeCell ref="E186:E187"/>
    <mergeCell ref="E126:E127"/>
    <mergeCell ref="E160:E161"/>
    <mergeCell ref="E178:E179"/>
    <mergeCell ref="E156:E157"/>
    <mergeCell ref="C326:D326"/>
    <mergeCell ref="C327:D327"/>
    <mergeCell ref="C328:D328"/>
    <mergeCell ref="C438:D438"/>
    <mergeCell ref="C329:D329"/>
    <mergeCell ref="C341:E342"/>
    <mergeCell ref="C338:E339"/>
    <mergeCell ref="C435:D435"/>
    <mergeCell ref="C395:E396"/>
    <mergeCell ref="C436:D436"/>
    <mergeCell ref="B322:B323"/>
    <mergeCell ref="B341:B342"/>
    <mergeCell ref="A645:A646"/>
    <mergeCell ref="A604:A605"/>
    <mergeCell ref="A587:A588"/>
    <mergeCell ref="B587:B588"/>
    <mergeCell ref="A338:A340"/>
    <mergeCell ref="A528:A529"/>
    <mergeCell ref="B546:B547"/>
    <mergeCell ref="A574:A576"/>
    <mergeCell ref="B509:B511"/>
    <mergeCell ref="B574:B576"/>
    <mergeCell ref="A600:A601"/>
    <mergeCell ref="B600:B601"/>
    <mergeCell ref="B636:B638"/>
    <mergeCell ref="A636:A638"/>
    <mergeCell ref="C528:C529"/>
    <mergeCell ref="A392:A394"/>
    <mergeCell ref="B392:B394"/>
    <mergeCell ref="C392:E393"/>
    <mergeCell ref="C439:D439"/>
    <mergeCell ref="C427:D427"/>
    <mergeCell ref="C501:D501"/>
    <mergeCell ref="C503:D503"/>
    <mergeCell ref="B528:B529"/>
    <mergeCell ref="C512:C513"/>
    <mergeCell ref="C509:E510"/>
    <mergeCell ref="B661:B662"/>
    <mergeCell ref="C661:C662"/>
    <mergeCell ref="A655:A656"/>
    <mergeCell ref="D661:D662"/>
    <mergeCell ref="A639:A640"/>
    <mergeCell ref="B621:B622"/>
    <mergeCell ref="B630:B631"/>
    <mergeCell ref="D639:D640"/>
    <mergeCell ref="B655:B656"/>
    <mergeCell ref="A651:A652"/>
    <mergeCell ref="B651:B652"/>
    <mergeCell ref="C645:C646"/>
    <mergeCell ref="D645:D646"/>
    <mergeCell ref="C639:C640"/>
    <mergeCell ref="B639:B640"/>
    <mergeCell ref="B645:B646"/>
    <mergeCell ref="C636:E637"/>
    <mergeCell ref="E639:E640"/>
    <mergeCell ref="E645:E646"/>
    <mergeCell ref="E651:E652"/>
    <mergeCell ref="F574:H576"/>
    <mergeCell ref="F636:H638"/>
    <mergeCell ref="E655:E656"/>
    <mergeCell ref="D651:D652"/>
    <mergeCell ref="D604:D605"/>
    <mergeCell ref="D621:D622"/>
    <mergeCell ref="E587:E588"/>
    <mergeCell ref="G362:H362"/>
    <mergeCell ref="G363:H363"/>
    <mergeCell ref="G372:H372"/>
    <mergeCell ref="F435:H435"/>
    <mergeCell ref="F386:H386"/>
    <mergeCell ref="G374:H374"/>
    <mergeCell ref="G375:H375"/>
    <mergeCell ref="F387:H387"/>
    <mergeCell ref="F384:H384"/>
    <mergeCell ref="F439:H439"/>
    <mergeCell ref="C454:E455"/>
    <mergeCell ref="C437:D437"/>
    <mergeCell ref="C504:D504"/>
    <mergeCell ref="F451:H453"/>
    <mergeCell ref="F503:H503"/>
    <mergeCell ref="F437:H437"/>
    <mergeCell ref="F614:H614"/>
    <mergeCell ref="C839:E840"/>
    <mergeCell ref="B739:B740"/>
    <mergeCell ref="B713:B714"/>
    <mergeCell ref="B691:B692"/>
    <mergeCell ref="A688:A690"/>
    <mergeCell ref="B688:B690"/>
    <mergeCell ref="F688:H690"/>
    <mergeCell ref="C651:C652"/>
    <mergeCell ref="C655:C656"/>
    <mergeCell ref="D655:D656"/>
    <mergeCell ref="C688:E689"/>
    <mergeCell ref="A678:A679"/>
    <mergeCell ref="C691:C692"/>
    <mergeCell ref="D691:D692"/>
    <mergeCell ref="E691:E692"/>
    <mergeCell ref="B678:B679"/>
    <mergeCell ref="E670:E671"/>
    <mergeCell ref="B666:B667"/>
    <mergeCell ref="C670:C671"/>
    <mergeCell ref="D670:D671"/>
    <mergeCell ref="A670:A671"/>
    <mergeCell ref="B670:B671"/>
    <mergeCell ref="E661:E662"/>
    <mergeCell ref="A661:A662"/>
    <mergeCell ref="A938:A939"/>
    <mergeCell ref="B938:B939"/>
    <mergeCell ref="A923:A924"/>
    <mergeCell ref="B923:B924"/>
    <mergeCell ref="A931:A932"/>
    <mergeCell ref="B931:B932"/>
    <mergeCell ref="A956:A957"/>
    <mergeCell ref="B956:B957"/>
    <mergeCell ref="F736:H738"/>
    <mergeCell ref="F782:H784"/>
    <mergeCell ref="B906:B907"/>
    <mergeCell ref="B785:B786"/>
    <mergeCell ref="B782:B784"/>
    <mergeCell ref="B887:B888"/>
    <mergeCell ref="B851:B852"/>
    <mergeCell ref="B842:B843"/>
    <mergeCell ref="B765:B766"/>
    <mergeCell ref="A736:A738"/>
    <mergeCell ref="F839:H841"/>
    <mergeCell ref="D842:D843"/>
    <mergeCell ref="E842:E843"/>
    <mergeCell ref="C782:E783"/>
    <mergeCell ref="C785:C786"/>
    <mergeCell ref="D785:D786"/>
  </mergeCells>
  <phoneticPr fontId="2" type="noConversion"/>
  <printOptions horizontalCentered="1"/>
  <pageMargins left="0.39370078740157483" right="0.39370078740157483" top="0.59055118110236227" bottom="0.39370078740157483" header="0.59055118110236227" footer="0.39370078740157483"/>
  <pageSetup paperSize="9" scale="81" orientation="portrait" r:id="rId1"/>
  <headerFooter alignWithMargins="0">
    <oddFooter>&amp;L&amp;D&amp;C&amp;P&amp;RRévision  : 0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6</vt:i4>
      </vt:variant>
    </vt:vector>
  </HeadingPairs>
  <TitlesOfParts>
    <vt:vector size="11" baseType="lpstr">
      <vt:lpstr>Mois</vt:lpstr>
      <vt:lpstr>Semaines</vt:lpstr>
      <vt:lpstr>Jours</vt:lpstr>
      <vt:lpstr>Heures</vt:lpstr>
      <vt:lpstr>Feuil1</vt:lpstr>
      <vt:lpstr>emeth_Dbj</vt:lpstr>
      <vt:lpstr>emeth_Hpj</vt:lpstr>
      <vt:lpstr>emeth_Paj</vt:lpstr>
      <vt:lpstr>Jours!Impression_des_titres</vt:lpstr>
      <vt:lpstr>Feuil1!Zone_d_impression</vt:lpstr>
      <vt:lpstr>Semaines!Zone_d_impression</vt:lpstr>
    </vt:vector>
  </TitlesOfParts>
  <Company>Aucun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Aucun</dc:creator>
  <cp:lastModifiedBy>sylvain.hareng</cp:lastModifiedBy>
  <cp:lastPrinted>2012-12-05T13:36:55Z</cp:lastPrinted>
  <dcterms:created xsi:type="dcterms:W3CDTF">2007-05-25T03:44:34Z</dcterms:created>
  <dcterms:modified xsi:type="dcterms:W3CDTF">2016-03-09T16:45:49Z</dcterms:modified>
</cp:coreProperties>
</file>